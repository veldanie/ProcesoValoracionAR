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5" rupBuild="18528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daniel.velasquez\Documents\Argentina\"/>
    </mc:Choice>
  </mc:AlternateContent>
  <bookViews>
    <workbookView xWindow="0" yWindow="0" windowWidth="20490" windowHeight="6870" tabRatio="848"/>
  </bookViews>
  <sheets>
    <sheet name="Valuacion" sheetId="1" r:id="rId1"/>
    <sheet name="BCBA" sheetId="2" r:id="rId2"/>
    <sheet name="MAE" sheetId="3" r:id="rId3"/>
    <sheet name="Identidad de Codigos" sheetId="5" r:id="rId4"/>
  </sheets>
  <definedNames>
    <definedName name="cccccccccccccc">Valuacion!#REF!</definedName>
    <definedName name="dev">Valuacion!#REF!</definedName>
    <definedName name="inf">Valuacion!#REF!</definedName>
  </definedNames>
  <calcPr calcId="171027"/>
</workbook>
</file>

<file path=xl/calcChain.xml><?xml version="1.0" encoding="utf-8"?>
<calcChain xmlns="http://schemas.openxmlformats.org/spreadsheetml/2006/main">
  <c r="M70" i="1" l="1"/>
  <c r="M50" i="1"/>
  <c r="M51" i="1" l="1"/>
  <c r="P51" i="1"/>
  <c r="A9" i="5" l="1"/>
  <c r="C77" i="1" s="1"/>
  <c r="B75" i="1"/>
  <c r="B73" i="1"/>
  <c r="B71" i="1"/>
  <c r="C70" i="1"/>
  <c r="B70" i="1"/>
  <c r="B48" i="1"/>
  <c r="B45" i="1"/>
  <c r="B43" i="1"/>
  <c r="B41" i="1"/>
  <c r="B39" i="1"/>
  <c r="B37" i="1"/>
  <c r="C35" i="1"/>
  <c r="B35" i="1"/>
  <c r="B33" i="1"/>
  <c r="B31" i="1"/>
  <c r="B29" i="1"/>
  <c r="B27" i="1"/>
  <c r="C24" i="1"/>
  <c r="C23" i="1"/>
  <c r="C22" i="1"/>
  <c r="C18" i="1"/>
  <c r="J18" i="1" s="1"/>
  <c r="C15" i="1"/>
  <c r="J15" i="1" s="1"/>
  <c r="C14" i="1"/>
  <c r="J14" i="1" s="1"/>
  <c r="B14" i="1"/>
  <c r="C12" i="1"/>
  <c r="J12" i="1" s="1"/>
  <c r="B12" i="1"/>
  <c r="C10" i="1"/>
  <c r="J10" i="1" s="1"/>
  <c r="B10" i="1"/>
  <c r="C9" i="1"/>
  <c r="J9" i="1" s="1"/>
  <c r="C7" i="1"/>
  <c r="J7" i="1" s="1"/>
  <c r="C5" i="1"/>
  <c r="B6" i="1" l="1"/>
  <c r="B8" i="1"/>
  <c r="B17" i="1"/>
  <c r="C27" i="1"/>
  <c r="C29" i="1"/>
  <c r="I29" i="1" s="1"/>
  <c r="C31" i="1"/>
  <c r="C33" i="1"/>
  <c r="C37" i="1"/>
  <c r="I37" i="1" s="1"/>
  <c r="C39" i="1"/>
  <c r="I39" i="1" s="1"/>
  <c r="C41" i="1"/>
  <c r="C43" i="1"/>
  <c r="I43" i="1" s="1"/>
  <c r="C45" i="1"/>
  <c r="C48" i="1"/>
  <c r="I48" i="1" s="1"/>
  <c r="C71" i="1"/>
  <c r="C73" i="1"/>
  <c r="C75" i="1"/>
  <c r="I75" i="1" s="1"/>
  <c r="C6" i="1"/>
  <c r="J6" i="1" s="1"/>
  <c r="C8" i="1"/>
  <c r="J8" i="1" s="1"/>
  <c r="C17" i="1"/>
  <c r="J17" i="1" s="1"/>
  <c r="B28" i="1"/>
  <c r="B30" i="1"/>
  <c r="B32" i="1"/>
  <c r="B34" i="1"/>
  <c r="B36" i="1"/>
  <c r="B38" i="1"/>
  <c r="B40" i="1"/>
  <c r="B42" i="1"/>
  <c r="B44" i="1"/>
  <c r="B46" i="1"/>
  <c r="B72" i="1"/>
  <c r="B74" i="1"/>
  <c r="B77" i="1"/>
  <c r="B5" i="1"/>
  <c r="B7" i="1"/>
  <c r="B9" i="1"/>
  <c r="B15" i="1"/>
  <c r="B18" i="1"/>
  <c r="C28" i="1"/>
  <c r="C30" i="1"/>
  <c r="I30" i="1" s="1"/>
  <c r="C32" i="1"/>
  <c r="C34" i="1"/>
  <c r="I34" i="1" s="1"/>
  <c r="C36" i="1"/>
  <c r="C38" i="1"/>
  <c r="C40" i="1"/>
  <c r="C42" i="1"/>
  <c r="I42" i="1" s="1"/>
  <c r="C44" i="1"/>
  <c r="C46" i="1"/>
  <c r="C72" i="1"/>
  <c r="C74" i="1"/>
  <c r="I74" i="1" s="1"/>
  <c r="I22" i="1"/>
  <c r="J22" i="1"/>
  <c r="I28" i="1"/>
  <c r="J28" i="1"/>
  <c r="I31" i="1"/>
  <c r="J31" i="1"/>
  <c r="J34" i="1"/>
  <c r="I40" i="1"/>
  <c r="J40" i="1"/>
  <c r="J43" i="1"/>
  <c r="I46" i="1"/>
  <c r="J46" i="1"/>
  <c r="I71" i="1"/>
  <c r="J71" i="1"/>
  <c r="J74" i="1"/>
  <c r="I23" i="1"/>
  <c r="J23" i="1"/>
  <c r="I24" i="1"/>
  <c r="J24" i="1"/>
  <c r="I32" i="1"/>
  <c r="J32" i="1"/>
  <c r="I35" i="1"/>
  <c r="J35" i="1"/>
  <c r="I38" i="1"/>
  <c r="J38" i="1"/>
  <c r="I41" i="1"/>
  <c r="J41" i="1"/>
  <c r="I44" i="1"/>
  <c r="J44" i="1"/>
  <c r="I72" i="1"/>
  <c r="J72" i="1"/>
  <c r="I27" i="1"/>
  <c r="J27" i="1"/>
  <c r="J30" i="1"/>
  <c r="I33" i="1"/>
  <c r="J33" i="1"/>
  <c r="I36" i="1"/>
  <c r="J36" i="1"/>
  <c r="J39" i="1"/>
  <c r="I45" i="1"/>
  <c r="J45" i="1"/>
  <c r="I70" i="1"/>
  <c r="J70" i="1"/>
  <c r="I73" i="1"/>
  <c r="J73" i="1"/>
  <c r="I77" i="1"/>
  <c r="J77" i="1"/>
  <c r="B19" i="1"/>
  <c r="C19" i="1"/>
  <c r="J5" i="1"/>
  <c r="I5" i="1"/>
  <c r="H5" i="1" s="1"/>
  <c r="I17" i="1"/>
  <c r="H17" i="1" s="1"/>
  <c r="I7" i="1"/>
  <c r="H7" i="1" s="1"/>
  <c r="I18" i="1"/>
  <c r="H18" i="1" s="1"/>
  <c r="I8" i="1"/>
  <c r="H8" i="1" s="1"/>
  <c r="I14" i="1"/>
  <c r="H14" i="1" s="1"/>
  <c r="I9" i="1"/>
  <c r="H9" i="1" s="1"/>
  <c r="I15" i="1"/>
  <c r="H15" i="1" s="1"/>
  <c r="I10" i="1"/>
  <c r="H10" i="1" s="1"/>
  <c r="I12" i="1"/>
  <c r="H12" i="1" s="1"/>
  <c r="I6" i="1"/>
  <c r="H6" i="1" s="1"/>
  <c r="M77" i="1"/>
  <c r="M75" i="1"/>
  <c r="M74" i="1"/>
  <c r="M73" i="1"/>
  <c r="M72" i="1"/>
  <c r="M71" i="1"/>
  <c r="M53" i="1"/>
  <c r="M35" i="1"/>
  <c r="M36" i="1"/>
  <c r="M37" i="1"/>
  <c r="M38" i="1"/>
  <c r="M39" i="1"/>
  <c r="M40" i="1"/>
  <c r="M41" i="1"/>
  <c r="M42" i="1"/>
  <c r="M43" i="1"/>
  <c r="M44" i="1"/>
  <c r="M45" i="1"/>
  <c r="M46" i="1"/>
  <c r="M48" i="1"/>
  <c r="J42" i="1" l="1"/>
  <c r="J75" i="1"/>
  <c r="H75" i="1" s="1"/>
  <c r="J48" i="1"/>
  <c r="H48" i="1" s="1"/>
  <c r="J29" i="1"/>
  <c r="J37" i="1"/>
  <c r="H73" i="1"/>
  <c r="H42" i="1"/>
  <c r="H33" i="1"/>
  <c r="H44" i="1"/>
  <c r="H35" i="1"/>
  <c r="H71" i="1"/>
  <c r="H40" i="1"/>
  <c r="H31" i="1"/>
  <c r="H70" i="1"/>
  <c r="H39" i="1"/>
  <c r="H30" i="1"/>
  <c r="H72" i="1"/>
  <c r="H41" i="1"/>
  <c r="H32" i="1"/>
  <c r="H46" i="1"/>
  <c r="H37" i="1"/>
  <c r="H77" i="1"/>
  <c r="H45" i="1"/>
  <c r="H36" i="1"/>
  <c r="H28" i="1"/>
  <c r="H27" i="1"/>
  <c r="H38" i="1"/>
  <c r="H29" i="1"/>
  <c r="H74" i="1"/>
  <c r="H43" i="1"/>
  <c r="H34" i="1"/>
  <c r="J19" i="1"/>
  <c r="I19" i="1"/>
  <c r="M34" i="1"/>
  <c r="M33" i="1"/>
  <c r="M32" i="1"/>
  <c r="M31" i="1" l="1"/>
  <c r="M30" i="1"/>
  <c r="M29" i="1"/>
  <c r="M28" i="1"/>
  <c r="M27" i="1"/>
  <c r="L24" i="1" l="1"/>
  <c r="L23" i="1"/>
  <c r="L22" i="1"/>
  <c r="G19" i="1"/>
  <c r="H19" i="1" s="1"/>
  <c r="L19" i="1"/>
  <c r="L18" i="1"/>
  <c r="L17" i="1"/>
  <c r="L15" i="1"/>
  <c r="L14" i="1"/>
  <c r="L12" i="1"/>
  <c r="L10" i="1"/>
  <c r="L9" i="1"/>
  <c r="L8" i="1"/>
  <c r="L7" i="1"/>
  <c r="L6" i="1"/>
  <c r="L5" i="1"/>
  <c r="M82" i="1"/>
  <c r="M81" i="1"/>
  <c r="M80" i="1"/>
  <c r="M68" i="1"/>
  <c r="M67" i="1"/>
  <c r="M64" i="1"/>
  <c r="M63" i="1"/>
  <c r="M62" i="1"/>
  <c r="M61" i="1"/>
  <c r="M60" i="1"/>
  <c r="M59" i="1"/>
  <c r="M58" i="1"/>
  <c r="M56" i="1"/>
  <c r="M55" i="1"/>
  <c r="P55" i="1"/>
  <c r="M54" i="1"/>
  <c r="M52" i="1"/>
  <c r="P53" i="1"/>
  <c r="P50" i="1"/>
  <c r="M5" i="1" l="1"/>
  <c r="M18" i="1"/>
  <c r="P56" i="1"/>
  <c r="P54" i="1"/>
  <c r="P52" i="1"/>
  <c r="M19" i="1"/>
  <c r="M17" i="1"/>
  <c r="M15" i="1"/>
  <c r="M14" i="1"/>
  <c r="M12" i="1"/>
  <c r="M10" i="1"/>
  <c r="M9" i="1"/>
  <c r="M8" i="1"/>
  <c r="M7" i="1"/>
  <c r="M6" i="1"/>
  <c r="M88" i="1" l="1"/>
  <c r="Q51" i="1" s="1"/>
  <c r="Q38" i="1" l="1"/>
  <c r="Q77" i="1"/>
  <c r="Q18" i="1"/>
  <c r="Q74" i="1"/>
  <c r="Q55" i="1"/>
  <c r="Q50" i="1"/>
  <c r="Q53" i="1"/>
  <c r="Q43" i="1"/>
  <c r="Q75" i="1"/>
  <c r="Q72" i="1"/>
  <c r="Q70" i="1"/>
  <c r="Q73" i="1"/>
  <c r="Q71" i="1"/>
  <c r="Q19" i="1"/>
  <c r="Q24" i="1"/>
  <c r="Q23" i="1"/>
  <c r="Q22" i="1"/>
  <c r="Q12" i="1"/>
  <c r="Q82" i="1"/>
  <c r="Q81" i="1"/>
  <c r="Q80" i="1"/>
  <c r="Q64" i="1"/>
  <c r="Q63" i="1"/>
  <c r="Q62" i="1"/>
  <c r="Q61" i="1"/>
  <c r="Q60" i="1"/>
  <c r="Q59" i="1"/>
  <c r="Q58" i="1"/>
  <c r="Q46" i="1"/>
  <c r="Q45" i="1"/>
  <c r="Q44" i="1"/>
  <c r="Q41" i="1"/>
  <c r="Q40" i="1"/>
  <c r="Q39" i="1"/>
  <c r="Q37" i="1"/>
  <c r="Q36" i="1"/>
  <c r="Q35" i="1"/>
  <c r="Q34" i="1"/>
  <c r="Q33" i="1"/>
  <c r="Q32" i="1"/>
  <c r="Q48" i="1"/>
  <c r="Q84" i="1"/>
  <c r="Q85" i="1"/>
  <c r="Q86" i="1"/>
  <c r="Q68" i="1"/>
  <c r="Q67" i="1"/>
  <c r="Q56" i="1"/>
  <c r="Q29" i="1"/>
  <c r="Q9" i="1"/>
  <c r="Q30" i="1"/>
  <c r="Q17" i="1"/>
  <c r="Q10" i="1"/>
  <c r="Q52" i="1"/>
  <c r="Q31" i="1"/>
  <c r="Q6" i="1"/>
  <c r="Q7" i="1"/>
  <c r="Q5" i="1"/>
  <c r="Q54" i="1"/>
  <c r="Q27" i="1"/>
  <c r="Q28" i="1"/>
  <c r="Q8" i="1"/>
  <c r="Q14" i="1"/>
  <c r="Q15" i="1"/>
  <c r="Q42" i="1"/>
</calcChain>
</file>

<file path=xl/sharedStrings.xml><?xml version="1.0" encoding="utf-8"?>
<sst xmlns="http://schemas.openxmlformats.org/spreadsheetml/2006/main" count="1300" uniqueCount="900">
  <si>
    <t>Issuer</t>
  </si>
  <si>
    <t>Coupon</t>
  </si>
  <si>
    <t>Maturity</t>
  </si>
  <si>
    <t>Currency</t>
  </si>
  <si>
    <t>Shares</t>
  </si>
  <si>
    <t>Price ARS</t>
  </si>
  <si>
    <t>Market Value ARS</t>
  </si>
  <si>
    <t>YTM</t>
  </si>
  <si>
    <t>MD</t>
  </si>
  <si>
    <t>Weight</t>
  </si>
  <si>
    <t>Comment</t>
  </si>
  <si>
    <t>Sovereign</t>
  </si>
  <si>
    <t>FRN Badlar rate</t>
  </si>
  <si>
    <t>Argentina Government - AO17P</t>
  </si>
  <si>
    <t>B+3.00%</t>
  </si>
  <si>
    <t>BAD</t>
  </si>
  <si>
    <t>Argentina Government - AMX8</t>
  </si>
  <si>
    <t>B+2.75%</t>
  </si>
  <si>
    <t>Argentina Government - AMX9P</t>
  </si>
  <si>
    <t>B+2.50%</t>
  </si>
  <si>
    <t>Argentina Government - AM20P</t>
  </si>
  <si>
    <t>B+3.25%</t>
  </si>
  <si>
    <t>Total</t>
  </si>
  <si>
    <t>Argentina Government - AA22P</t>
  </si>
  <si>
    <t>B+2.00%</t>
  </si>
  <si>
    <t>Argentina Government - PR15</t>
  </si>
  <si>
    <t>B+0%</t>
  </si>
  <si>
    <t>FRN Repo rate</t>
  </si>
  <si>
    <t>HF Pesos Plus Clase I</t>
  </si>
  <si>
    <t>Argentina Government - TJ20P</t>
  </si>
  <si>
    <t>R+0%</t>
  </si>
  <si>
    <t>REPO</t>
  </si>
  <si>
    <t>Argentina Government - TC21P</t>
  </si>
  <si>
    <t>Inflation linked</t>
  </si>
  <si>
    <t>Banco Patagonia S.A.</t>
  </si>
  <si>
    <t>Argentina Government - NF18P</t>
  </si>
  <si>
    <t>C+2.00%</t>
  </si>
  <si>
    <t>CER</t>
  </si>
  <si>
    <t>USD (hard and linked)</t>
  </si>
  <si>
    <t>BBVA – Banco Francés S.A.</t>
  </si>
  <si>
    <t>Argentina Government - AM18</t>
  </si>
  <si>
    <t>D+2.40%</t>
  </si>
  <si>
    <t>USD</t>
  </si>
  <si>
    <t>Argentina Government - A2E2D</t>
  </si>
  <si>
    <t>Fondo Lombard Capital</t>
  </si>
  <si>
    <t>Corporate</t>
  </si>
  <si>
    <t>Arcor S.A.I.C - RC11O</t>
  </si>
  <si>
    <t>Banco Santander Río S.A. - BNCKO</t>
  </si>
  <si>
    <t>BANCO HIPOTECARIO NACIONAL XLII - BH42O</t>
  </si>
  <si>
    <t>B+3.20%</t>
  </si>
  <si>
    <t>Lombard Renta Fija en Dolares</t>
  </si>
  <si>
    <t>Banco Santander Río S.A. - BNCIO</t>
  </si>
  <si>
    <t>B+2.77%</t>
  </si>
  <si>
    <t>BANCO HIPOTECARIO NACIONAL XLII - BH43O</t>
  </si>
  <si>
    <t>B+2.47%</t>
  </si>
  <si>
    <t>Banco Itaú Argentina S.A. - BTCKO</t>
  </si>
  <si>
    <t>B+3.39%</t>
  </si>
  <si>
    <t>Banco Itaú Argentina S.A.</t>
  </si>
  <si>
    <t>BBVA - BFCLO</t>
  </si>
  <si>
    <t>B+3.23%</t>
  </si>
  <si>
    <t>FCA Compañía Financiera - FTB10</t>
  </si>
  <si>
    <t>B+2.78%</t>
  </si>
  <si>
    <t>GPAT Compañía Financiera - GPRBO</t>
  </si>
  <si>
    <t>B+3.44%</t>
  </si>
  <si>
    <t>GPAT Compañía Financiera - GPOBO</t>
  </si>
  <si>
    <t>B+3.50%</t>
  </si>
  <si>
    <t>Banco de Galicia y Buenos Aires S.A.</t>
  </si>
  <si>
    <t>GPAT Compañía Financiera - GPUBO</t>
  </si>
  <si>
    <t>B+3.97%</t>
  </si>
  <si>
    <t>Schroder Desarrollo y Crecimiento Clase A</t>
  </si>
  <si>
    <t>JOHN DEERE CLASE 6</t>
  </si>
  <si>
    <t>B+4.2%</t>
  </si>
  <si>
    <t>Tarjetas Cuyanas Clase 25 - TCQ2O</t>
  </si>
  <si>
    <t>B+3.94</t>
  </si>
  <si>
    <t>Gainvest Infraestructura - Clase A</t>
  </si>
  <si>
    <t>Tarjeta Naranja - T352O</t>
  </si>
  <si>
    <t>B+3.99%</t>
  </si>
  <si>
    <t>Rombo Compañía Financiera - RMB35</t>
  </si>
  <si>
    <t>B+4.0%</t>
  </si>
  <si>
    <t>YPF S.A. - OYPF36</t>
  </si>
  <si>
    <t>Rombo Compañía Financiera - RB36O</t>
  </si>
  <si>
    <t>B+3.24%</t>
  </si>
  <si>
    <t>Telecom Personal S.A. - TLS3O</t>
  </si>
  <si>
    <t>Rombo Compañía Financiera - RBSZO</t>
  </si>
  <si>
    <t>Gainvest PYMES - Clase B</t>
  </si>
  <si>
    <t>B+2.99%</t>
  </si>
  <si>
    <t>Tarjetas Cuyanas Clase 26 - TCR2O</t>
  </si>
  <si>
    <t>B+4%</t>
  </si>
  <si>
    <t>B+2.9%</t>
  </si>
  <si>
    <t>Lombard Renta en Pesos</t>
  </si>
  <si>
    <t>TOYOTA CIA FIN. CLASE 18</t>
  </si>
  <si>
    <t>B+3.70%</t>
  </si>
  <si>
    <t>TOYOTA CIA FIN. CLASE 20  - TYCLO</t>
  </si>
  <si>
    <t>B+2.95%</t>
  </si>
  <si>
    <t>YPF S.A. - YPCUO</t>
  </si>
  <si>
    <t>C+2.75%</t>
  </si>
  <si>
    <t>Term Deposits</t>
  </si>
  <si>
    <t>ARS</t>
  </si>
  <si>
    <t>Premier Abierto Pymes - Clase A</t>
  </si>
  <si>
    <t>ICBC Argentina S.A.</t>
  </si>
  <si>
    <t>Mutual Funds</t>
  </si>
  <si>
    <t>Pan American Energy VIII</t>
  </si>
  <si>
    <t>Goal Capital Plus Pesos B</t>
  </si>
  <si>
    <t>OPTIMUM RENTA FIJA ARGENTINA Unico</t>
  </si>
  <si>
    <t>Pan American Energy VII</t>
  </si>
  <si>
    <t>Fima Ahorro Plus C $</t>
  </si>
  <si>
    <t>Regulatory Requirement - Item K</t>
  </si>
  <si>
    <t>Schroder Infraestructura</t>
  </si>
  <si>
    <t>YPF S.A. - YCA8O</t>
  </si>
  <si>
    <t>Corporate Bonds FRN</t>
  </si>
  <si>
    <t>IMPSA - OMPE10</t>
  </si>
  <si>
    <t>IMPSA - OMPE11</t>
  </si>
  <si>
    <t>BLAR + 0%</t>
  </si>
  <si>
    <t>Corporate Bonds USD</t>
  </si>
  <si>
    <t>Regulatory Requirement - Item L</t>
  </si>
  <si>
    <t>Provisions</t>
  </si>
  <si>
    <t>Cash</t>
  </si>
  <si>
    <t>BCRA</t>
  </si>
  <si>
    <t>Seguros Sura</t>
  </si>
  <si>
    <t>Bills</t>
  </si>
  <si>
    <t>Lebac 18-04-2018</t>
  </si>
  <si>
    <t>Lebac 16-05-2018</t>
  </si>
  <si>
    <t>Lebac 21-06-2018</t>
  </si>
  <si>
    <t>zero coupon</t>
  </si>
  <si>
    <t>ACG</t>
  </si>
  <si>
    <t>Argentina Government - AY24</t>
  </si>
  <si>
    <t>D+8,75%</t>
  </si>
  <si>
    <t>Faltan 3mm</t>
  </si>
  <si>
    <t>Nuevo</t>
  </si>
  <si>
    <t>D+5,625%</t>
  </si>
  <si>
    <t>Comentario del día Viernes 29 de Septiembre del 2017 en la Bolsa de Comercio de Buenos Aires</t>
  </si>
  <si>
    <t>Resumen General</t>
  </si>
  <si>
    <t>Índice</t>
  </si>
  <si>
    <t>Último</t>
  </si>
  <si>
    <t>Variación %</t>
  </si>
  <si>
    <t>Cierre Anterior</t>
  </si>
  <si>
    <t>Apertura</t>
  </si>
  <si>
    <t>Máximo</t>
  </si>
  <si>
    <t>Mínimo</t>
  </si>
  <si>
    <t>BURCAP</t>
  </si>
  <si>
    <t>General BCBA</t>
  </si>
  <si>
    <t>M AR</t>
  </si>
  <si>
    <t>Merval</t>
  </si>
  <si>
    <t>Merval 25</t>
  </si>
  <si>
    <t>Acciones Lideres</t>
  </si>
  <si>
    <t>Especie</t>
  </si>
  <si>
    <t>Hora</t>
  </si>
  <si>
    <t>Volumen Nominal</t>
  </si>
  <si>
    <t>Monto Negociado</t>
  </si>
  <si>
    <t>N° Oper.</t>
  </si>
  <si>
    <t>AGRO (P. E.)</t>
  </si>
  <si>
    <t>AGRO (24 hs)</t>
  </si>
  <si>
    <t>AGRO (Cdo.)</t>
  </si>
  <si>
    <t>ALUA (Cdo.)</t>
  </si>
  <si>
    <t>ALUA (P. E.)</t>
  </si>
  <si>
    <t>APBR (Cdo.)</t>
  </si>
  <si>
    <t>APBR (P. E.)</t>
  </si>
  <si>
    <t>AUSO (P. E.)</t>
  </si>
  <si>
    <t>AUSO (24 hs)</t>
  </si>
  <si>
    <t>AUSO (Cdo.)</t>
  </si>
  <si>
    <t>BMA (P. E.)</t>
  </si>
  <si>
    <t>BMA (Cdo.)</t>
  </si>
  <si>
    <t>CECO2 (24 hs)</t>
  </si>
  <si>
    <t>CECO2 (Cdo.)</t>
  </si>
  <si>
    <t>CECO2 (P. E.)</t>
  </si>
  <si>
    <t>CEPU (Cdo.)</t>
  </si>
  <si>
    <t>CEPU (P. E.)</t>
  </si>
  <si>
    <t>CEPU (24 hs)</t>
  </si>
  <si>
    <t>COME (P. E.)</t>
  </si>
  <si>
    <t>COME (24 hs)</t>
  </si>
  <si>
    <t>COME (Cdo.)</t>
  </si>
  <si>
    <t>CRES (P. E.)</t>
  </si>
  <si>
    <t>CRES (Cdo.)</t>
  </si>
  <si>
    <t>CRES (24 hs)</t>
  </si>
  <si>
    <t>CTIO (Cdo.)</t>
  </si>
  <si>
    <t>CTIO (24 hs)</t>
  </si>
  <si>
    <t>CTIO (P. E.)</t>
  </si>
  <si>
    <t>DGCU2 (24 hs)</t>
  </si>
  <si>
    <t>DGCU2 (P. E.)</t>
  </si>
  <si>
    <t>DGCU2 (Cdo.)</t>
  </si>
  <si>
    <t>EDN (P. E.)</t>
  </si>
  <si>
    <t>ERAR (Cdo.)</t>
  </si>
  <si>
    <t>ERAR (24 hs)</t>
  </si>
  <si>
    <t>ERAR (P. E.)</t>
  </si>
  <si>
    <t>FRAN (Cdo.)</t>
  </si>
  <si>
    <t>FRAN (P. E.)</t>
  </si>
  <si>
    <t>FRAN (24 hs)</t>
  </si>
  <si>
    <t>GGAL (P. E.)</t>
  </si>
  <si>
    <t>GGAL (24 hs)</t>
  </si>
  <si>
    <t>GGAL (Cdo.)</t>
  </si>
  <si>
    <t>JMIN (P. E.)</t>
  </si>
  <si>
    <t>JMIN (24 hs)</t>
  </si>
  <si>
    <t>JMIN (Cdo.)</t>
  </si>
  <si>
    <t>MIRG (24 hs)</t>
  </si>
  <si>
    <t>MIRG (Cdo.)</t>
  </si>
  <si>
    <t>MIRG (P. E.)</t>
  </si>
  <si>
    <t>PAMP (24 hs)</t>
  </si>
  <si>
    <t>PAMP (Cdo.)</t>
  </si>
  <si>
    <t>PAMP (P. E.)</t>
  </si>
  <si>
    <t>PETR (P. E.)</t>
  </si>
  <si>
    <t>PETR (Cdo.)</t>
  </si>
  <si>
    <t>SAMI (P. E.)</t>
  </si>
  <si>
    <t>SAMI (24 hs)</t>
  </si>
  <si>
    <t>SAMI (Cdo.)</t>
  </si>
  <si>
    <t>TECO2 (P. E.)</t>
  </si>
  <si>
    <t>TECO2 (24 hs)</t>
  </si>
  <si>
    <t>TECO2 (Cdo.)</t>
  </si>
  <si>
    <t>TGNO4 (24 hs)</t>
  </si>
  <si>
    <t>TGNO4 (Cdo.)</t>
  </si>
  <si>
    <t>TGNO4 (P. E.)</t>
  </si>
  <si>
    <t>TGSU2 (24 hs)</t>
  </si>
  <si>
    <t>TGSU2 (P. E.)</t>
  </si>
  <si>
    <t>TGSU2 (Cdo.)</t>
  </si>
  <si>
    <t>TRAN (Cdo.)</t>
  </si>
  <si>
    <t>TRAN (P. E.)</t>
  </si>
  <si>
    <t>TRAN (24 hs)</t>
  </si>
  <si>
    <t>TS (Cdo.)</t>
  </si>
  <si>
    <t>TS (24 hs)</t>
  </si>
  <si>
    <t>TS (P. E.)</t>
  </si>
  <si>
    <t>YPFD (P. E.)</t>
  </si>
  <si>
    <t>YPFD (24 hs)</t>
  </si>
  <si>
    <t>YPFD (Cdo.)</t>
  </si>
  <si>
    <t>Panel General</t>
  </si>
  <si>
    <t>BHIP (Cdo.)</t>
  </si>
  <si>
    <t>BHIP (P. E.)</t>
  </si>
  <si>
    <t>BOLT (P. E.)</t>
  </si>
  <si>
    <t>BOLT (24 hs)</t>
  </si>
  <si>
    <t>BOLT (Cdo.)</t>
  </si>
  <si>
    <t>BPAT (Cdo.)</t>
  </si>
  <si>
    <t>BPAT (P. E.)</t>
  </si>
  <si>
    <t>BRIO (P. E.)</t>
  </si>
  <si>
    <t>BYMA (24 hs)</t>
  </si>
  <si>
    <t>BYMA (Cdo.)</t>
  </si>
  <si>
    <t>BYMA (P. E.)</t>
  </si>
  <si>
    <t>CADO (P. E.)</t>
  </si>
  <si>
    <t>CAPU (Cdo.)</t>
  </si>
  <si>
    <t>CAPU (P. E.)</t>
  </si>
  <si>
    <t>CAPX (P. E.)</t>
  </si>
  <si>
    <t>CAPX (Cdo.)</t>
  </si>
  <si>
    <t>CARC (P. E.)</t>
  </si>
  <si>
    <t>CELU (P. E.)</t>
  </si>
  <si>
    <t>CELU (Cdo.)</t>
  </si>
  <si>
    <t>CELU (24 hs)</t>
  </si>
  <si>
    <t>CGPA2 (P. E.)</t>
  </si>
  <si>
    <t>COLO (P. E.)</t>
  </si>
  <si>
    <t>CVH (P. E.)</t>
  </si>
  <si>
    <t>CVH (24 hs)</t>
  </si>
  <si>
    <t>DOME (P. E.)</t>
  </si>
  <si>
    <t>DYCA (Cdo.)</t>
  </si>
  <si>
    <t>DYCA (24 hs)</t>
  </si>
  <si>
    <t>DYCA (P. E.)</t>
  </si>
  <si>
    <t>ESME (P. E.)</t>
  </si>
  <si>
    <t>FERR (P. E.)</t>
  </si>
  <si>
    <t>FERR (24 hs)</t>
  </si>
  <si>
    <t>FIPL (P. E.)</t>
  </si>
  <si>
    <t>FIPL (Cdo.)</t>
  </si>
  <si>
    <t>GARO (P. E.)</t>
  </si>
  <si>
    <t>GBAN (P. E.)</t>
  </si>
  <si>
    <t>GCLA (P. E.)</t>
  </si>
  <si>
    <t>GRIM (P. E.)</t>
  </si>
  <si>
    <t>HAVA (P. E.)</t>
  </si>
  <si>
    <t>INDU (P. E.)</t>
  </si>
  <si>
    <t>INDU (24 hs)</t>
  </si>
  <si>
    <t>INDU (Cdo.)</t>
  </si>
  <si>
    <t>INTR (P. E.)</t>
  </si>
  <si>
    <t>INVJ (P. E.)</t>
  </si>
  <si>
    <t>IRSA (P. E.)</t>
  </si>
  <si>
    <t>LEDE (P. E.)</t>
  </si>
  <si>
    <t>LONG (24 hs)</t>
  </si>
  <si>
    <t>LONG (P. E.)</t>
  </si>
  <si>
    <t>METR (P. E.)</t>
  </si>
  <si>
    <t>METR (Cdo.)</t>
  </si>
  <si>
    <t>MOLA (P. E.)</t>
  </si>
  <si>
    <t>MOLI (P. E.)</t>
  </si>
  <si>
    <t>NORT6 (P. E.)</t>
  </si>
  <si>
    <t>OEST (P. E.)</t>
  </si>
  <si>
    <t>OEST (Cdo.)</t>
  </si>
  <si>
    <t>PATA (P. E.)</t>
  </si>
  <si>
    <t>PATY (P. E.)</t>
  </si>
  <si>
    <t>PESA (P. E.)</t>
  </si>
  <si>
    <t>PGR (P. E.)</t>
  </si>
  <si>
    <t>PGR (Cdo.)</t>
  </si>
  <si>
    <t>PGR (24 hs)</t>
  </si>
  <si>
    <t>POLL (P. E.)</t>
  </si>
  <si>
    <t>PSUR (P. E.)</t>
  </si>
  <si>
    <t>REP (P. E.)</t>
  </si>
  <si>
    <t>RIGO (P. E.)</t>
  </si>
  <si>
    <t>ROSE (P. E.)</t>
  </si>
  <si>
    <t>SEMI (P. E.)</t>
  </si>
  <si>
    <t>STD (P. E.)</t>
  </si>
  <si>
    <t>SUPV (P. E.)</t>
  </si>
  <si>
    <t>SUPV (Cdo.)</t>
  </si>
  <si>
    <t>TEF (P. E.)</t>
  </si>
  <si>
    <t>TGLT (P. E.)</t>
  </si>
  <si>
    <t>VALO (Cdo.)</t>
  </si>
  <si>
    <t>VALO (P. E.)</t>
  </si>
  <si>
    <t>Cedears Acciones</t>
  </si>
  <si>
    <t>AAPL (P. E.)</t>
  </si>
  <si>
    <t>BA.C (P. E.)</t>
  </si>
  <si>
    <t>BBD (P. E.)</t>
  </si>
  <si>
    <t>C (P. E.)</t>
  </si>
  <si>
    <t>GOOGL (P. E.)</t>
  </si>
  <si>
    <t>HPQ (P. E.)</t>
  </si>
  <si>
    <t>KO (P. E.)</t>
  </si>
  <si>
    <t>MCD (P. E.)</t>
  </si>
  <si>
    <t>MELI (P. E.)</t>
  </si>
  <si>
    <t>MSFT (P. E.)</t>
  </si>
  <si>
    <t>OGZD (P. E.)</t>
  </si>
  <si>
    <t>PEP (P. E.)</t>
  </si>
  <si>
    <t>QCOM (P. E.)</t>
  </si>
  <si>
    <t>VALE (P. E.)</t>
  </si>
  <si>
    <t>VALE (24 hs)</t>
  </si>
  <si>
    <t>Cedears Obligaciones Negociables</t>
  </si>
  <si>
    <t>Cupones</t>
  </si>
  <si>
    <t>Bonos</t>
  </si>
  <si>
    <t>A2E2 (Cdo.)</t>
  </si>
  <si>
    <t>A2E2 (P. E.)</t>
  </si>
  <si>
    <t>A2E2D (P. E.)</t>
  </si>
  <si>
    <t>A2E7 (P. E.)</t>
  </si>
  <si>
    <t>A2E7 (Cdo.)</t>
  </si>
  <si>
    <t>A2E7D (P. E.)</t>
  </si>
  <si>
    <t>A2E7D (Cdo.)</t>
  </si>
  <si>
    <t>AA25 (P. E.)</t>
  </si>
  <si>
    <t>AA25D (P. E.)</t>
  </si>
  <si>
    <t>AA25D (Cdo.)</t>
  </si>
  <si>
    <t>AA26 (P. E.)</t>
  </si>
  <si>
    <t>AA37 (Cdo.)</t>
  </si>
  <si>
    <t>AA37 (P. E.)</t>
  </si>
  <si>
    <t>AA37D (P. E.)</t>
  </si>
  <si>
    <t>AA46 (P. E.)</t>
  </si>
  <si>
    <t>AA46D (P. E.)</t>
  </si>
  <si>
    <t>AC17 (Cdo.)</t>
  </si>
  <si>
    <t>AC17 (P. E.)</t>
  </si>
  <si>
    <t>AC17D (P. E.)</t>
  </si>
  <si>
    <t>AM18 (P. E.)</t>
  </si>
  <si>
    <t>AM20 (P. E.)</t>
  </si>
  <si>
    <t>AMX9 (P. E.)</t>
  </si>
  <si>
    <t>AN18 (Cdo.)</t>
  </si>
  <si>
    <t>AN18 (P. E.)</t>
  </si>
  <si>
    <t>AN18D (P. E.)</t>
  </si>
  <si>
    <t>AO17 (P. E.)</t>
  </si>
  <si>
    <t>AO20 (24 hs)</t>
  </si>
  <si>
    <t>AO20 (Cdo.)</t>
  </si>
  <si>
    <t>AO20 (P. E.)</t>
  </si>
  <si>
    <t>AO20C (P. E.)</t>
  </si>
  <si>
    <t>AO20D (P. E.)</t>
  </si>
  <si>
    <t>AO20D (Cdo.)</t>
  </si>
  <si>
    <t>AY24 (24 hs)</t>
  </si>
  <si>
    <t>AY24 (Cdo.)</t>
  </si>
  <si>
    <t>AY24 (P. E.)</t>
  </si>
  <si>
    <t>AY24C (Cdo.)</t>
  </si>
  <si>
    <t>AY24C (P. E.)</t>
  </si>
  <si>
    <t>AY24D (Cdo.)</t>
  </si>
  <si>
    <t>AY24D (P. E.)</t>
  </si>
  <si>
    <t>AY24D (24 hs)</t>
  </si>
  <si>
    <t>BC20D (P. E.)</t>
  </si>
  <si>
    <t>BDC18 (P. E.)</t>
  </si>
  <si>
    <t>BDC19 (P. E.)</t>
  </si>
  <si>
    <t>BDC20 (P. E.)</t>
  </si>
  <si>
    <t>BDC24 (P. E.)</t>
  </si>
  <si>
    <t>BPLD (P. E.)</t>
  </si>
  <si>
    <t>BPLDD (P. E.)</t>
  </si>
  <si>
    <t>BPMD (P. E.)</t>
  </si>
  <si>
    <t>CO24D (P. E.)</t>
  </si>
  <si>
    <t>CO26 (Cdo.)</t>
  </si>
  <si>
    <t>CO26 (P. E.)</t>
  </si>
  <si>
    <t>CO26D (P. E.)</t>
  </si>
  <si>
    <t>CUAP (P. E.)</t>
  </si>
  <si>
    <t>CUAP (Cdo.)</t>
  </si>
  <si>
    <t>DIA0 (P. E.)</t>
  </si>
  <si>
    <t>DIA0D (P. E.)</t>
  </si>
  <si>
    <t>DICA (Cdo.)</t>
  </si>
  <si>
    <t>DICA (P. E.)</t>
  </si>
  <si>
    <t>DICAC (P. E.)</t>
  </si>
  <si>
    <t>DICAD (Cdo.)</t>
  </si>
  <si>
    <t>DICAD (P. E.)</t>
  </si>
  <si>
    <t>DICP (P. E.)</t>
  </si>
  <si>
    <t>DICP (Cdo.)</t>
  </si>
  <si>
    <t>DICY (Cdo.)</t>
  </si>
  <si>
    <t>DICY (P. E.)</t>
  </si>
  <si>
    <t>DICYD (P. E.)</t>
  </si>
  <si>
    <t>NF18 (Cdo.)</t>
  </si>
  <si>
    <t>NF18 (P. E.)</t>
  </si>
  <si>
    <t>PAA0 (P. E.)</t>
  </si>
  <si>
    <t>PARA (Cdo.)</t>
  </si>
  <si>
    <t>PARA (P. E.)</t>
  </si>
  <si>
    <t>PARAD (P. E.)</t>
  </si>
  <si>
    <t>PARP (P. E.)</t>
  </si>
  <si>
    <t>PARP (24 hs)</t>
  </si>
  <si>
    <t>PARY (P. E.)</t>
  </si>
  <si>
    <t>PARY (Cdo.)</t>
  </si>
  <si>
    <t>PARYD (P. E.)</t>
  </si>
  <si>
    <t>PB24D (P. E.)</t>
  </si>
  <si>
    <t>PBF23 (P. E.)</t>
  </si>
  <si>
    <t>PBY22 (P. E.)</t>
  </si>
  <si>
    <t>PMN18 (P. E.)</t>
  </si>
  <si>
    <t>PMO18 (P. E.)</t>
  </si>
  <si>
    <t>PR13 (Cdo.)</t>
  </si>
  <si>
    <t>PR13 (P. E.)</t>
  </si>
  <si>
    <t>PR15 (Cdo.)</t>
  </si>
  <si>
    <t>PR15 (P. E.)</t>
  </si>
  <si>
    <t>PUM21 (P. E.)</t>
  </si>
  <si>
    <t>PUO19 (P. E.)</t>
  </si>
  <si>
    <t>TC20 (P. E.)</t>
  </si>
  <si>
    <t>TC21 (P. E.)</t>
  </si>
  <si>
    <t>TJ20 (P. E.)</t>
  </si>
  <si>
    <t>TVPA (P. E.)</t>
  </si>
  <si>
    <t>TVPE (P. E.)</t>
  </si>
  <si>
    <t>TVPP (P. E.)</t>
  </si>
  <si>
    <t>TVPY (P. E.)</t>
  </si>
  <si>
    <t>TVPYD (P. E.)</t>
  </si>
  <si>
    <t>TVY0 (P. E.)</t>
  </si>
  <si>
    <t>Letras</t>
  </si>
  <si>
    <t>BAF18 (Cdo.)</t>
  </si>
  <si>
    <t>I15N7 (Cdo.)</t>
  </si>
  <si>
    <t>I15N7 (24 hs)</t>
  </si>
  <si>
    <t>I15N7 (P. E.)</t>
  </si>
  <si>
    <t>I16Y8 (Cdo.)</t>
  </si>
  <si>
    <t>I16Y8 (24 hs)</t>
  </si>
  <si>
    <t>I17E8 (Cdo.)</t>
  </si>
  <si>
    <t>I17E8 (P. E.)</t>
  </si>
  <si>
    <t>I17E8 (24 hs)</t>
  </si>
  <si>
    <t>I18A8 (Cdo.)</t>
  </si>
  <si>
    <t>I18A8 (P. E.)</t>
  </si>
  <si>
    <t>I18O7 (24 hs)</t>
  </si>
  <si>
    <t>I18O7 (Cdo.)</t>
  </si>
  <si>
    <t>I18O7 (P. E.)</t>
  </si>
  <si>
    <t>I20D7 (Cdo.)</t>
  </si>
  <si>
    <t>I20D7 (24 hs)</t>
  </si>
  <si>
    <t>I20DD (Cdo.)</t>
  </si>
  <si>
    <t>I20DD (24 hs)</t>
  </si>
  <si>
    <t>I21F8 (Cdo.)</t>
  </si>
  <si>
    <t>I21F8 (P. E.)</t>
  </si>
  <si>
    <t>I21J8 (P. E.)</t>
  </si>
  <si>
    <t>I21J8 (Cdo.)</t>
  </si>
  <si>
    <t>I21M8 (24 hs)</t>
  </si>
  <si>
    <t>I21M8 (Cdo.)</t>
  </si>
  <si>
    <t>I21MD (24 hs)</t>
  </si>
  <si>
    <t>L2A8C (Cdo.)</t>
  </si>
  <si>
    <t>L2A8D (P. E.)</t>
  </si>
  <si>
    <t>L2DA8 (Cdo.)</t>
  </si>
  <si>
    <t>L2DN7 (Cdo.)</t>
  </si>
  <si>
    <t>L2DN7 (P. E.)</t>
  </si>
  <si>
    <t>L2DO7 (Cdo.)</t>
  </si>
  <si>
    <t>L2S8D (Cdo.)</t>
  </si>
  <si>
    <t>L3A8C (P. E.)</t>
  </si>
  <si>
    <t>L4D8D (24 hs)</t>
  </si>
  <si>
    <t>L4D8D (P. E.)</t>
  </si>
  <si>
    <t>L4DA8 (Cdo.)</t>
  </si>
  <si>
    <t>LB2N7 (24 hs)</t>
  </si>
  <si>
    <t>LDY8D (P. E.)</t>
  </si>
  <si>
    <t>LDY8D (24 hs)</t>
  </si>
  <si>
    <t>LTDD7 (P. E.)</t>
  </si>
  <si>
    <t>LTDF8 (24 hs)</t>
  </si>
  <si>
    <t>LTDF8 (Cdo.)</t>
  </si>
  <si>
    <t>LTDL8 (Cdo.)</t>
  </si>
  <si>
    <t>LTDM8 (P. E.)</t>
  </si>
  <si>
    <t>LTDM8 (Cdo.)</t>
  </si>
  <si>
    <t>LTDN7 (P. E.)</t>
  </si>
  <si>
    <t>LTDN7 (Cdo.)</t>
  </si>
  <si>
    <t>LTDO7 (Cdo.)</t>
  </si>
  <si>
    <t>LTDS8 (P. E.)</t>
  </si>
  <si>
    <t>LTL8D (P. E.)</t>
  </si>
  <si>
    <t>LTM8D (P. E.)</t>
  </si>
  <si>
    <t>LTO8D (24 hs)</t>
  </si>
  <si>
    <t>LTY8D (Cdo.)</t>
  </si>
  <si>
    <t>Opciones</t>
  </si>
  <si>
    <t>AGRC26.0DI</t>
  </si>
  <si>
    <t>AGRC26.0OC</t>
  </si>
  <si>
    <t>AGRC41.0OC</t>
  </si>
  <si>
    <t>ALUC10.38O</t>
  </si>
  <si>
    <t>ALUC11.73O</t>
  </si>
  <si>
    <t>ALUC12.13O</t>
  </si>
  <si>
    <t>ALUC12.9DI</t>
  </si>
  <si>
    <t>ALUC12.9OC</t>
  </si>
  <si>
    <t>ALUC5.80FE</t>
  </si>
  <si>
    <t>AUSC106.OC</t>
  </si>
  <si>
    <t>AUSC110.OC</t>
  </si>
  <si>
    <t>BHIC6.05DI</t>
  </si>
  <si>
    <t>BHIC6.85OC</t>
  </si>
  <si>
    <t>BHIC7.25DI</t>
  </si>
  <si>
    <t>BHIC7.25FE</t>
  </si>
  <si>
    <t>BOLC10.7OC</t>
  </si>
  <si>
    <t>BOLC11.5OC</t>
  </si>
  <si>
    <t>BOLC12.8DI</t>
  </si>
  <si>
    <t>BOLC12.8OC</t>
  </si>
  <si>
    <t>CECC13.0OC</t>
  </si>
  <si>
    <t>CECC14.0DI</t>
  </si>
  <si>
    <t>CECC15.0OC</t>
  </si>
  <si>
    <t>CELC11.0OC</t>
  </si>
  <si>
    <t>CELC12.0OC</t>
  </si>
  <si>
    <t>CELC13.0DI</t>
  </si>
  <si>
    <t>CELC13.0OC</t>
  </si>
  <si>
    <t>CELC16.0OC</t>
  </si>
  <si>
    <t>CEPC21.15O</t>
  </si>
  <si>
    <t>CEPC22.0DI</t>
  </si>
  <si>
    <t>CEPC26.0DI</t>
  </si>
  <si>
    <t>CEPC28.0DI</t>
  </si>
  <si>
    <t>CEPC30.0DI</t>
  </si>
  <si>
    <t>COMC3.028O</t>
  </si>
  <si>
    <t>COMC3.15DI</t>
  </si>
  <si>
    <t>COMC3.165O</t>
  </si>
  <si>
    <t>COMC3.303O</t>
  </si>
  <si>
    <t>COMC3.45DI</t>
  </si>
  <si>
    <t>COMC3.45OC</t>
  </si>
  <si>
    <t>COMC3.60DI</t>
  </si>
  <si>
    <t>COMC3.60OC</t>
  </si>
  <si>
    <t>COMC3.75DI</t>
  </si>
  <si>
    <t>COMC3.75OC</t>
  </si>
  <si>
    <t>COMC3.90DI</t>
  </si>
  <si>
    <t>COMC3.90OC</t>
  </si>
  <si>
    <t>COMC4.05DI</t>
  </si>
  <si>
    <t>COMC4.05OC</t>
  </si>
  <si>
    <t>COMC4.20DI</t>
  </si>
  <si>
    <t>COMC4.20OC</t>
  </si>
  <si>
    <t>COMC4.35OC</t>
  </si>
  <si>
    <t>COMV3.45DI</t>
  </si>
  <si>
    <t>COMV3.60OC</t>
  </si>
  <si>
    <t>CREC28.0OC</t>
  </si>
  <si>
    <t>CREC34.0OC</t>
  </si>
  <si>
    <t>CREC36.0DI</t>
  </si>
  <si>
    <t>CREC36.0OC</t>
  </si>
  <si>
    <t>CREV32.0OC</t>
  </si>
  <si>
    <t>CTOC40.0OC</t>
  </si>
  <si>
    <t>CTOC44.0OC</t>
  </si>
  <si>
    <t>DGCC28.0OC</t>
  </si>
  <si>
    <t>DGCC30.0OC</t>
  </si>
  <si>
    <t>EDNC29.0OC</t>
  </si>
  <si>
    <t>ERAC11.75D</t>
  </si>
  <si>
    <t>ERAC11.75F</t>
  </si>
  <si>
    <t>ERAC11.75O</t>
  </si>
  <si>
    <t>ERAC12.75D</t>
  </si>
  <si>
    <t>ERAC12.75O</t>
  </si>
  <si>
    <t>ERAC13.75D</t>
  </si>
  <si>
    <t>ERAC13.75O</t>
  </si>
  <si>
    <t>ERAC9.25OC</t>
  </si>
  <si>
    <t>FRAC108.FE</t>
  </si>
  <si>
    <t>FRAC108.OC</t>
  </si>
  <si>
    <t>FRAC126.DI</t>
  </si>
  <si>
    <t>GFGC68.0OC</t>
  </si>
  <si>
    <t>GFGC70.0OC</t>
  </si>
  <si>
    <t>GFGC72.0OC</t>
  </si>
  <si>
    <t>GFGC74.0OC</t>
  </si>
  <si>
    <t>GFGC76.0OC</t>
  </si>
  <si>
    <t>GFGC78.0OC</t>
  </si>
  <si>
    <t>GFGC80.0DI</t>
  </si>
  <si>
    <t>GFGC80.0OC</t>
  </si>
  <si>
    <t>GFGC82.0OC</t>
  </si>
  <si>
    <t>GFGC84.0DI</t>
  </si>
  <si>
    <t>GFGC84.0OC</t>
  </si>
  <si>
    <t>GFGC86.0DI</t>
  </si>
  <si>
    <t>GFGC86.0OC</t>
  </si>
  <si>
    <t>GFGC88.0OC</t>
  </si>
  <si>
    <t>GFGC90.0DI</t>
  </si>
  <si>
    <t>GFGC90.0OC</t>
  </si>
  <si>
    <t>GFGC93.0OC</t>
  </si>
  <si>
    <t>GFGC96.0DI</t>
  </si>
  <si>
    <t>GFGC96.0OC</t>
  </si>
  <si>
    <t>GFGC99.0DI</t>
  </si>
  <si>
    <t>GFGV60.0OC</t>
  </si>
  <si>
    <t>GFGV72.0OC</t>
  </si>
  <si>
    <t>GFGV74.0OC</t>
  </si>
  <si>
    <t>GFGV76.0OC</t>
  </si>
  <si>
    <t>GFGV78.0OC</t>
  </si>
  <si>
    <t>GFGV80.0OC</t>
  </si>
  <si>
    <t>GFGV82.0OC</t>
  </si>
  <si>
    <t>GFGV84.0OC</t>
  </si>
  <si>
    <t>GFGV86.0OC</t>
  </si>
  <si>
    <t>GFGV88.0DI</t>
  </si>
  <si>
    <t>GFGV88.0OC</t>
  </si>
  <si>
    <t>GVAC4.20DI</t>
  </si>
  <si>
    <t>GVAC4.20OC</t>
  </si>
  <si>
    <t>INDC3.60DI</t>
  </si>
  <si>
    <t>INDC3.60FE</t>
  </si>
  <si>
    <t>INDC3.60OC</t>
  </si>
  <si>
    <t>JMIC40.0OC</t>
  </si>
  <si>
    <t>JMIC46.0OC</t>
  </si>
  <si>
    <t>JMIC50.0DI</t>
  </si>
  <si>
    <t>JMIC54.0OC</t>
  </si>
  <si>
    <t>LEDC13.5OC</t>
  </si>
  <si>
    <t>LEDC15.5OC</t>
  </si>
  <si>
    <t>METC25.0OC</t>
  </si>
  <si>
    <t>MIRC330.OC</t>
  </si>
  <si>
    <t>MIRC420.OC</t>
  </si>
  <si>
    <t>PAMC34.1OC</t>
  </si>
  <si>
    <t>PAMC38.1DI</t>
  </si>
  <si>
    <t>PAMC38.1OC</t>
  </si>
  <si>
    <t>PAMC40.1OC</t>
  </si>
  <si>
    <t>PAMC42.1DI</t>
  </si>
  <si>
    <t>PAMC42.1OC</t>
  </si>
  <si>
    <t>PAMC43.1DI</t>
  </si>
  <si>
    <t>PAMC43.1OC</t>
  </si>
  <si>
    <t>PAMC44.1DI</t>
  </si>
  <si>
    <t>PAMC44.1OC</t>
  </si>
  <si>
    <t>PAMC45.1OC</t>
  </si>
  <si>
    <t>PAMC47.0DI</t>
  </si>
  <si>
    <t>PAMC47.0OC</t>
  </si>
  <si>
    <t>PAMC49.0OC</t>
  </si>
  <si>
    <t>PAMV40.1DI</t>
  </si>
  <si>
    <t>PAMV40.1OC</t>
  </si>
  <si>
    <t>PAMV42.1OC</t>
  </si>
  <si>
    <t>PAMV43.1OC</t>
  </si>
  <si>
    <t>PAMV45.1OC</t>
  </si>
  <si>
    <t>PBRC70.4OC</t>
  </si>
  <si>
    <t>PBRC74.4OC</t>
  </si>
  <si>
    <t>PBRC78.4OC</t>
  </si>
  <si>
    <t>PBRC82.4OC</t>
  </si>
  <si>
    <t>PBRC86.4DI</t>
  </si>
  <si>
    <t>PBRC86.4OC</t>
  </si>
  <si>
    <t>PBRC90.4OC</t>
  </si>
  <si>
    <t>PBRC94.4OC</t>
  </si>
  <si>
    <t>PBRC98.4DI</t>
  </si>
  <si>
    <t>PBRC98.4OC</t>
  </si>
  <si>
    <t>PBRV82.4OC</t>
  </si>
  <si>
    <t>PBRV86.4OC</t>
  </si>
  <si>
    <t>PETC90.0OC</t>
  </si>
  <si>
    <t>PGRC10.0OC</t>
  </si>
  <si>
    <t>PGRC11.5DI</t>
  </si>
  <si>
    <t>PGRC12.0OC</t>
  </si>
  <si>
    <t>PGRC13.0OC</t>
  </si>
  <si>
    <t>PGRC14.0DI</t>
  </si>
  <si>
    <t>PGRC14.0OC</t>
  </si>
  <si>
    <t>PGRC15.0DI</t>
  </si>
  <si>
    <t>PGRC15.0OC</t>
  </si>
  <si>
    <t>PGRC16.0DI</t>
  </si>
  <si>
    <t>PGRC16.0OC</t>
  </si>
  <si>
    <t>PGRC17.0OC</t>
  </si>
  <si>
    <t>PTYC9.50OC</t>
  </si>
  <si>
    <t>SUPC80.0OC</t>
  </si>
  <si>
    <t>TECC110.OC</t>
  </si>
  <si>
    <t>TGNC23.0OC</t>
  </si>
  <si>
    <t>TGNC30.0FE</t>
  </si>
  <si>
    <t>TGNC38.0DI</t>
  </si>
  <si>
    <t>TGNC43.0DI</t>
  </si>
  <si>
    <t>TGNC44.0OC</t>
  </si>
  <si>
    <t>TGSC50.0OC</t>
  </si>
  <si>
    <t>TGSC60.0DI</t>
  </si>
  <si>
    <t>TGSC60.0OC</t>
  </si>
  <si>
    <t>TGSC72.0DI</t>
  </si>
  <si>
    <t>TRAC30.0OC</t>
  </si>
  <si>
    <t>TRAC34.0OC</t>
  </si>
  <si>
    <t>TRAC40.0DI</t>
  </si>
  <si>
    <t>TRAC40.0OC</t>
  </si>
  <si>
    <t>TS.C232.OC</t>
  </si>
  <si>
    <t>TS.C248.OC</t>
  </si>
  <si>
    <t>TS.C256.OC</t>
  </si>
  <si>
    <t>TS.V240.OC</t>
  </si>
  <si>
    <t>YPFC360.OC</t>
  </si>
  <si>
    <t>YPFC37818O</t>
  </si>
  <si>
    <t>YPFC400.DI</t>
  </si>
  <si>
    <t>YPFC400.OC</t>
  </si>
  <si>
    <t>YPFV260.OC</t>
  </si>
  <si>
    <t>YPFV340.FE</t>
  </si>
  <si>
    <t>YPFV37818O</t>
  </si>
  <si>
    <t>Futuros</t>
  </si>
  <si>
    <t>Especies Fideicomisos</t>
  </si>
  <si>
    <t>VC7AD (24 hs)</t>
  </si>
  <si>
    <t>VC7BD (24 hs)</t>
  </si>
  <si>
    <t>Especies Obligaciones Negociables</t>
  </si>
  <si>
    <t>BKC4D (Cdo.)</t>
  </si>
  <si>
    <t>BKC4V (Cdo.)</t>
  </si>
  <si>
    <t>RA31D (P. E.)</t>
  </si>
  <si>
    <t>RCC9O (Cdo.)</t>
  </si>
  <si>
    <t>Avisos de la Bolsa</t>
  </si>
  <si>
    <t>Sociedad</t>
  </si>
  <si>
    <t>Información</t>
  </si>
  <si>
    <t>Tamaño</t>
  </si>
  <si>
    <t>Cámara Argentina de Fondos Comunes de Inversión</t>
  </si>
  <si>
    <t>MERCADO ABIERTO ELECTRONICO</t>
  </si>
  <si>
    <t>29/09/2017 17:28</t>
  </si>
  <si>
    <t>TERCEROS + CP</t>
  </si>
  <si>
    <t xml:space="preserve">VALORES RESIDUALES                               </t>
  </si>
  <si>
    <t>Codigo de Titulo</t>
  </si>
  <si>
    <t xml:space="preserve">Cantidad </t>
  </si>
  <si>
    <t>Monto</t>
  </si>
  <si>
    <t>Precio Prom.</t>
  </si>
  <si>
    <t>Cierre</t>
  </si>
  <si>
    <t>Obs.</t>
  </si>
  <si>
    <t>de Titulos</t>
  </si>
  <si>
    <t>Operado</t>
  </si>
  <si>
    <t>Ponderado</t>
  </si>
  <si>
    <t>Anterior</t>
  </si>
  <si>
    <t>HOY</t>
  </si>
  <si>
    <t>A2E7D 002002D</t>
  </si>
  <si>
    <t>NR</t>
  </si>
  <si>
    <t>AA19D 002002$</t>
  </si>
  <si>
    <t>AA19D 002002D</t>
  </si>
  <si>
    <t/>
  </si>
  <si>
    <t>AA21D 002002$</t>
  </si>
  <si>
    <t>AA21D 002002D</t>
  </si>
  <si>
    <t>AA22P 002000$</t>
  </si>
  <si>
    <t>AA22P 003002$</t>
  </si>
  <si>
    <t>AA22P 003002D</t>
  </si>
  <si>
    <t>PP</t>
  </si>
  <si>
    <t>AA26D 002002D</t>
  </si>
  <si>
    <t>AA37D 001002D</t>
  </si>
  <si>
    <t>AC17D 001002D</t>
  </si>
  <si>
    <t>AM18D 007000$</t>
  </si>
  <si>
    <t>AM18D 007002$</t>
  </si>
  <si>
    <t>AM20P 007002$</t>
  </si>
  <si>
    <t>AMX8P 007000$</t>
  </si>
  <si>
    <t>AMX8P 007002$</t>
  </si>
  <si>
    <t>AMX9P 019000$</t>
  </si>
  <si>
    <t>AMX9P 019002$</t>
  </si>
  <si>
    <t>AN18D 012000$</t>
  </si>
  <si>
    <t>AN18D 012000D</t>
  </si>
  <si>
    <t>AN18D 012002D</t>
  </si>
  <si>
    <t>AO17P 008002$</t>
  </si>
  <si>
    <t>AO17P 008002D</t>
  </si>
  <si>
    <t>AO20D 004000D</t>
  </si>
  <si>
    <t>AO20D 004002$</t>
  </si>
  <si>
    <t>AO20D 004002D</t>
  </si>
  <si>
    <t>AY24D 007000$</t>
  </si>
  <si>
    <t>AY24D 007001$</t>
  </si>
  <si>
    <t>AY24D 007001D</t>
  </si>
  <si>
    <t>AY24D 007002$</t>
  </si>
  <si>
    <t>AY24D 007002D</t>
  </si>
  <si>
    <t>BACAO 002000$</t>
  </si>
  <si>
    <t>BCC9O 004002$</t>
  </si>
  <si>
    <t>BDC19 009002$</t>
  </si>
  <si>
    <t>BDC22 003002$</t>
  </si>
  <si>
    <t>BDC24 003002$</t>
  </si>
  <si>
    <t>BDCAO 004002$</t>
  </si>
  <si>
    <t>BHCVO 004002D</t>
  </si>
  <si>
    <t>BMCGO 007002$</t>
  </si>
  <si>
    <t>BNCDO 005002$</t>
  </si>
  <si>
    <t>BNF21 003000$</t>
  </si>
  <si>
    <t>BNF21 003002$</t>
  </si>
  <si>
    <t>BNJ18 004000$</t>
  </si>
  <si>
    <t>BOC5O 002002$</t>
  </si>
  <si>
    <t>BP28D 021000$</t>
  </si>
  <si>
    <t>BPCAO 003000$</t>
  </si>
  <si>
    <t>CO21D 003002D</t>
  </si>
  <si>
    <t>CO27D 001002D</t>
  </si>
  <si>
    <t>DICA  028002D</t>
  </si>
  <si>
    <t>DICP  028002$</t>
  </si>
  <si>
    <t>DICY  028000D</t>
  </si>
  <si>
    <t>ERF25 002002D</t>
  </si>
  <si>
    <t>FTCBO 005002$</t>
  </si>
  <si>
    <t>I15N7    000$</t>
  </si>
  <si>
    <t>I15N7    001$</t>
  </si>
  <si>
    <t>I15N7    002$</t>
  </si>
  <si>
    <t>I16Y8    000$</t>
  </si>
  <si>
    <t>I16Y8    001$</t>
  </si>
  <si>
    <t>I17E8    000$</t>
  </si>
  <si>
    <t>I17E8    000D</t>
  </si>
  <si>
    <t>I17E8    001$</t>
  </si>
  <si>
    <t>I18A8    000$</t>
  </si>
  <si>
    <t>I18A8    001$</t>
  </si>
  <si>
    <t>I18O7    000$</t>
  </si>
  <si>
    <t>I18O7    000D</t>
  </si>
  <si>
    <t>I18O7    001$</t>
  </si>
  <si>
    <t>I18O7    002$</t>
  </si>
  <si>
    <t>I20D7    000$</t>
  </si>
  <si>
    <t>I20D7    001$</t>
  </si>
  <si>
    <t>I21F8    000$</t>
  </si>
  <si>
    <t>I21F8    001$</t>
  </si>
  <si>
    <t>I21J8    000$</t>
  </si>
  <si>
    <t>I21J8    001$</t>
  </si>
  <si>
    <t>I21J8    002$</t>
  </si>
  <si>
    <t>I21M8    000$</t>
  </si>
  <si>
    <t>I21M8    001$</t>
  </si>
  <si>
    <t>JHCBO 002002$</t>
  </si>
  <si>
    <t>JUS22 001000D</t>
  </si>
  <si>
    <t>L2DD7    000D</t>
  </si>
  <si>
    <t>L2DD7    002D</t>
  </si>
  <si>
    <t>L2DE8    002D</t>
  </si>
  <si>
    <t>L2DF8    001D</t>
  </si>
  <si>
    <t>L2DF8    002D</t>
  </si>
  <si>
    <t>L2DN7    001$</t>
  </si>
  <si>
    <t>L2DO7    000D</t>
  </si>
  <si>
    <t>L2DS8    000$</t>
  </si>
  <si>
    <t>L2DS8    000D</t>
  </si>
  <si>
    <t>L2DY8    000D</t>
  </si>
  <si>
    <t>L2DY8    001D</t>
  </si>
  <si>
    <t>L3DA8    001D</t>
  </si>
  <si>
    <t>L4DA8    001D</t>
  </si>
  <si>
    <t>LTDD7    000D</t>
  </si>
  <si>
    <t>LTDD7    002D</t>
  </si>
  <si>
    <t>LTDE8    002D</t>
  </si>
  <si>
    <t>LTDF8    001D</t>
  </si>
  <si>
    <t>LTDG8    000$</t>
  </si>
  <si>
    <t>LTDL8    000D</t>
  </si>
  <si>
    <t>LTDL8    001D</t>
  </si>
  <si>
    <t>LTDL8    002D</t>
  </si>
  <si>
    <t>LTDM8    000D</t>
  </si>
  <si>
    <t>LTDM8    001D</t>
  </si>
  <si>
    <t>LTDN7    000D</t>
  </si>
  <si>
    <t>LTDO7    001D</t>
  </si>
  <si>
    <t>MGC1O 002000$</t>
  </si>
  <si>
    <t>PANA1 015000D</t>
  </si>
  <si>
    <t>PBM24 004000D</t>
  </si>
  <si>
    <t>PBM24 004002D</t>
  </si>
  <si>
    <t>PBY22 002002$</t>
  </si>
  <si>
    <t>PMJ21 002002$</t>
  </si>
  <si>
    <t>PMN18 003000$</t>
  </si>
  <si>
    <t>PR13  043002$</t>
  </si>
  <si>
    <t>PR15  014002$</t>
  </si>
  <si>
    <t>RB36O 003002$</t>
  </si>
  <si>
    <t>RPC4O 001002$</t>
  </si>
  <si>
    <t>RSC8O 005000$</t>
  </si>
  <si>
    <t>TC20P 002002$</t>
  </si>
  <si>
    <t>TC20P 002002D</t>
  </si>
  <si>
    <t>TC21P 003000$</t>
  </si>
  <si>
    <t>TC21P 003001$</t>
  </si>
  <si>
    <t>TC21P 003002$</t>
  </si>
  <si>
    <t>TC21P 003002D</t>
  </si>
  <si>
    <t>TJ20P 002000$</t>
  </si>
  <si>
    <t>TJ20P 002001$</t>
  </si>
  <si>
    <t>TJ20P 002002$</t>
  </si>
  <si>
    <t>TJ20P 002002D</t>
  </si>
  <si>
    <t>TLS3O 004002$</t>
  </si>
  <si>
    <t>TM18P 003002$</t>
  </si>
  <si>
    <t>TM18P 003002D</t>
  </si>
  <si>
    <t>TO21P 002000$</t>
  </si>
  <si>
    <t>TO21P 002001$</t>
  </si>
  <si>
    <t>TO21P 002001D</t>
  </si>
  <si>
    <t>TO21P 003002D</t>
  </si>
  <si>
    <t>TO23P 002000$</t>
  </si>
  <si>
    <t>TO23P 002002D</t>
  </si>
  <si>
    <t>TO26P 002000$</t>
  </si>
  <si>
    <t>TO26P 002002D</t>
  </si>
  <si>
    <t>TS18P 003000$</t>
  </si>
  <si>
    <t>TS18P 003002$</t>
  </si>
  <si>
    <t>TS18P 003002D</t>
  </si>
  <si>
    <t>TSC1O 008000$</t>
  </si>
  <si>
    <t>TVPY  012000$</t>
  </si>
  <si>
    <t>TYCNO 003002$</t>
  </si>
  <si>
    <t>YCA8O 005002$</t>
  </si>
  <si>
    <t>YTM o Margen</t>
  </si>
  <si>
    <t>Fuente de Precios</t>
  </si>
  <si>
    <t>MAE</t>
  </si>
  <si>
    <t>BCBA</t>
  </si>
  <si>
    <t>MAE (ppp)</t>
  </si>
  <si>
    <t>Valuado B+425</t>
  </si>
  <si>
    <t>Valuado B+400</t>
  </si>
  <si>
    <t>Valuado B+450</t>
  </si>
  <si>
    <t>Valuado B+500</t>
  </si>
  <si>
    <t>Valuado B+375</t>
  </si>
  <si>
    <t>faltan 3,14mm</t>
  </si>
  <si>
    <t>Ult operado 100,64 27-09 t+2 MAE B+435</t>
  </si>
  <si>
    <t>Ult operado 103,78 01-09 t+0 MAE B+500</t>
  </si>
  <si>
    <t>Ult operado 103,50 25-09 t+2 MAE B+435</t>
  </si>
  <si>
    <t>Ult operado 100,43 04-10 t+2 MAE b+410</t>
  </si>
  <si>
    <t>Ult operado 104,50 29-09 t+2 MAE b+315</t>
  </si>
  <si>
    <t>Ult operado 101,64 22-08 t+2 MAE B+420</t>
  </si>
  <si>
    <t>Ult operado 103,10 29-09 t+2 MAE b+297</t>
  </si>
  <si>
    <t>Ult operado 68,01 27-09 t+2 mae b+395</t>
  </si>
  <si>
    <t>Ult operado 105,65 26-09 t+1 mae b+330</t>
  </si>
  <si>
    <t>Ult operado 1948 26-09 t+2 BCBA 4,15</t>
  </si>
  <si>
    <t>Ult operado 100,25 08-09 t+2 BCBA b+500</t>
  </si>
  <si>
    <t>Ult operado 91,60 17-08 t+2 mae b+390</t>
  </si>
  <si>
    <t>Ult operado 94,28 29-9 t+2 MAE b+360</t>
  </si>
  <si>
    <t>Ult operado 2067 29-09 t+2 mae 5,6%</t>
  </si>
  <si>
    <t>Valuado B+435</t>
  </si>
  <si>
    <t>ARARGE3204M0</t>
  </si>
  <si>
    <t>ARGPAT5600E6</t>
  </si>
  <si>
    <t>ARARGE03G621</t>
  </si>
  <si>
    <t>ARBNAC030255</t>
  </si>
  <si>
    <t>ARIPSA050207</t>
  </si>
  <si>
    <t>ARIPSA050215</t>
  </si>
  <si>
    <t>ARARGE03H348</t>
  </si>
  <si>
    <t>USP989MJAY76</t>
  </si>
  <si>
    <t>ARARGE320093</t>
  </si>
  <si>
    <t>ARYPFS560010</t>
  </si>
  <si>
    <t>ARYPFS560085</t>
  </si>
  <si>
    <t>ARARGE3200T3</t>
  </si>
  <si>
    <t>ARPANE560055</t>
  </si>
  <si>
    <t>ARPANE560063</t>
  </si>
  <si>
    <t>ARTCFA5600A4</t>
  </si>
  <si>
    <t>ARARGE3201A1</t>
  </si>
  <si>
    <t>ARARGE3201B9</t>
  </si>
  <si>
    <t>ARJDCC560022</t>
  </si>
  <si>
    <t>ARGPAT560065</t>
  </si>
  <si>
    <t>ARITAU560074</t>
  </si>
  <si>
    <t>ARARGE320283</t>
  </si>
  <si>
    <t>ARTACU5600D7</t>
  </si>
  <si>
    <t>ARFRAN560094</t>
  </si>
  <si>
    <t>ARFICR560057</t>
  </si>
  <si>
    <t>ARROMB560069</t>
  </si>
  <si>
    <t>ARTANA5600C8</t>
  </si>
  <si>
    <t>ARTCFA5600E6</t>
  </si>
  <si>
    <t>ARTACU5600F2</t>
  </si>
  <si>
    <t>ARROMB5600A7</t>
  </si>
  <si>
    <t>ARTELM560034</t>
  </si>
  <si>
    <t>ARGPAT5600A4</t>
  </si>
  <si>
    <t>ARROMB5600B5</t>
  </si>
  <si>
    <t>ARBHIP5600O4</t>
  </si>
  <si>
    <t>ARBRIO5600D9</t>
  </si>
  <si>
    <t>ARBRIO5600F4</t>
  </si>
  <si>
    <t>ARARGE3203R1</t>
  </si>
  <si>
    <t>US040114HK99</t>
  </si>
  <si>
    <t>ARARCS560050</t>
  </si>
  <si>
    <t>ARBHIP5600P1</t>
  </si>
  <si>
    <t>ISIN</t>
  </si>
  <si>
    <t>Codigo de Caja</t>
  </si>
  <si>
    <t>xxxxxx</t>
  </si>
  <si>
    <t>ARARGE03H413</t>
  </si>
  <si>
    <t>RSAI</t>
  </si>
  <si>
    <t>Faltan 3,079mm. Ult operado 98,30 11-08 t+3 BCBA B+472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</si>
</sst>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9">
    <numFmt numFmtId="164" formatCode="_(* #,##0.00_);_(* \(#,##0.00\);_(* &quot;-&quot;??_);_(@_)"/>
    <numFmt numFmtId="165" formatCode="_-* #,##0.00\ _€_-;\-* #,##0.00\ _€_-;_-* &quot;-&quot;??\ _€_-;_-@_-"/>
    <numFmt numFmtId="166" formatCode="#,##0.0000"/>
    <numFmt numFmtId="167" formatCode="#,##0.00_ ;\-#,##0.00\ "/>
    <numFmt numFmtId="168" formatCode="0.0000"/>
    <numFmt numFmtId="169" formatCode="#,##0_ ;\-#,##0\ "/>
    <numFmt numFmtId="170" formatCode="##,###,###,###,##0.00"/>
    <numFmt numFmtId="171" formatCode="###,###,##0.00000000"/>
    <numFmt numFmtId="172" formatCode="0.000%"/>
  </numFmts>
  <fonts count="16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1"/>
      <color theme="1"/>
      <name val="Calibri"/>
      <family val="2"/>
      <scheme val="minor"/>
    </font>
    <font>
      <u/>
      <sz val="11"/>
      <color theme="1"/>
      <name val="Calibri"/>
      <family val="2"/>
      <scheme val="minor"/>
    </font>
    <font>
      <sz val="11"/>
      <name val="Calibri"/>
      <family val="2"/>
      <scheme val="minor"/>
    </font>
    <font>
      <b/>
      <sz val="8"/>
      <color rgb="FF92B407"/>
      <name val="Verdana"/>
      <family val="2"/>
    </font>
    <font>
      <sz val="11"/>
      <color theme="1"/>
      <name val="Verdana"/>
      <family val="2"/>
    </font>
    <font>
      <b/>
      <sz val="11"/>
      <color rgb="FF92B407"/>
      <name val="Verdana"/>
      <family val="2"/>
    </font>
    <font>
      <sz val="8"/>
      <color rgb="FF333333"/>
      <name val="Verdana"/>
      <family val="2"/>
    </font>
    <font>
      <b/>
      <sz val="8"/>
      <color rgb="FF000000"/>
      <name val="Verdana"/>
      <family val="2"/>
    </font>
    <font>
      <sz val="8"/>
      <color rgb="FF000099"/>
      <name val="Verdana"/>
      <family val="2"/>
    </font>
    <font>
      <b/>
      <sz val="10"/>
      <name val="Arial"/>
      <family val="2"/>
    </font>
    <font>
      <b/>
      <sz val="10"/>
      <color indexed="57"/>
      <name val="Arial"/>
      <family val="2"/>
    </font>
    <font>
      <b/>
      <sz val="10"/>
      <color indexed="52"/>
      <name val="Arial"/>
      <family val="2"/>
    </font>
    <font>
      <sz val="11"/>
      <color theme="0" tint="-0.14999847407452621"/>
      <name val="Calibri"/>
      <family val="2"/>
      <scheme val="minor"/>
    </font>
  </fonts>
  <fills count="12">
    <fill>
      <patternFill patternType="none"/>
    </fill>
    <fill>
      <patternFill patternType="gray125"/>
    </fill>
    <fill>
      <patternFill patternType="solid">
        <fgColor theme="2" tint="-0.49998474074526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rgb="FFCCCCCC"/>
        <bgColor indexed="64"/>
      </patternFill>
    </fill>
    <fill>
      <patternFill patternType="solid">
        <fgColor rgb="FFDBEDA5"/>
        <bgColor indexed="64"/>
      </patternFill>
    </fill>
    <fill>
      <patternFill patternType="solid">
        <fgColor rgb="FFF5F5FC"/>
        <bgColor indexed="64"/>
      </patternFill>
    </fill>
    <fill>
      <patternFill patternType="solid">
        <fgColor rgb="FFEFF7D7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theme="2" tint="-0.749992370372631"/>
        <bgColor indexed="64"/>
      </patternFill>
    </fill>
    <fill>
      <patternFill patternType="solid">
        <fgColor rgb="FFFFFF00"/>
        <bgColor indexed="64"/>
      </patternFill>
    </fill>
  </fills>
  <borders count="16">
    <border>
      <left/>
      <right/>
      <top/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4">
    <xf numFmtId="0" fontId="0" fillId="0" borderId="0"/>
    <xf numFmtId="165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</cellStyleXfs>
  <cellXfs count="146">
    <xf numFmtId="0" fontId="0" fillId="0" borderId="0" xfId="0"/>
    <xf numFmtId="0" fontId="2" fillId="2" borderId="1" xfId="0" applyFont="1" applyFill="1" applyBorder="1" applyAlignment="1">
      <alignment horizontal="center" vertical="center" wrapText="1"/>
    </xf>
    <xf numFmtId="3" fontId="2" fillId="2" borderId="1" xfId="0" applyNumberFormat="1" applyFont="1" applyFill="1" applyBorder="1" applyAlignment="1">
      <alignment horizontal="center" vertical="center" wrapText="1"/>
    </xf>
    <xf numFmtId="166" fontId="2" fillId="2" borderId="1" xfId="0" applyNumberFormat="1" applyFont="1" applyFill="1" applyBorder="1" applyAlignment="1">
      <alignment horizontal="center" vertical="center" wrapText="1"/>
    </xf>
    <xf numFmtId="10" fontId="2" fillId="2" borderId="1" xfId="2" applyNumberFormat="1" applyFont="1" applyFill="1" applyBorder="1" applyAlignment="1">
      <alignment horizontal="center" vertical="center" wrapText="1"/>
    </xf>
    <xf numFmtId="0" fontId="0" fillId="3" borderId="0" xfId="0" applyFont="1" applyFill="1" applyBorder="1"/>
    <xf numFmtId="0" fontId="0" fillId="0" borderId="0" xfId="0" applyFont="1"/>
    <xf numFmtId="0" fontId="0" fillId="4" borderId="0" xfId="0" applyFont="1" applyFill="1" applyBorder="1" applyAlignment="1">
      <alignment horizontal="left" vertical="center" wrapText="1"/>
    </xf>
    <xf numFmtId="0" fontId="3" fillId="4" borderId="0" xfId="0" applyFont="1" applyFill="1" applyBorder="1" applyAlignment="1">
      <alignment horizontal="center" vertical="center" wrapText="1"/>
    </xf>
    <xf numFmtId="3" fontId="3" fillId="4" borderId="0" xfId="0" applyNumberFormat="1" applyFont="1" applyFill="1" applyBorder="1" applyAlignment="1">
      <alignment horizontal="center" vertical="center" wrapText="1"/>
    </xf>
    <xf numFmtId="166" fontId="3" fillId="4" borderId="0" xfId="0" applyNumberFormat="1" applyFont="1" applyFill="1" applyBorder="1" applyAlignment="1">
      <alignment horizontal="center" vertical="center" wrapText="1"/>
    </xf>
    <xf numFmtId="10" fontId="3" fillId="4" borderId="0" xfId="2" applyNumberFormat="1" applyFont="1" applyFill="1" applyBorder="1" applyAlignment="1">
      <alignment horizontal="center" vertical="center" wrapText="1"/>
    </xf>
    <xf numFmtId="10" fontId="0" fillId="3" borderId="0" xfId="2" applyNumberFormat="1" applyFont="1" applyFill="1" applyAlignment="1">
      <alignment horizontal="center"/>
    </xf>
    <xf numFmtId="0" fontId="4" fillId="3" borderId="0" xfId="0" applyFont="1" applyFill="1" applyBorder="1" applyAlignment="1">
      <alignment horizontal="left" vertical="center" wrapText="1"/>
    </xf>
    <xf numFmtId="0" fontId="3" fillId="3" borderId="0" xfId="0" applyFont="1" applyFill="1" applyBorder="1" applyAlignment="1">
      <alignment horizontal="center" vertical="center" wrapText="1"/>
    </xf>
    <xf numFmtId="3" fontId="3" fillId="3" borderId="0" xfId="0" applyNumberFormat="1" applyFont="1" applyFill="1" applyBorder="1" applyAlignment="1">
      <alignment horizontal="center" vertical="center" wrapText="1"/>
    </xf>
    <xf numFmtId="166" fontId="3" fillId="3" borderId="0" xfId="0" applyNumberFormat="1" applyFont="1" applyFill="1" applyBorder="1" applyAlignment="1">
      <alignment horizontal="center" vertical="center" wrapText="1"/>
    </xf>
    <xf numFmtId="10" fontId="3" fillId="3" borderId="0" xfId="2" applyNumberFormat="1" applyFont="1" applyFill="1" applyBorder="1" applyAlignment="1">
      <alignment horizontal="center" vertical="center" wrapText="1"/>
    </xf>
    <xf numFmtId="10" fontId="0" fillId="3" borderId="0" xfId="3" applyNumberFormat="1" applyFont="1" applyFill="1" applyAlignment="1">
      <alignment horizontal="center"/>
    </xf>
    <xf numFmtId="14" fontId="0" fillId="3" borderId="0" xfId="0" applyNumberFormat="1" applyFont="1" applyFill="1" applyAlignment="1">
      <alignment horizontal="center"/>
    </xf>
    <xf numFmtId="0" fontId="0" fillId="3" borderId="0" xfId="0" applyFont="1" applyFill="1" applyAlignment="1">
      <alignment horizontal="center"/>
    </xf>
    <xf numFmtId="3" fontId="0" fillId="3" borderId="0" xfId="0" applyNumberFormat="1" applyFont="1" applyFill="1"/>
    <xf numFmtId="166" fontId="0" fillId="3" borderId="0" xfId="0" applyNumberFormat="1" applyFont="1" applyFill="1" applyAlignment="1">
      <alignment horizontal="center"/>
    </xf>
    <xf numFmtId="167" fontId="0" fillId="3" borderId="0" xfId="0" applyNumberFormat="1" applyFont="1" applyFill="1"/>
    <xf numFmtId="10" fontId="0" fillId="3" borderId="0" xfId="2" applyNumberFormat="1" applyFont="1" applyFill="1" applyAlignment="1">
      <alignment horizontal="center" vertical="center"/>
    </xf>
    <xf numFmtId="4" fontId="0" fillId="3" borderId="0" xfId="0" applyNumberFormat="1" applyFont="1" applyFill="1" applyAlignment="1">
      <alignment horizontal="center"/>
    </xf>
    <xf numFmtId="10" fontId="0" fillId="3" borderId="0" xfId="2" quotePrefix="1" applyNumberFormat="1" applyFont="1" applyFill="1" applyAlignment="1">
      <alignment horizontal="center"/>
    </xf>
    <xf numFmtId="4" fontId="0" fillId="3" borderId="0" xfId="0" applyNumberFormat="1" applyFont="1" applyFill="1" applyAlignment="1">
      <alignment horizontal="center" vertical="center"/>
    </xf>
    <xf numFmtId="168" fontId="0" fillId="3" borderId="0" xfId="0" quotePrefix="1" applyNumberFormat="1" applyFont="1" applyFill="1" applyAlignment="1">
      <alignment horizontal="center"/>
    </xf>
    <xf numFmtId="0" fontId="0" fillId="3" borderId="0" xfId="0" applyFont="1" applyFill="1"/>
    <xf numFmtId="0" fontId="0" fillId="0" borderId="0" xfId="0" applyFont="1" applyFill="1"/>
    <xf numFmtId="4" fontId="0" fillId="3" borderId="0" xfId="0" applyNumberFormat="1" applyFont="1" applyFill="1"/>
    <xf numFmtId="0" fontId="4" fillId="3" borderId="0" xfId="0" applyFont="1" applyFill="1" applyBorder="1"/>
    <xf numFmtId="0" fontId="0" fillId="4" borderId="0" xfId="0" applyFont="1" applyFill="1"/>
    <xf numFmtId="14" fontId="0" fillId="4" borderId="0" xfId="0" applyNumberFormat="1" applyFont="1" applyFill="1"/>
    <xf numFmtId="3" fontId="0" fillId="4" borderId="0" xfId="0" applyNumberFormat="1" applyFont="1" applyFill="1"/>
    <xf numFmtId="166" fontId="0" fillId="4" borderId="0" xfId="0" applyNumberFormat="1" applyFont="1" applyFill="1" applyAlignment="1">
      <alignment horizontal="center"/>
    </xf>
    <xf numFmtId="164" fontId="3" fillId="4" borderId="0" xfId="0" applyNumberFormat="1" applyFont="1" applyFill="1"/>
    <xf numFmtId="0" fontId="3" fillId="4" borderId="0" xfId="0" applyFont="1" applyFill="1" applyAlignment="1">
      <alignment horizontal="center"/>
    </xf>
    <xf numFmtId="4" fontId="3" fillId="4" borderId="0" xfId="0" applyNumberFormat="1" applyFont="1" applyFill="1" applyAlignment="1">
      <alignment horizontal="center" vertical="center"/>
    </xf>
    <xf numFmtId="10" fontId="3" fillId="4" borderId="0" xfId="2" applyNumberFormat="1" applyFont="1" applyFill="1" applyAlignment="1">
      <alignment horizontal="center"/>
    </xf>
    <xf numFmtId="14" fontId="0" fillId="3" borderId="0" xfId="0" applyNumberFormat="1" applyFont="1" applyFill="1"/>
    <xf numFmtId="164" fontId="3" fillId="3" borderId="0" xfId="0" applyNumberFormat="1" applyFont="1" applyFill="1"/>
    <xf numFmtId="0" fontId="3" fillId="3" borderId="0" xfId="0" applyFont="1" applyFill="1" applyAlignment="1">
      <alignment horizontal="center"/>
    </xf>
    <xf numFmtId="4" fontId="3" fillId="3" borderId="0" xfId="0" applyNumberFormat="1" applyFont="1" applyFill="1" applyAlignment="1">
      <alignment horizontal="center" vertical="center"/>
    </xf>
    <xf numFmtId="10" fontId="3" fillId="3" borderId="0" xfId="2" applyNumberFormat="1" applyFont="1" applyFill="1" applyAlignment="1">
      <alignment horizontal="center"/>
    </xf>
    <xf numFmtId="0" fontId="5" fillId="3" borderId="0" xfId="0" applyFont="1" applyFill="1" applyBorder="1"/>
    <xf numFmtId="167" fontId="5" fillId="3" borderId="0" xfId="0" applyNumberFormat="1" applyFont="1" applyFill="1"/>
    <xf numFmtId="0" fontId="0" fillId="4" borderId="0" xfId="0" applyFont="1" applyFill="1" applyBorder="1"/>
    <xf numFmtId="164" fontId="0" fillId="4" borderId="0" xfId="0" applyNumberFormat="1" applyFont="1" applyFill="1"/>
    <xf numFmtId="0" fontId="0" fillId="4" borderId="0" xfId="0" applyFont="1" applyFill="1" applyAlignment="1">
      <alignment horizontal="center"/>
    </xf>
    <xf numFmtId="4" fontId="0" fillId="4" borderId="0" xfId="0" applyNumberFormat="1" applyFont="1" applyFill="1" applyAlignment="1">
      <alignment horizontal="center" vertical="center"/>
    </xf>
    <xf numFmtId="10" fontId="0" fillId="4" borderId="0" xfId="2" applyNumberFormat="1" applyFont="1" applyFill="1" applyAlignment="1">
      <alignment horizontal="center"/>
    </xf>
    <xf numFmtId="10" fontId="0" fillId="3" borderId="0" xfId="0" applyNumberFormat="1" applyFont="1" applyFill="1" applyAlignment="1">
      <alignment horizontal="center"/>
    </xf>
    <xf numFmtId="167" fontId="0" fillId="4" borderId="0" xfId="0" applyNumberFormat="1" applyFont="1" applyFill="1"/>
    <xf numFmtId="10" fontId="0" fillId="4" borderId="0" xfId="2" applyNumberFormat="1" applyFont="1" applyFill="1"/>
    <xf numFmtId="0" fontId="4" fillId="3" borderId="0" xfId="0" applyFont="1" applyFill="1"/>
    <xf numFmtId="14" fontId="0" fillId="3" borderId="0" xfId="0" applyNumberFormat="1" applyFont="1" applyFill="1" applyAlignment="1">
      <alignment horizontal="right"/>
    </xf>
    <xf numFmtId="9" fontId="0" fillId="3" borderId="0" xfId="3" applyFont="1" applyFill="1" applyAlignment="1">
      <alignment horizontal="center"/>
    </xf>
    <xf numFmtId="10" fontId="3" fillId="3" borderId="0" xfId="0" applyNumberFormat="1" applyFont="1" applyFill="1" applyAlignment="1">
      <alignment horizontal="center"/>
    </xf>
    <xf numFmtId="0" fontId="2" fillId="2" borderId="0" xfId="0" applyFont="1" applyFill="1" applyBorder="1"/>
    <xf numFmtId="0" fontId="2" fillId="2" borderId="0" xfId="0" applyFont="1" applyFill="1"/>
    <xf numFmtId="0" fontId="2" fillId="2" borderId="0" xfId="0" applyFont="1" applyFill="1" applyAlignment="1">
      <alignment horizontal="center"/>
    </xf>
    <xf numFmtId="4" fontId="2" fillId="2" borderId="0" xfId="0" applyNumberFormat="1" applyFont="1" applyFill="1"/>
    <xf numFmtId="166" fontId="2" fillId="2" borderId="0" xfId="0" applyNumberFormat="1" applyFont="1" applyFill="1" applyAlignment="1">
      <alignment horizontal="center"/>
    </xf>
    <xf numFmtId="169" fontId="2" fillId="2" borderId="0" xfId="0" applyNumberFormat="1" applyFont="1" applyFill="1"/>
    <xf numFmtId="10" fontId="2" fillId="2" borderId="0" xfId="3" applyNumberFormat="1" applyFont="1" applyFill="1" applyAlignment="1">
      <alignment horizontal="center"/>
    </xf>
    <xf numFmtId="4" fontId="2" fillId="2" borderId="0" xfId="0" applyNumberFormat="1" applyFont="1" applyFill="1" applyAlignment="1">
      <alignment horizontal="center" vertical="center"/>
    </xf>
    <xf numFmtId="10" fontId="2" fillId="2" borderId="0" xfId="2" applyNumberFormat="1" applyFont="1" applyFill="1" applyAlignment="1">
      <alignment horizontal="center"/>
    </xf>
    <xf numFmtId="0" fontId="2" fillId="3" borderId="0" xfId="0" applyFont="1" applyFill="1"/>
    <xf numFmtId="4" fontId="0" fillId="3" borderId="0" xfId="0" applyNumberFormat="1" applyFont="1" applyFill="1" applyBorder="1"/>
    <xf numFmtId="0" fontId="0" fillId="3" borderId="0" xfId="0" applyFont="1" applyFill="1" applyAlignment="1">
      <alignment horizontal="center" vertical="center"/>
    </xf>
    <xf numFmtId="3" fontId="0" fillId="0" borderId="0" xfId="0" applyNumberFormat="1" applyFont="1"/>
    <xf numFmtId="166" fontId="0" fillId="0" borderId="0" xfId="0" applyNumberFormat="1" applyFont="1" applyAlignment="1">
      <alignment horizontal="center"/>
    </xf>
    <xf numFmtId="0" fontId="0" fillId="0" borderId="0" xfId="0" applyFont="1" applyAlignment="1">
      <alignment horizontal="center"/>
    </xf>
    <xf numFmtId="0" fontId="0" fillId="0" borderId="0" xfId="0" applyFont="1" applyAlignment="1">
      <alignment horizontal="center" vertical="center"/>
    </xf>
    <xf numFmtId="10" fontId="0" fillId="0" borderId="0" xfId="2" applyNumberFormat="1" applyFont="1" applyAlignment="1">
      <alignment horizontal="center"/>
    </xf>
    <xf numFmtId="165" fontId="0" fillId="0" borderId="0" xfId="1" applyFont="1" applyAlignment="1">
      <alignment horizontal="center"/>
    </xf>
    <xf numFmtId="14" fontId="0" fillId="3" borderId="0" xfId="0" applyNumberFormat="1" applyFont="1" applyFill="1" applyBorder="1"/>
    <xf numFmtId="4" fontId="0" fillId="3" borderId="0" xfId="2" applyNumberFormat="1" applyFont="1" applyFill="1" applyAlignment="1">
      <alignment horizontal="center"/>
    </xf>
    <xf numFmtId="4" fontId="0" fillId="0" borderId="0" xfId="2" applyNumberFormat="1" applyFont="1" applyAlignment="1">
      <alignment horizontal="center"/>
    </xf>
    <xf numFmtId="4" fontId="2" fillId="2" borderId="1" xfId="2" applyNumberFormat="1" applyFont="1" applyFill="1" applyBorder="1" applyAlignment="1">
      <alignment horizontal="center" vertical="center" wrapText="1"/>
    </xf>
    <xf numFmtId="4" fontId="2" fillId="3" borderId="0" xfId="2" applyNumberFormat="1" applyFont="1" applyFill="1" applyAlignment="1">
      <alignment horizontal="center"/>
    </xf>
    <xf numFmtId="0" fontId="6" fillId="0" borderId="0" xfId="0" applyFont="1" applyAlignment="1">
      <alignment horizontal="left" vertical="center" wrapText="1"/>
    </xf>
    <xf numFmtId="0" fontId="7" fillId="5" borderId="0" xfId="0" applyFont="1" applyFill="1" applyAlignment="1">
      <alignment vertical="center" wrapText="1"/>
    </xf>
    <xf numFmtId="0" fontId="8" fillId="0" borderId="0" xfId="0" applyFont="1"/>
    <xf numFmtId="0" fontId="9" fillId="6" borderId="0" xfId="0" applyFont="1" applyFill="1" applyAlignment="1">
      <alignment horizontal="left" vertical="center" wrapText="1"/>
    </xf>
    <xf numFmtId="0" fontId="9" fillId="6" borderId="0" xfId="0" applyFont="1" applyFill="1" applyAlignment="1">
      <alignment horizontal="center" vertical="center" wrapText="1"/>
    </xf>
    <xf numFmtId="0" fontId="10" fillId="7" borderId="0" xfId="0" applyFont="1" applyFill="1" applyAlignment="1">
      <alignment horizontal="left" vertical="center" wrapText="1"/>
    </xf>
    <xf numFmtId="4" fontId="11" fillId="7" borderId="0" xfId="0" applyNumberFormat="1" applyFont="1" applyFill="1" applyAlignment="1">
      <alignment horizontal="right" vertical="center" wrapText="1"/>
    </xf>
    <xf numFmtId="0" fontId="11" fillId="7" borderId="0" xfId="0" applyFont="1" applyFill="1" applyAlignment="1">
      <alignment horizontal="right" vertical="center" wrapText="1"/>
    </xf>
    <xf numFmtId="0" fontId="10" fillId="8" borderId="0" xfId="0" applyFont="1" applyFill="1" applyAlignment="1">
      <alignment horizontal="left" vertical="center" wrapText="1"/>
    </xf>
    <xf numFmtId="4" fontId="9" fillId="8" borderId="0" xfId="0" applyNumberFormat="1" applyFont="1" applyFill="1" applyAlignment="1">
      <alignment horizontal="right" vertical="center" wrapText="1"/>
    </xf>
    <xf numFmtId="0" fontId="9" fillId="8" borderId="0" xfId="0" applyFont="1" applyFill="1" applyAlignment="1">
      <alignment horizontal="right" vertical="center" wrapText="1"/>
    </xf>
    <xf numFmtId="21" fontId="11" fillId="7" borderId="0" xfId="0" applyNumberFormat="1" applyFont="1" applyFill="1" applyAlignment="1">
      <alignment horizontal="right" vertical="center" wrapText="1"/>
    </xf>
    <xf numFmtId="0" fontId="11" fillId="7" borderId="0" xfId="0" applyFont="1" applyFill="1" applyAlignment="1">
      <alignment horizontal="center" vertical="center" wrapText="1"/>
    </xf>
    <xf numFmtId="3" fontId="11" fillId="7" borderId="0" xfId="0" applyNumberFormat="1" applyFont="1" applyFill="1" applyAlignment="1">
      <alignment horizontal="right" vertical="center" wrapText="1"/>
    </xf>
    <xf numFmtId="21" fontId="9" fillId="8" borderId="0" xfId="0" applyNumberFormat="1" applyFont="1" applyFill="1" applyAlignment="1">
      <alignment horizontal="right" vertical="center" wrapText="1"/>
    </xf>
    <xf numFmtId="0" fontId="9" fillId="8" borderId="0" xfId="0" applyFont="1" applyFill="1" applyAlignment="1">
      <alignment horizontal="center" vertical="center" wrapText="1"/>
    </xf>
    <xf numFmtId="3" fontId="9" fillId="8" borderId="0" xfId="0" applyNumberFormat="1" applyFont="1" applyFill="1" applyAlignment="1">
      <alignment horizontal="right" vertical="center" wrapText="1"/>
    </xf>
    <xf numFmtId="4" fontId="9" fillId="8" borderId="0" xfId="0" applyNumberFormat="1" applyFont="1" applyFill="1" applyAlignment="1">
      <alignment horizontal="center" vertical="center" wrapText="1"/>
    </xf>
    <xf numFmtId="4" fontId="11" fillId="7" borderId="0" xfId="0" applyNumberFormat="1" applyFont="1" applyFill="1" applyAlignment="1">
      <alignment horizontal="center" vertical="center" wrapText="1"/>
    </xf>
    <xf numFmtId="49" fontId="0" fillId="9" borderId="3" xfId="0" applyNumberFormat="1" applyFill="1" applyBorder="1" applyAlignment="1">
      <alignment horizontal="left"/>
    </xf>
    <xf numFmtId="170" fontId="0" fillId="9" borderId="4" xfId="0" applyNumberFormat="1" applyFill="1" applyBorder="1" applyAlignment="1">
      <alignment horizontal="right"/>
    </xf>
    <xf numFmtId="171" fontId="0" fillId="9" borderId="4" xfId="0" applyNumberFormat="1" applyFill="1" applyBorder="1"/>
    <xf numFmtId="171" fontId="12" fillId="9" borderId="4" xfId="0" applyNumberFormat="1" applyFont="1" applyFill="1" applyBorder="1"/>
    <xf numFmtId="0" fontId="0" fillId="9" borderId="5" xfId="0" applyFill="1" applyBorder="1"/>
    <xf numFmtId="49" fontId="0" fillId="9" borderId="6" xfId="0" applyNumberFormat="1" applyFill="1" applyBorder="1" applyAlignment="1">
      <alignment horizontal="left"/>
    </xf>
    <xf numFmtId="166" fontId="13" fillId="9" borderId="0" xfId="0" applyNumberFormat="1" applyFont="1" applyFill="1" applyBorder="1" applyAlignment="1">
      <alignment horizontal="centerContinuous"/>
    </xf>
    <xf numFmtId="171" fontId="12" fillId="9" borderId="0" xfId="0" applyNumberFormat="1" applyFont="1" applyFill="1" applyBorder="1"/>
    <xf numFmtId="0" fontId="0" fillId="9" borderId="7" xfId="0" applyFill="1" applyBorder="1"/>
    <xf numFmtId="170" fontId="0" fillId="9" borderId="0" xfId="0" applyNumberFormat="1" applyFill="1" applyBorder="1" applyAlignment="1">
      <alignment horizontal="right"/>
    </xf>
    <xf numFmtId="171" fontId="0" fillId="9" borderId="0" xfId="0" applyNumberFormat="1" applyFill="1" applyBorder="1"/>
    <xf numFmtId="166" fontId="14" fillId="9" borderId="0" xfId="0" applyNumberFormat="1" applyFont="1" applyFill="1" applyBorder="1" applyAlignment="1">
      <alignment horizontal="centerContinuous"/>
    </xf>
    <xf numFmtId="49" fontId="0" fillId="9" borderId="8" xfId="0" applyNumberFormat="1" applyFill="1" applyBorder="1" applyAlignment="1">
      <alignment horizontal="left"/>
    </xf>
    <xf numFmtId="170" fontId="12" fillId="9" borderId="2" xfId="0" applyNumberFormat="1" applyFont="1" applyFill="1" applyBorder="1" applyAlignment="1">
      <alignment horizontal="center"/>
    </xf>
    <xf numFmtId="171" fontId="12" fillId="9" borderId="2" xfId="0" applyNumberFormat="1" applyFont="1" applyFill="1" applyBorder="1" applyAlignment="1">
      <alignment horizontal="center"/>
    </xf>
    <xf numFmtId="171" fontId="12" fillId="9" borderId="2" xfId="0" applyNumberFormat="1" applyFont="1" applyFill="1" applyBorder="1"/>
    <xf numFmtId="0" fontId="0" fillId="9" borderId="9" xfId="0" applyFill="1" applyBorder="1"/>
    <xf numFmtId="49" fontId="0" fillId="9" borderId="10" xfId="0" applyNumberFormat="1" applyFill="1" applyBorder="1" applyAlignment="1">
      <alignment horizontal="center"/>
    </xf>
    <xf numFmtId="166" fontId="0" fillId="9" borderId="10" xfId="0" applyNumberFormat="1" applyFill="1" applyBorder="1" applyAlignment="1">
      <alignment horizontal="centerContinuous"/>
    </xf>
    <xf numFmtId="166" fontId="0" fillId="9" borderId="1" xfId="0" applyNumberFormat="1" applyFill="1" applyBorder="1" applyAlignment="1">
      <alignment horizontal="centerContinuous"/>
    </xf>
    <xf numFmtId="166" fontId="0" fillId="9" borderId="11" xfId="0" applyNumberFormat="1" applyFill="1" applyBorder="1" applyAlignment="1">
      <alignment horizontal="centerContinuous"/>
    </xf>
    <xf numFmtId="0" fontId="0" fillId="9" borderId="12" xfId="0" applyFill="1" applyBorder="1"/>
    <xf numFmtId="49" fontId="12" fillId="9" borderId="3" xfId="0" applyNumberFormat="1" applyFont="1" applyFill="1" applyBorder="1" applyAlignment="1">
      <alignment horizontal="center"/>
    </xf>
    <xf numFmtId="170" fontId="0" fillId="9" borderId="13" xfId="0" applyNumberFormat="1" applyFill="1" applyBorder="1" applyAlignment="1">
      <alignment horizontal="center"/>
    </xf>
    <xf numFmtId="171" fontId="0" fillId="9" borderId="13" xfId="0" applyNumberFormat="1" applyFill="1" applyBorder="1" applyAlignment="1">
      <alignment horizontal="center"/>
    </xf>
    <xf numFmtId="171" fontId="12" fillId="9" borderId="13" xfId="0" applyNumberFormat="1" applyFont="1" applyFill="1" applyBorder="1" applyAlignment="1">
      <alignment horizontal="center"/>
    </xf>
    <xf numFmtId="0" fontId="0" fillId="9" borderId="12" xfId="0" applyFill="1" applyBorder="1" applyAlignment="1">
      <alignment horizontal="center"/>
    </xf>
    <xf numFmtId="49" fontId="12" fillId="9" borderId="8" xfId="0" applyNumberFormat="1" applyFont="1" applyFill="1" applyBorder="1" applyAlignment="1">
      <alignment horizontal="left"/>
    </xf>
    <xf numFmtId="170" fontId="0" fillId="9" borderId="14" xfId="0" applyNumberFormat="1" applyFill="1" applyBorder="1" applyAlignment="1">
      <alignment horizontal="center"/>
    </xf>
    <xf numFmtId="171" fontId="0" fillId="9" borderId="14" xfId="0" applyNumberFormat="1" applyFill="1" applyBorder="1" applyAlignment="1">
      <alignment horizontal="center"/>
    </xf>
    <xf numFmtId="171" fontId="12" fillId="9" borderId="14" xfId="0" applyNumberFormat="1" applyFont="1" applyFill="1" applyBorder="1" applyAlignment="1">
      <alignment horizontal="center"/>
    </xf>
    <xf numFmtId="0" fontId="0" fillId="9" borderId="14" xfId="0" applyFill="1" applyBorder="1"/>
    <xf numFmtId="0" fontId="0" fillId="0" borderId="15" xfId="0" applyBorder="1"/>
    <xf numFmtId="170" fontId="0" fillId="0" borderId="15" xfId="0" applyNumberFormat="1" applyBorder="1"/>
    <xf numFmtId="171" fontId="0" fillId="0" borderId="15" xfId="0" applyNumberFormat="1" applyBorder="1"/>
    <xf numFmtId="171" fontId="12" fillId="0" borderId="15" xfId="0" applyNumberFormat="1" applyFont="1" applyBorder="1"/>
    <xf numFmtId="170" fontId="0" fillId="0" borderId="0" xfId="0" applyNumberFormat="1"/>
    <xf numFmtId="171" fontId="0" fillId="0" borderId="0" xfId="0" applyNumberFormat="1"/>
    <xf numFmtId="171" fontId="12" fillId="0" borderId="0" xfId="0" applyNumberFormat="1" applyFont="1"/>
    <xf numFmtId="3" fontId="0" fillId="3" borderId="0" xfId="3" applyNumberFormat="1" applyFont="1" applyFill="1" applyAlignment="1">
      <alignment horizontal="center"/>
    </xf>
    <xf numFmtId="3" fontId="2" fillId="10" borderId="1" xfId="0" applyNumberFormat="1" applyFont="1" applyFill="1" applyBorder="1" applyAlignment="1">
      <alignment horizontal="center" vertical="center" wrapText="1"/>
    </xf>
    <xf numFmtId="166" fontId="0" fillId="11" borderId="0" xfId="0" applyNumberFormat="1" applyFont="1" applyFill="1" applyAlignment="1">
      <alignment horizontal="center"/>
    </xf>
    <xf numFmtId="172" fontId="0" fillId="3" borderId="0" xfId="2" applyNumberFormat="1" applyFont="1" applyFill="1" applyAlignment="1">
      <alignment horizontal="center"/>
    </xf>
    <xf numFmtId="166" fontId="15" fillId="3" borderId="0" xfId="0" applyNumberFormat="1" applyFont="1" applyFill="1" applyAlignment="1">
      <alignment horizontal="center"/>
    </xf>
  </cellXfs>
  <cellStyles count="4">
    <cellStyle name="Millares" xfId="1" builtinId="3"/>
    <cellStyle name="Normal" xfId="0" builtinId="0"/>
    <cellStyle name="Percent" xfId="3"/>
    <cellStyle name="Porcentaje" xfId="2" builtinId="5"/>
  </cellStyles>
  <dxfs count="27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/Relationships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"/>
  <dimension ref="A1:T93"/>
  <sheetViews>
    <sheetView tabSelected="1" zoomScale="70" zoomScaleNormal="70" workbookViewId="0">
      <selection activeCell="B8" sqref="B8"/>
    </sheetView>
  </sheetViews>
  <sheetFormatPr baseColWidth="10" defaultColWidth="11.42578125" defaultRowHeight="15" outlineLevelRow="2" outlineLevelCol="1" x14ac:dyDescent="0.25"/>
  <cols>
    <col min="1" max="1" width="50.7109375" style="6" customWidth="1"/>
    <col min="2" max="2" width="17.85546875" style="6" bestFit="1" customWidth="1"/>
    <col min="3" max="6" width="15.7109375" style="6" customWidth="1"/>
    <col min="7" max="7" width="15.7109375" style="72" customWidth="1"/>
    <col min="8" max="11" width="15.7109375" style="72" hidden="1" customWidth="1" outlineLevel="1"/>
    <col min="12" max="12" width="15.7109375" style="73" customWidth="1" collapsed="1"/>
    <col min="13" max="13" width="22.140625" style="6" bestFit="1" customWidth="1"/>
    <col min="14" max="15" width="15.7109375" style="74" customWidth="1"/>
    <col min="16" max="16" width="15.7109375" style="75" customWidth="1"/>
    <col min="17" max="17" width="15.7109375" style="76" customWidth="1"/>
    <col min="18" max="18" width="3.140625" style="6" customWidth="1"/>
    <col min="19" max="19" width="53.28515625" style="80" bestFit="1" customWidth="1"/>
    <col min="20" max="20" width="21.7109375" style="80" customWidth="1"/>
    <col min="21" max="16384" width="11.42578125" style="6"/>
  </cols>
  <sheetData>
    <row r="1" spans="1:20" x14ac:dyDescent="0.25">
      <c r="Q1" s="77"/>
    </row>
    <row r="2" spans="1:20" x14ac:dyDescent="0.25">
      <c r="A2" s="1" t="s">
        <v>0</v>
      </c>
      <c r="B2" s="1" t="s">
        <v>894</v>
      </c>
      <c r="C2" s="1" t="s">
        <v>895</v>
      </c>
      <c r="D2" s="1" t="s">
        <v>1</v>
      </c>
      <c r="E2" s="1" t="s">
        <v>2</v>
      </c>
      <c r="F2" s="1" t="s">
        <v>3</v>
      </c>
      <c r="G2" s="2" t="s">
        <v>4</v>
      </c>
      <c r="H2" s="142"/>
      <c r="I2" s="142" t="s">
        <v>118</v>
      </c>
      <c r="J2" s="142" t="s">
        <v>124</v>
      </c>
      <c r="K2" s="142" t="s">
        <v>898</v>
      </c>
      <c r="L2" s="3" t="s">
        <v>5</v>
      </c>
      <c r="M2" s="1" t="s">
        <v>6</v>
      </c>
      <c r="N2" s="1" t="s">
        <v>829</v>
      </c>
      <c r="O2" s="1" t="s">
        <v>7</v>
      </c>
      <c r="P2" s="1" t="s">
        <v>8</v>
      </c>
      <c r="Q2" s="4" t="s">
        <v>9</v>
      </c>
      <c r="R2" s="5"/>
      <c r="S2" s="81" t="s">
        <v>10</v>
      </c>
      <c r="T2" s="81" t="s">
        <v>830</v>
      </c>
    </row>
    <row r="3" spans="1:20" x14ac:dyDescent="0.25">
      <c r="A3" s="7" t="s">
        <v>11</v>
      </c>
      <c r="B3" s="8"/>
      <c r="C3" s="8"/>
      <c r="D3" s="8"/>
      <c r="E3" s="8"/>
      <c r="F3" s="8"/>
      <c r="G3" s="9"/>
      <c r="H3" s="9"/>
      <c r="I3" s="9"/>
      <c r="J3" s="9"/>
      <c r="K3" s="9"/>
      <c r="L3" s="10"/>
      <c r="M3" s="8"/>
      <c r="N3" s="8"/>
      <c r="O3" s="8"/>
      <c r="P3" s="8"/>
      <c r="Q3" s="11"/>
      <c r="R3" s="5"/>
      <c r="S3" s="79"/>
      <c r="T3" s="79"/>
    </row>
    <row r="4" spans="1:20" x14ac:dyDescent="0.25">
      <c r="A4" s="13" t="s">
        <v>12</v>
      </c>
      <c r="B4" s="14"/>
      <c r="C4" s="14"/>
      <c r="D4" s="14"/>
      <c r="E4" s="14"/>
      <c r="F4" s="14"/>
      <c r="G4" s="15"/>
      <c r="H4" s="15"/>
      <c r="I4" s="15"/>
      <c r="J4" s="15"/>
      <c r="K4" s="15"/>
      <c r="L4" s="16"/>
      <c r="M4" s="14"/>
      <c r="N4" s="14"/>
      <c r="O4" s="14"/>
      <c r="P4" s="14"/>
      <c r="Q4" s="17"/>
      <c r="R4" s="5"/>
      <c r="S4" s="79"/>
      <c r="T4" s="79"/>
    </row>
    <row r="5" spans="1:20" x14ac:dyDescent="0.25">
      <c r="A5" s="5" t="s">
        <v>13</v>
      </c>
      <c r="B5" s="18" t="str">
        <f>VLOOKUP(A5,'Identidad de Codigos'!A:C,2,FALSE)</f>
        <v>ARARGE3200T3</v>
      </c>
      <c r="C5" s="141">
        <f>VLOOKUP(A5,'Identidad de Codigos'!A:C,3,FALSE)</f>
        <v>5467</v>
      </c>
      <c r="D5" s="18" t="s">
        <v>14</v>
      </c>
      <c r="E5" s="19">
        <v>43017</v>
      </c>
      <c r="F5" s="20" t="s">
        <v>15</v>
      </c>
      <c r="G5" s="21">
        <v>70000000</v>
      </c>
      <c r="H5" s="21">
        <f>G5-SUM(I5:K5)</f>
        <v>70000000</v>
      </c>
      <c r="I5" s="21" t="str">
        <f>IF(ISERROR(VLOOKUP(C5,#REF!,3,FALSE))=TRUE,"",VLOOKUP(C5,#REF!,3,FALSE))</f>
        <v/>
      </c>
      <c r="J5" s="21" t="str">
        <f>IF(ISERROR(VLOOKUP(C5,#REF!,3,FALSE))=TRUE,"",VLOOKUP(C5,#REF!,3,FALSE))</f>
        <v/>
      </c>
      <c r="K5" s="21"/>
      <c r="L5" s="22">
        <f>MAE!F30*100</f>
        <v>105.43</v>
      </c>
      <c r="M5" s="23">
        <f>G5*L5/100</f>
        <v>73801000.000000015</v>
      </c>
      <c r="N5" s="24">
        <v>0.11291702707807</v>
      </c>
      <c r="O5" s="24"/>
      <c r="P5" s="25">
        <v>0.17729</v>
      </c>
      <c r="Q5" s="12">
        <f t="shared" ref="Q5:Q10" si="0">M5/$M$88</f>
        <v>2.670909534029146E-2</v>
      </c>
      <c r="R5" s="23"/>
      <c r="S5" s="79" t="s">
        <v>127</v>
      </c>
      <c r="T5" s="79" t="s">
        <v>831</v>
      </c>
    </row>
    <row r="6" spans="1:20" x14ac:dyDescent="0.25">
      <c r="A6" s="5" t="s">
        <v>16</v>
      </c>
      <c r="B6" s="18" t="str">
        <f>VLOOKUP(A6,'Identidad de Codigos'!A:C,2,FALSE)</f>
        <v>ARARGE3201A1</v>
      </c>
      <c r="C6" s="141">
        <f>VLOOKUP(A6,'Identidad de Codigos'!A:C,3,FALSE)</f>
        <v>5475</v>
      </c>
      <c r="D6" s="18" t="s">
        <v>17</v>
      </c>
      <c r="E6" s="19">
        <v>43160</v>
      </c>
      <c r="F6" s="20" t="s">
        <v>15</v>
      </c>
      <c r="G6" s="21">
        <v>15000000</v>
      </c>
      <c r="H6" s="21">
        <f t="shared" ref="H6:H10" si="1">G6-SUM(I6:K6)</f>
        <v>15000000</v>
      </c>
      <c r="I6" s="21" t="str">
        <f>IF(ISERROR(VLOOKUP(C6,#REF!,3,FALSE))=TRUE,"",VLOOKUP(C6,#REF!,3,FALSE))</f>
        <v/>
      </c>
      <c r="J6" s="21" t="str">
        <f>IF(ISERROR(VLOOKUP(C6,#REF!,3,FALSE))=TRUE,"",VLOOKUP(C6,#REF!,3,FALSE))</f>
        <v/>
      </c>
      <c r="K6" s="21"/>
      <c r="L6" s="22">
        <f>+MAE!F24*100</f>
        <v>102.25</v>
      </c>
      <c r="M6" s="23">
        <f t="shared" ref="M6:M10" si="2">G6*L6/100</f>
        <v>15337500</v>
      </c>
      <c r="N6" s="26">
        <v>2.2760013812144899E-2</v>
      </c>
      <c r="O6" s="26"/>
      <c r="P6" s="27">
        <v>0.51</v>
      </c>
      <c r="Q6" s="12">
        <f t="shared" si="0"/>
        <v>5.5507479543870702E-3</v>
      </c>
      <c r="R6" s="23"/>
      <c r="S6" s="79"/>
      <c r="T6" s="79" t="s">
        <v>831</v>
      </c>
    </row>
    <row r="7" spans="1:20" s="30" customFormat="1" x14ac:dyDescent="0.25">
      <c r="A7" s="5" t="s">
        <v>18</v>
      </c>
      <c r="B7" s="18" t="str">
        <f>VLOOKUP(A7,'Identidad de Codigos'!A:C,2,FALSE)</f>
        <v>ARARGE03H348</v>
      </c>
      <c r="C7" s="141">
        <f>VLOOKUP(A7,'Identidad de Codigos'!A:C,3,FALSE)</f>
        <v>5454</v>
      </c>
      <c r="D7" s="18" t="s">
        <v>19</v>
      </c>
      <c r="E7" s="19">
        <v>43535</v>
      </c>
      <c r="F7" s="20" t="s">
        <v>15</v>
      </c>
      <c r="G7" s="21">
        <v>176494313</v>
      </c>
      <c r="H7" s="21">
        <f t="shared" si="1"/>
        <v>176494313</v>
      </c>
      <c r="I7" s="21" t="str">
        <f>IF(ISERROR(VLOOKUP(C7,#REF!,3,FALSE))=TRUE,"",VLOOKUP(C7,#REF!,3,FALSE))</f>
        <v/>
      </c>
      <c r="J7" s="21" t="str">
        <f>IF(ISERROR(VLOOKUP(C7,#REF!,3,FALSE))=TRUE,"",VLOOKUP(C7,#REF!,3,FALSE))</f>
        <v/>
      </c>
      <c r="K7" s="21"/>
      <c r="L7" s="28">
        <f>+MAE!F26*100</f>
        <v>102.75000000000001</v>
      </c>
      <c r="M7" s="23">
        <f t="shared" si="2"/>
        <v>181347906.60750005</v>
      </c>
      <c r="N7" s="12">
        <v>1.3899048728059899E-2</v>
      </c>
      <c r="O7" s="12"/>
      <c r="P7" s="27">
        <v>1.27</v>
      </c>
      <c r="Q7" s="12">
        <f t="shared" si="0"/>
        <v>6.5631069055188812E-2</v>
      </c>
      <c r="R7" s="29"/>
      <c r="S7" s="79"/>
      <c r="T7" s="79" t="s">
        <v>831</v>
      </c>
    </row>
    <row r="8" spans="1:20" x14ac:dyDescent="0.25">
      <c r="A8" s="5" t="s">
        <v>20</v>
      </c>
      <c r="B8" s="18" t="str">
        <f>VLOOKUP(A8,'Identidad de Codigos'!A:C,2,FALSE)</f>
        <v>ARARGE3201B9</v>
      </c>
      <c r="C8" s="141">
        <f>VLOOKUP(A8,'Identidad de Codigos'!A:C,3,FALSE)</f>
        <v>5476</v>
      </c>
      <c r="D8" s="20" t="s">
        <v>21</v>
      </c>
      <c r="E8" s="19">
        <v>43891</v>
      </c>
      <c r="F8" s="20" t="s">
        <v>15</v>
      </c>
      <c r="G8" s="21">
        <v>126000000</v>
      </c>
      <c r="H8" s="21">
        <f t="shared" si="1"/>
        <v>126000000</v>
      </c>
      <c r="I8" s="21" t="str">
        <f>IF(ISERROR(VLOOKUP(C8,#REF!,3,FALSE))=TRUE,"",VLOOKUP(C8,#REF!,3,FALSE))</f>
        <v/>
      </c>
      <c r="J8" s="21" t="str">
        <f>IF(ISERROR(VLOOKUP(C8,#REF!,3,FALSE))=TRUE,"",VLOOKUP(C8,#REF!,3,FALSE))</f>
        <v/>
      </c>
      <c r="K8" s="21"/>
      <c r="L8" s="22">
        <f>+MAE!F22*100</f>
        <v>105</v>
      </c>
      <c r="M8" s="23">
        <f t="shared" si="2"/>
        <v>132300000</v>
      </c>
      <c r="N8" s="26">
        <v>1.66153695638964E-2</v>
      </c>
      <c r="O8" s="26"/>
      <c r="P8" s="27">
        <v>1.82</v>
      </c>
      <c r="Q8" s="12">
        <f t="shared" si="0"/>
        <v>4.7880290423172579E-2</v>
      </c>
      <c r="R8" s="31"/>
      <c r="S8" s="79"/>
      <c r="T8" s="79" t="s">
        <v>831</v>
      </c>
    </row>
    <row r="9" spans="1:20" x14ac:dyDescent="0.25">
      <c r="A9" s="5" t="s">
        <v>23</v>
      </c>
      <c r="B9" s="18" t="str">
        <f>VLOOKUP(A9,'Identidad de Codigos'!A:C,2,FALSE)</f>
        <v>ARARGE3203R1</v>
      </c>
      <c r="C9" s="141">
        <f>VLOOKUP(A9,'Identidad de Codigos'!A:C,3,FALSE)</f>
        <v>5480</v>
      </c>
      <c r="D9" s="20" t="s">
        <v>24</v>
      </c>
      <c r="E9" s="19">
        <v>44837</v>
      </c>
      <c r="F9" s="20" t="s">
        <v>15</v>
      </c>
      <c r="G9" s="21">
        <v>70000000</v>
      </c>
      <c r="H9" s="21">
        <f t="shared" si="1"/>
        <v>70000000</v>
      </c>
      <c r="I9" s="21" t="str">
        <f>IF(ISERROR(VLOOKUP(C9,#REF!,3,FALSE))=TRUE,"",VLOOKUP(C9,#REF!,3,FALSE))</f>
        <v/>
      </c>
      <c r="J9" s="21" t="str">
        <f>IF(ISERROR(VLOOKUP(C9,#REF!,3,FALSE))=TRUE,"",VLOOKUP(C9,#REF!,3,FALSE))</f>
        <v/>
      </c>
      <c r="K9" s="21"/>
      <c r="L9" s="22">
        <f>+MAE!F15*100</f>
        <v>100</v>
      </c>
      <c r="M9" s="23">
        <f t="shared" si="2"/>
        <v>70000000</v>
      </c>
      <c r="N9" s="26">
        <v>2.0029492982955598E-2</v>
      </c>
      <c r="O9" s="26"/>
      <c r="P9" s="27">
        <v>2.77</v>
      </c>
      <c r="Q9" s="12">
        <f t="shared" si="0"/>
        <v>2.5333486996387607E-2</v>
      </c>
      <c r="R9" s="31"/>
      <c r="S9" s="79"/>
      <c r="T9" s="79" t="s">
        <v>831</v>
      </c>
    </row>
    <row r="10" spans="1:20" x14ac:dyDescent="0.25">
      <c r="A10" s="5" t="s">
        <v>25</v>
      </c>
      <c r="B10" s="18" t="str">
        <f>VLOOKUP(A10,'Identidad de Codigos'!A:C,2,FALSE)</f>
        <v>ARARGE03G621</v>
      </c>
      <c r="C10" s="141">
        <f>VLOOKUP(A10,'Identidad de Codigos'!A:C,3,FALSE)</f>
        <v>2571</v>
      </c>
      <c r="D10" s="18" t="s">
        <v>26</v>
      </c>
      <c r="E10" s="19">
        <v>44838</v>
      </c>
      <c r="F10" s="20" t="s">
        <v>15</v>
      </c>
      <c r="G10" s="21">
        <v>50000000</v>
      </c>
      <c r="H10" s="21">
        <f t="shared" si="1"/>
        <v>50000000</v>
      </c>
      <c r="I10" s="21" t="str">
        <f>IF(ISERROR(VLOOKUP(C10,#REF!,3,FALSE))=TRUE,"",VLOOKUP(C10,#REF!,3,FALSE))</f>
        <v/>
      </c>
      <c r="J10" s="21" t="str">
        <f>IF(ISERROR(VLOOKUP(C10,#REF!,3,FALSE))=TRUE,"",VLOOKUP(C10,#REF!,3,FALSE))</f>
        <v/>
      </c>
      <c r="K10" s="21"/>
      <c r="L10" s="22">
        <f>+MAE!F120*100</f>
        <v>171.5</v>
      </c>
      <c r="M10" s="23">
        <f t="shared" si="2"/>
        <v>85750000</v>
      </c>
      <c r="N10" s="26">
        <v>3.4263937519442497E-2</v>
      </c>
      <c r="O10" s="26"/>
      <c r="P10" s="27">
        <v>2.33</v>
      </c>
      <c r="Q10" s="12">
        <f t="shared" si="0"/>
        <v>3.1033521570574821E-2</v>
      </c>
      <c r="R10" s="23"/>
      <c r="S10" s="79"/>
      <c r="T10" s="79" t="s">
        <v>831</v>
      </c>
    </row>
    <row r="11" spans="1:20" x14ac:dyDescent="0.25">
      <c r="A11" s="32" t="s">
        <v>27</v>
      </c>
      <c r="B11" s="20"/>
      <c r="C11" s="20"/>
      <c r="D11" s="20"/>
      <c r="E11" s="19"/>
      <c r="F11" s="20"/>
      <c r="G11" s="21"/>
      <c r="H11" s="21"/>
      <c r="I11" s="21"/>
      <c r="J11" s="21"/>
      <c r="K11" s="21"/>
      <c r="L11" s="22"/>
      <c r="M11" s="23"/>
      <c r="N11" s="26"/>
      <c r="O11" s="26"/>
      <c r="P11" s="27"/>
      <c r="Q11" s="12"/>
      <c r="R11" s="31"/>
      <c r="S11" s="79"/>
      <c r="T11" s="79"/>
    </row>
    <row r="12" spans="1:20" s="30" customFormat="1" x14ac:dyDescent="0.25">
      <c r="A12" s="5" t="s">
        <v>29</v>
      </c>
      <c r="B12" s="18" t="str">
        <f>VLOOKUP(A12,'Identidad de Codigos'!A:C,2,FALSE)</f>
        <v>ARARGE3204M0</v>
      </c>
      <c r="C12" s="141">
        <f>VLOOKUP(A12,'Identidad de Codigos'!A:C,3,FALSE)</f>
        <v>5327</v>
      </c>
      <c r="D12" s="18" t="s">
        <v>30</v>
      </c>
      <c r="E12" s="19">
        <v>44003</v>
      </c>
      <c r="F12" s="20" t="s">
        <v>31</v>
      </c>
      <c r="G12" s="21">
        <v>170000000</v>
      </c>
      <c r="H12" s="21">
        <f>G12-SUM(I12:K12)</f>
        <v>170000000</v>
      </c>
      <c r="I12" s="21" t="str">
        <f>IF(ISERROR(VLOOKUP(C12,#REF!,3,FALSE))=TRUE,"",VLOOKUP(C12,#REF!,3,FALSE))</f>
        <v/>
      </c>
      <c r="J12" s="21" t="str">
        <f>IF(ISERROR(VLOOKUP(C12,#REF!,3,FALSE))=TRUE,"",VLOOKUP(C12,#REF!,3,FALSE))</f>
        <v/>
      </c>
      <c r="K12" s="21"/>
      <c r="L12" s="22">
        <f>+MAE!F132*100</f>
        <v>105.75000000000001</v>
      </c>
      <c r="M12" s="23">
        <f>G12*L12/100</f>
        <v>179775000.00000003</v>
      </c>
      <c r="N12" s="12">
        <v>0.237377593655238</v>
      </c>
      <c r="O12" s="12"/>
      <c r="P12" s="27">
        <v>1.94</v>
      </c>
      <c r="Q12" s="12">
        <f>M12/$M$88</f>
        <v>6.5061823211079756E-2</v>
      </c>
      <c r="R12" s="29"/>
      <c r="S12" s="79"/>
      <c r="T12" s="79" t="s">
        <v>831</v>
      </c>
    </row>
    <row r="13" spans="1:20" x14ac:dyDescent="0.25">
      <c r="A13" s="32" t="s">
        <v>33</v>
      </c>
      <c r="B13" s="18"/>
      <c r="C13" s="18"/>
      <c r="D13" s="18"/>
      <c r="E13" s="19"/>
      <c r="F13" s="20"/>
      <c r="G13" s="21"/>
      <c r="H13" s="21"/>
      <c r="I13" s="21"/>
      <c r="J13" s="21"/>
      <c r="K13" s="21"/>
      <c r="L13" s="22"/>
      <c r="M13" s="23"/>
      <c r="N13" s="24"/>
      <c r="O13" s="24"/>
      <c r="P13" s="25"/>
      <c r="Q13" s="12"/>
      <c r="R13" s="23"/>
      <c r="S13" s="79"/>
      <c r="T13" s="79"/>
    </row>
    <row r="14" spans="1:20" s="30" customFormat="1" x14ac:dyDescent="0.25">
      <c r="A14" s="5" t="s">
        <v>35</v>
      </c>
      <c r="B14" s="18" t="str">
        <f>VLOOKUP(A14,'Identidad de Codigos'!A:C,2,FALSE)</f>
        <v>ARBNAC030255</v>
      </c>
      <c r="C14" s="141">
        <f>VLOOKUP(A14,'Identidad de Codigos'!A:C,3,FALSE)</f>
        <v>2405</v>
      </c>
      <c r="D14" s="18" t="s">
        <v>36</v>
      </c>
      <c r="E14" s="19">
        <v>43135</v>
      </c>
      <c r="F14" s="20" t="s">
        <v>37</v>
      </c>
      <c r="G14" s="21">
        <v>74344426</v>
      </c>
      <c r="H14" s="21">
        <f t="shared" ref="H14:H15" si="3">G14-SUM(I14:K14)</f>
        <v>74344426</v>
      </c>
      <c r="I14" s="21" t="str">
        <f>IF(ISERROR(VLOOKUP(C14,#REF!,3,FALSE))=TRUE,"",VLOOKUP(C14,#REF!,3,FALSE))</f>
        <v/>
      </c>
      <c r="J14" s="21" t="str">
        <f>IF(ISERROR(VLOOKUP(C14,#REF!,3,FALSE))=TRUE,"",VLOOKUP(C14,#REF!,3,FALSE))</f>
        <v/>
      </c>
      <c r="K14" s="21"/>
      <c r="L14" s="22">
        <f>+BCBA!C272</f>
        <v>40.5</v>
      </c>
      <c r="M14" s="23">
        <f>G14*L14/100</f>
        <v>30109492.530000001</v>
      </c>
      <c r="N14" s="12">
        <v>7.2099999999999997E-2</v>
      </c>
      <c r="O14" s="12"/>
      <c r="P14" s="27">
        <v>0.26</v>
      </c>
      <c r="Q14" s="12">
        <f>M14/$M$88</f>
        <v>1.0896834821094069E-2</v>
      </c>
      <c r="R14" s="29"/>
      <c r="S14" s="79"/>
      <c r="T14" s="79" t="s">
        <v>832</v>
      </c>
    </row>
    <row r="15" spans="1:20" s="30" customFormat="1" x14ac:dyDescent="0.25">
      <c r="A15" s="5" t="s">
        <v>32</v>
      </c>
      <c r="B15" s="18" t="str">
        <f>VLOOKUP(A15,'Identidad de Codigos'!A:C,2,FALSE)</f>
        <v>ARARGE320283</v>
      </c>
      <c r="C15" s="141">
        <f>VLOOKUP(A15,'Identidad de Codigos'!A:C,3,FALSE)</f>
        <v>5315</v>
      </c>
      <c r="D15" s="18" t="s">
        <v>19</v>
      </c>
      <c r="E15" s="19">
        <v>44399</v>
      </c>
      <c r="F15" s="20" t="s">
        <v>37</v>
      </c>
      <c r="G15" s="21">
        <v>270000000</v>
      </c>
      <c r="H15" s="21">
        <f t="shared" si="3"/>
        <v>266200000</v>
      </c>
      <c r="I15" s="21" t="str">
        <f>IF(ISERROR(VLOOKUP(C15,#REF!,3,FALSE))=TRUE,"",VLOOKUP(C15,#REF!,3,FALSE))</f>
        <v/>
      </c>
      <c r="J15" s="21" t="str">
        <f>IF(ISERROR(VLOOKUP(C15,#REF!,3,FALSE))=TRUE,"",VLOOKUP(C15,#REF!,3,FALSE))</f>
        <v/>
      </c>
      <c r="K15" s="21">
        <v>3800000</v>
      </c>
      <c r="L15" s="22">
        <f>+MAE!F128*100</f>
        <v>117.15</v>
      </c>
      <c r="M15" s="23">
        <f>G15*L15/100</f>
        <v>316305000</v>
      </c>
      <c r="N15" s="12">
        <v>5.3672854459967799E-2</v>
      </c>
      <c r="O15" s="12"/>
      <c r="P15" s="27">
        <v>3.76</v>
      </c>
      <c r="Q15" s="12">
        <f>M15/$M$88</f>
        <v>0.11447298006274832</v>
      </c>
      <c r="R15" s="29"/>
      <c r="S15" s="79" t="s">
        <v>839</v>
      </c>
      <c r="T15" s="79" t="s">
        <v>831</v>
      </c>
    </row>
    <row r="16" spans="1:20" s="30" customFormat="1" x14ac:dyDescent="0.25">
      <c r="A16" s="32" t="s">
        <v>38</v>
      </c>
      <c r="B16" s="18"/>
      <c r="C16" s="18"/>
      <c r="D16" s="18"/>
      <c r="E16" s="19"/>
      <c r="F16" s="20"/>
      <c r="G16" s="21"/>
      <c r="H16" s="21"/>
      <c r="I16" s="21"/>
      <c r="J16" s="21"/>
      <c r="K16" s="21"/>
      <c r="L16" s="22"/>
      <c r="M16" s="23"/>
      <c r="N16" s="12"/>
      <c r="O16" s="12"/>
      <c r="P16" s="27"/>
      <c r="Q16" s="12"/>
      <c r="R16" s="29"/>
      <c r="S16" s="79"/>
      <c r="T16" s="79"/>
    </row>
    <row r="17" spans="1:20" s="30" customFormat="1" x14ac:dyDescent="0.25">
      <c r="A17" s="5" t="s">
        <v>40</v>
      </c>
      <c r="B17" s="18" t="str">
        <f>VLOOKUP(A17,'Identidad de Codigos'!A:C,2,FALSE)</f>
        <v>ARARGE320093</v>
      </c>
      <c r="C17" s="141">
        <f>VLOOKUP(A17,'Identidad de Codigos'!A:C,3,FALSE)</f>
        <v>5462</v>
      </c>
      <c r="D17" s="18" t="s">
        <v>41</v>
      </c>
      <c r="E17" s="19">
        <v>43174</v>
      </c>
      <c r="F17" s="20" t="s">
        <v>42</v>
      </c>
      <c r="G17" s="21">
        <v>3520000</v>
      </c>
      <c r="H17" s="21">
        <f t="shared" ref="H17:H19" si="4">G17-SUM(I17:K17)</f>
        <v>1543398</v>
      </c>
      <c r="I17" s="21" t="str">
        <f>IF(ISERROR(VLOOKUP(C17,#REF!,3,FALSE))=TRUE,"",VLOOKUP(C17,#REF!,3,FALSE))</f>
        <v/>
      </c>
      <c r="J17" s="21" t="str">
        <f>IF(ISERROR(VLOOKUP(C17,#REF!,3,FALSE))=TRUE,"",VLOOKUP(C17,#REF!,3,FALSE))</f>
        <v/>
      </c>
      <c r="K17" s="21">
        <v>1976602</v>
      </c>
      <c r="L17" s="22">
        <f>+MAE!D21*100</f>
        <v>1721.75</v>
      </c>
      <c r="M17" s="23">
        <f>G17*L17/100</f>
        <v>60605600</v>
      </c>
      <c r="N17" s="26">
        <v>3.8399999999999997E-2</v>
      </c>
      <c r="O17" s="26"/>
      <c r="P17" s="27">
        <v>0.61699999999999999</v>
      </c>
      <c r="Q17" s="12">
        <f>M17/$M$88</f>
        <v>2.1933588278689554E-2</v>
      </c>
      <c r="R17" s="29"/>
      <c r="S17" s="79"/>
      <c r="T17" s="79" t="s">
        <v>833</v>
      </c>
    </row>
    <row r="18" spans="1:20" x14ac:dyDescent="0.25">
      <c r="A18" s="29" t="s">
        <v>43</v>
      </c>
      <c r="B18" s="18" t="str">
        <f>VLOOKUP(A18,'Identidad de Codigos'!A:C,2,FALSE)</f>
        <v>US040114HK99</v>
      </c>
      <c r="C18" s="141" t="str">
        <f>VLOOKUP(A18,'Identidad de Codigos'!A:C,3,FALSE)</f>
        <v>xxxxxx</v>
      </c>
      <c r="D18" s="20" t="s">
        <v>129</v>
      </c>
      <c r="E18" s="19">
        <v>44587</v>
      </c>
      <c r="F18" s="20" t="s">
        <v>42</v>
      </c>
      <c r="G18" s="21">
        <v>3000000</v>
      </c>
      <c r="H18" s="21">
        <f t="shared" si="4"/>
        <v>3000000</v>
      </c>
      <c r="I18" s="21" t="str">
        <f>IF(ISERROR(VLOOKUP(C18,#REF!,3,FALSE))=TRUE,"",VLOOKUP(C18,#REF!,3,FALSE))</f>
        <v/>
      </c>
      <c r="J18" s="21" t="str">
        <f>IF(ISERROR(VLOOKUP(C18,#REF!,3,FALSE))=TRUE,"",VLOOKUP(C18,#REF!,3,FALSE))</f>
        <v/>
      </c>
      <c r="K18" s="21"/>
      <c r="L18" s="22">
        <f>+BCBA!C206</f>
        <v>1840</v>
      </c>
      <c r="M18" s="23">
        <f>G18*L18/100</f>
        <v>55200000</v>
      </c>
      <c r="N18" s="26">
        <v>4.3099999999999999E-2</v>
      </c>
      <c r="O18" s="26"/>
      <c r="P18" s="27">
        <v>3.93</v>
      </c>
      <c r="Q18" s="12">
        <f>M18/$M$88</f>
        <v>1.9977264031437084E-2</v>
      </c>
      <c r="R18" s="31"/>
      <c r="S18" s="79"/>
      <c r="T18" s="79" t="s">
        <v>832</v>
      </c>
    </row>
    <row r="19" spans="1:20" x14ac:dyDescent="0.25">
      <c r="A19" s="29" t="s">
        <v>125</v>
      </c>
      <c r="B19" s="18" t="str">
        <f>VLOOKUP(A19,'Identidad de Codigos'!A:C,2,FALSE)</f>
        <v>ARARGE03H413</v>
      </c>
      <c r="C19" s="141">
        <f>VLOOKUP(A19,'Identidad de Codigos'!A:C,3,FALSE)</f>
        <v>5458</v>
      </c>
      <c r="D19" s="20" t="s">
        <v>126</v>
      </c>
      <c r="E19" s="19">
        <v>45419</v>
      </c>
      <c r="F19" s="20" t="s">
        <v>42</v>
      </c>
      <c r="G19" s="21">
        <f>SUM(I19:J19)</f>
        <v>0</v>
      </c>
      <c r="H19" s="21">
        <f t="shared" si="4"/>
        <v>0</v>
      </c>
      <c r="I19" s="21" t="str">
        <f>IF(ISERROR(VLOOKUP(C19,#REF!,3,FALSE))=TRUE,"",VLOOKUP(C19,#REF!,3,FALSE))</f>
        <v/>
      </c>
      <c r="J19" s="21" t="str">
        <f>IF(ISERROR(VLOOKUP(C19,#REF!,3,FALSE))=TRUE,"",VLOOKUP(C19,#REF!,3,FALSE))</f>
        <v/>
      </c>
      <c r="K19" s="21"/>
      <c r="L19" s="22">
        <f>+MAE!F38*100</f>
        <v>2075</v>
      </c>
      <c r="M19" s="23">
        <f>G19*L19/100</f>
        <v>0</v>
      </c>
      <c r="N19" s="26">
        <v>4.3400000000000001E-2</v>
      </c>
      <c r="O19" s="26"/>
      <c r="P19" s="27">
        <v>3.93</v>
      </c>
      <c r="Q19" s="12">
        <f>M19/$M$88</f>
        <v>0</v>
      </c>
      <c r="R19" s="31"/>
      <c r="S19" s="79" t="s">
        <v>128</v>
      </c>
      <c r="T19" s="79"/>
    </row>
    <row r="20" spans="1:20" s="30" customFormat="1" x14ac:dyDescent="0.25">
      <c r="A20" s="33" t="s">
        <v>117</v>
      </c>
      <c r="B20" s="33"/>
      <c r="C20" s="33"/>
      <c r="D20" s="33"/>
      <c r="E20" s="34"/>
      <c r="F20" s="33"/>
      <c r="G20" s="35"/>
      <c r="H20" s="35"/>
      <c r="I20" s="35"/>
      <c r="J20" s="35"/>
      <c r="K20" s="35"/>
      <c r="L20" s="36"/>
      <c r="M20" s="37"/>
      <c r="N20" s="38"/>
      <c r="O20" s="38"/>
      <c r="P20" s="39"/>
      <c r="Q20" s="40"/>
      <c r="R20" s="29"/>
      <c r="S20" s="79"/>
      <c r="T20" s="79"/>
    </row>
    <row r="21" spans="1:20" x14ac:dyDescent="0.25">
      <c r="A21" s="13" t="s">
        <v>119</v>
      </c>
      <c r="B21" s="29"/>
      <c r="C21" s="29"/>
      <c r="D21" s="29"/>
      <c r="E21" s="41"/>
      <c r="F21" s="29"/>
      <c r="G21" s="21"/>
      <c r="H21" s="21"/>
      <c r="I21" s="21"/>
      <c r="J21" s="21"/>
      <c r="K21" s="21"/>
      <c r="L21" s="22"/>
      <c r="M21" s="42"/>
      <c r="N21" s="43"/>
      <c r="O21" s="43"/>
      <c r="P21" s="44"/>
      <c r="Q21" s="45"/>
      <c r="R21" s="29"/>
      <c r="S21" s="79"/>
      <c r="T21" s="79"/>
    </row>
    <row r="22" spans="1:20" s="30" customFormat="1" x14ac:dyDescent="0.25">
      <c r="A22" s="46" t="s">
        <v>120</v>
      </c>
      <c r="B22" s="18"/>
      <c r="C22" s="141">
        <f>VLOOKUP(A22,'Identidad de Codigos'!A:C,3,FALSE)</f>
        <v>46824</v>
      </c>
      <c r="D22" s="18" t="s">
        <v>123</v>
      </c>
      <c r="E22" s="41">
        <v>43208</v>
      </c>
      <c r="F22" s="20" t="s">
        <v>97</v>
      </c>
      <c r="G22" s="21"/>
      <c r="H22" s="21"/>
      <c r="I22" s="21" t="str">
        <f>IF(ISERROR(VLOOKUP(C22,#REF!,3,FALSE))=TRUE,"",VLOOKUP(C22,#REF!,3,FALSE))</f>
        <v/>
      </c>
      <c r="J22" s="21" t="str">
        <f>IF(ISERROR(VLOOKUP(C22,#REF!,3,FALSE))=TRUE,"",VLOOKUP(C22,#REF!,3,FALSE))</f>
        <v/>
      </c>
      <c r="K22" s="21"/>
      <c r="L22" s="22">
        <f>+MAE!F70*100</f>
        <v>86.910299999999992</v>
      </c>
      <c r="M22" s="23">
        <v>61845419.999999993</v>
      </c>
      <c r="N22" s="26">
        <v>0.27350000000000002</v>
      </c>
      <c r="O22" s="26"/>
      <c r="P22" s="27">
        <v>2.0359478116043168</v>
      </c>
      <c r="Q22" s="12">
        <f>M22/$M$88</f>
        <v>2.2382287762230429E-2</v>
      </c>
      <c r="R22" s="23"/>
      <c r="S22" s="79" t="s">
        <v>128</v>
      </c>
      <c r="T22" s="79" t="s">
        <v>831</v>
      </c>
    </row>
    <row r="23" spans="1:20" s="30" customFormat="1" x14ac:dyDescent="0.25">
      <c r="A23" s="46" t="s">
        <v>121</v>
      </c>
      <c r="B23" s="18"/>
      <c r="C23" s="141">
        <f>VLOOKUP(A23,'Identidad de Codigos'!A:C,3,FALSE)</f>
        <v>46825</v>
      </c>
      <c r="D23" s="18" t="s">
        <v>123</v>
      </c>
      <c r="E23" s="78">
        <v>43236</v>
      </c>
      <c r="F23" s="20" t="s">
        <v>97</v>
      </c>
      <c r="G23" s="21"/>
      <c r="H23" s="21"/>
      <c r="I23" s="21" t="str">
        <f>IF(ISERROR(VLOOKUP(C23,#REF!,3,FALSE))=TRUE,"",VLOOKUP(C23,#REF!,3,FALSE))</f>
        <v/>
      </c>
      <c r="J23" s="21" t="str">
        <f>IF(ISERROR(VLOOKUP(C23,#REF!,3,FALSE))=TRUE,"",VLOOKUP(C23,#REF!,3,FALSE))</f>
        <v/>
      </c>
      <c r="K23" s="21"/>
      <c r="L23" s="22">
        <f>+MAE!F65*100</f>
        <v>85.343899999999991</v>
      </c>
      <c r="M23" s="23">
        <v>61731840</v>
      </c>
      <c r="N23" s="26">
        <v>0.27350000000000002</v>
      </c>
      <c r="O23" s="26"/>
      <c r="P23" s="27">
        <v>2.0653921631368211</v>
      </c>
      <c r="Q23" s="12">
        <f>M23/$M$88</f>
        <v>2.2341182370044007E-2</v>
      </c>
      <c r="R23" s="23"/>
      <c r="S23" s="79" t="s">
        <v>128</v>
      </c>
      <c r="T23" s="79" t="s">
        <v>831</v>
      </c>
    </row>
    <row r="24" spans="1:20" s="30" customFormat="1" x14ac:dyDescent="0.25">
      <c r="A24" s="46" t="s">
        <v>122</v>
      </c>
      <c r="B24" s="18"/>
      <c r="C24" s="141">
        <f>VLOOKUP(A24,'Identidad de Codigos'!A:C,3,FALSE)</f>
        <v>46827</v>
      </c>
      <c r="D24" s="18" t="s">
        <v>123</v>
      </c>
      <c r="E24" s="78">
        <v>43272</v>
      </c>
      <c r="F24" s="20" t="s">
        <v>97</v>
      </c>
      <c r="G24" s="21"/>
      <c r="H24" s="21"/>
      <c r="I24" s="21" t="str">
        <f>IF(ISERROR(VLOOKUP(C24,#REF!,3,FALSE))=TRUE,"",VLOOKUP(C24,#REF!,3,FALSE))</f>
        <v/>
      </c>
      <c r="J24" s="21" t="str">
        <f>IF(ISERROR(VLOOKUP(C24,#REF!,3,FALSE))=TRUE,"",VLOOKUP(C24,#REF!,3,FALSE))</f>
        <v/>
      </c>
      <c r="K24" s="21"/>
      <c r="L24" s="22">
        <f>+MAE!F80*100</f>
        <v>83.432900000000004</v>
      </c>
      <c r="M24" s="23">
        <v>92930488</v>
      </c>
      <c r="N24" s="26">
        <v>0.27350000000000002</v>
      </c>
      <c r="O24" s="26"/>
      <c r="P24" s="27">
        <v>2.0961392820809683</v>
      </c>
      <c r="Q24" s="12">
        <f>M24/$M$88</f>
        <v>3.363219013308507E-2</v>
      </c>
      <c r="R24" s="23"/>
      <c r="S24" s="79" t="s">
        <v>128</v>
      </c>
      <c r="T24" s="79" t="s">
        <v>831</v>
      </c>
    </row>
    <row r="25" spans="1:20" s="30" customFormat="1" x14ac:dyDescent="0.25">
      <c r="A25" s="33" t="s">
        <v>45</v>
      </c>
      <c r="B25" s="33"/>
      <c r="C25" s="33"/>
      <c r="D25" s="33"/>
      <c r="E25" s="34"/>
      <c r="F25" s="33"/>
      <c r="G25" s="35"/>
      <c r="H25" s="35"/>
      <c r="I25" s="35"/>
      <c r="J25" s="35"/>
      <c r="K25" s="35"/>
      <c r="L25" s="36"/>
      <c r="M25" s="37"/>
      <c r="N25" s="38"/>
      <c r="O25" s="38"/>
      <c r="P25" s="39"/>
      <c r="Q25" s="40"/>
      <c r="R25" s="29"/>
      <c r="S25" s="79"/>
      <c r="T25" s="79"/>
    </row>
    <row r="26" spans="1:20" x14ac:dyDescent="0.25">
      <c r="A26" s="13" t="s">
        <v>12</v>
      </c>
      <c r="B26" s="29"/>
      <c r="C26" s="29"/>
      <c r="D26" s="29"/>
      <c r="E26" s="41"/>
      <c r="F26" s="29"/>
      <c r="G26" s="21"/>
      <c r="H26" s="21"/>
      <c r="I26" s="21"/>
      <c r="J26" s="21"/>
      <c r="K26" s="21"/>
      <c r="L26" s="22"/>
      <c r="M26" s="42"/>
      <c r="N26" s="43"/>
      <c r="O26" s="43"/>
      <c r="P26" s="44"/>
      <c r="Q26" s="45"/>
      <c r="R26" s="29"/>
      <c r="S26" s="79"/>
      <c r="T26" s="79"/>
    </row>
    <row r="27" spans="1:20" s="30" customFormat="1" x14ac:dyDescent="0.25">
      <c r="A27" s="46" t="s">
        <v>48</v>
      </c>
      <c r="B27" s="18" t="str">
        <f>VLOOKUP(A27,'Identidad de Codigos'!A:C,2,FALSE)</f>
        <v>ARBHIP5600O4</v>
      </c>
      <c r="C27" s="141">
        <f>VLOOKUP(A27,'Identidad de Codigos'!A:C,3,FALSE)</f>
        <v>52259</v>
      </c>
      <c r="D27" s="18" t="s">
        <v>49</v>
      </c>
      <c r="E27" s="41">
        <v>43881</v>
      </c>
      <c r="F27" s="20" t="s">
        <v>15</v>
      </c>
      <c r="G27" s="21">
        <v>60000000</v>
      </c>
      <c r="H27" s="21">
        <f t="shared" ref="H27:H46" si="5">G27-SUM(I27:K27)</f>
        <v>60000000</v>
      </c>
      <c r="I27" s="21" t="str">
        <f>IF(ISERROR(VLOOKUP(C27,#REF!,3,FALSE))=TRUE,"",VLOOKUP(C27,#REF!,3,FALSE))</f>
        <v/>
      </c>
      <c r="J27" s="21" t="str">
        <f>IF(ISERROR(VLOOKUP(C27,#REF!,3,FALSE))=TRUE,"",VLOOKUP(C27,#REF!,3,FALSE))</f>
        <v/>
      </c>
      <c r="K27" s="21"/>
      <c r="L27" s="22">
        <v>100.869</v>
      </c>
      <c r="M27" s="23">
        <f t="shared" ref="M27:M46" si="6">+G27*L27/100</f>
        <v>60521400</v>
      </c>
      <c r="N27" s="26">
        <v>4.3499999999999997E-2</v>
      </c>
      <c r="O27" s="26"/>
      <c r="P27" s="27">
        <v>2.0359478116043168</v>
      </c>
      <c r="Q27" s="12">
        <f t="shared" ref="Q27:Q46" si="7">M27/$M$88</f>
        <v>2.190311571290247E-2</v>
      </c>
      <c r="R27" s="23"/>
      <c r="S27" s="79" t="s">
        <v>840</v>
      </c>
      <c r="T27" s="79" t="s">
        <v>854</v>
      </c>
    </row>
    <row r="28" spans="1:20" s="30" customFormat="1" x14ac:dyDescent="0.25">
      <c r="A28" s="46" t="s">
        <v>51</v>
      </c>
      <c r="B28" s="18" t="str">
        <f>VLOOKUP(A28,'Identidad de Codigos'!A:C,2,FALSE)</f>
        <v>ARBRIO5600D9</v>
      </c>
      <c r="C28" s="141">
        <f>VLOOKUP(A28,'Identidad de Codigos'!A:C,3,FALSE)</f>
        <v>52261</v>
      </c>
      <c r="D28" s="18" t="s">
        <v>52</v>
      </c>
      <c r="E28" s="78">
        <v>43885</v>
      </c>
      <c r="F28" s="20" t="s">
        <v>15</v>
      </c>
      <c r="G28" s="21">
        <v>60000000</v>
      </c>
      <c r="H28" s="21">
        <f t="shared" si="5"/>
        <v>60000000</v>
      </c>
      <c r="I28" s="21" t="str">
        <f>IF(ISERROR(VLOOKUP(C28,#REF!,3,FALSE))=TRUE,"",VLOOKUP(C28,#REF!,3,FALSE))</f>
        <v/>
      </c>
      <c r="J28" s="21" t="str">
        <f>IF(ISERROR(VLOOKUP(C28,#REF!,3,FALSE))=TRUE,"",VLOOKUP(C28,#REF!,3,FALSE))</f>
        <v/>
      </c>
      <c r="K28" s="21"/>
      <c r="L28" s="22">
        <v>100.53700000000001</v>
      </c>
      <c r="M28" s="23">
        <f t="shared" si="6"/>
        <v>60322200</v>
      </c>
      <c r="N28" s="26">
        <v>0.04</v>
      </c>
      <c r="O28" s="26"/>
      <c r="P28" s="27">
        <v>2.0653921631368211</v>
      </c>
      <c r="Q28" s="12">
        <f t="shared" si="7"/>
        <v>2.1831023847049894E-2</v>
      </c>
      <c r="R28" s="23"/>
      <c r="S28" s="79"/>
      <c r="T28" s="79" t="s">
        <v>835</v>
      </c>
    </row>
    <row r="29" spans="1:20" s="30" customFormat="1" x14ac:dyDescent="0.25">
      <c r="A29" s="46" t="s">
        <v>47</v>
      </c>
      <c r="B29" s="18" t="str">
        <f>VLOOKUP(A29,'Identidad de Codigos'!A:C,2,FALSE)</f>
        <v>ARBRIO5600F4</v>
      </c>
      <c r="C29" s="141">
        <f>VLOOKUP(A29,'Identidad de Codigos'!A:C,3,FALSE)</f>
        <v>52320</v>
      </c>
      <c r="D29" s="18" t="s">
        <v>54</v>
      </c>
      <c r="E29" s="78">
        <v>43922</v>
      </c>
      <c r="F29" s="20" t="s">
        <v>15</v>
      </c>
      <c r="G29" s="21">
        <v>92000000</v>
      </c>
      <c r="H29" s="21">
        <f t="shared" si="5"/>
        <v>80000000</v>
      </c>
      <c r="I29" s="21" t="str">
        <f>IF(ISERROR(VLOOKUP(C29,#REF!,3,FALSE))=TRUE,"",VLOOKUP(C29,#REF!,3,FALSE))</f>
        <v/>
      </c>
      <c r="J29" s="21" t="str">
        <f>IF(ISERROR(VLOOKUP(C29,#REF!,3,FALSE))=TRUE,"",VLOOKUP(C29,#REF!,3,FALSE))</f>
        <v/>
      </c>
      <c r="K29" s="21">
        <v>12000000</v>
      </c>
      <c r="L29" s="22">
        <v>97.41</v>
      </c>
      <c r="M29" s="23">
        <f t="shared" si="6"/>
        <v>89617200</v>
      </c>
      <c r="N29" s="26">
        <v>0.04</v>
      </c>
      <c r="O29" s="26"/>
      <c r="P29" s="27">
        <v>2.0961392820809683</v>
      </c>
      <c r="Q29" s="12">
        <f t="shared" si="7"/>
        <v>3.2433088155038106E-2</v>
      </c>
      <c r="R29" s="23"/>
      <c r="S29" s="79"/>
      <c r="T29" s="79" t="s">
        <v>835</v>
      </c>
    </row>
    <row r="30" spans="1:20" s="30" customFormat="1" x14ac:dyDescent="0.25">
      <c r="A30" s="46" t="s">
        <v>55</v>
      </c>
      <c r="B30" s="18" t="str">
        <f>VLOOKUP(A30,'Identidad de Codigos'!A:C,2,FALSE)</f>
        <v>ARITAU560074</v>
      </c>
      <c r="C30" s="141">
        <f>VLOOKUP(A30,'Identidad de Codigos'!A:C,3,FALSE)</f>
        <v>51630</v>
      </c>
      <c r="D30" s="18" t="s">
        <v>56</v>
      </c>
      <c r="E30" s="41">
        <v>43659</v>
      </c>
      <c r="F30" s="20" t="s">
        <v>15</v>
      </c>
      <c r="G30" s="21">
        <v>20888888</v>
      </c>
      <c r="H30" s="21">
        <f t="shared" si="5"/>
        <v>20888888</v>
      </c>
      <c r="I30" s="21" t="str">
        <f>IF(ISERROR(VLOOKUP(C30,#REF!,3,FALSE))=TRUE,"",VLOOKUP(C30,#REF!,3,FALSE))</f>
        <v/>
      </c>
      <c r="J30" s="21" t="str">
        <f>IF(ISERROR(VLOOKUP(C30,#REF!,3,FALSE))=TRUE,"",VLOOKUP(C30,#REF!,3,FALSE))</f>
        <v/>
      </c>
      <c r="K30" s="21"/>
      <c r="L30" s="22">
        <v>104.956</v>
      </c>
      <c r="M30" s="23">
        <f t="shared" si="6"/>
        <v>21924141.289280001</v>
      </c>
      <c r="N30" s="26">
        <v>0.04</v>
      </c>
      <c r="O30" s="26"/>
      <c r="P30" s="27">
        <v>1.6415889661786462</v>
      </c>
      <c r="Q30" s="12">
        <f t="shared" si="7"/>
        <v>7.9344992608419932E-3</v>
      </c>
      <c r="R30" s="23"/>
      <c r="S30" s="79"/>
      <c r="T30" s="79" t="s">
        <v>835</v>
      </c>
    </row>
    <row r="31" spans="1:20" s="30" customFormat="1" x14ac:dyDescent="0.25">
      <c r="A31" s="46" t="s">
        <v>58</v>
      </c>
      <c r="B31" s="18" t="str">
        <f>VLOOKUP(A31,'Identidad de Codigos'!A:C,2,FALSE)</f>
        <v>ARFRAN560094</v>
      </c>
      <c r="C31" s="141">
        <f>VLOOKUP(A31,'Identidad de Codigos'!A:C,3,FALSE)</f>
        <v>51730</v>
      </c>
      <c r="D31" s="18" t="s">
        <v>59</v>
      </c>
      <c r="E31" s="41">
        <v>43685</v>
      </c>
      <c r="F31" s="20" t="s">
        <v>15</v>
      </c>
      <c r="G31" s="21">
        <v>14625000</v>
      </c>
      <c r="H31" s="21">
        <f t="shared" si="5"/>
        <v>14625000</v>
      </c>
      <c r="I31" s="21" t="str">
        <f>IF(ISERROR(VLOOKUP(C31,#REF!,3,FALSE))=TRUE,"",VLOOKUP(C31,#REF!,3,FALSE))</f>
        <v/>
      </c>
      <c r="J31" s="21" t="str">
        <f>IF(ISERROR(VLOOKUP(C31,#REF!,3,FALSE))=TRUE,"",VLOOKUP(C31,#REF!,3,FALSE))</f>
        <v/>
      </c>
      <c r="K31" s="21"/>
      <c r="L31" s="22">
        <v>102.56399999999999</v>
      </c>
      <c r="M31" s="23">
        <f t="shared" si="6"/>
        <v>14999985</v>
      </c>
      <c r="N31" s="26">
        <v>0.04</v>
      </c>
      <c r="O31" s="26"/>
      <c r="P31" s="27">
        <v>1.48</v>
      </c>
      <c r="Q31" s="12">
        <f t="shared" si="7"/>
        <v>5.4285989277644171E-3</v>
      </c>
      <c r="R31" s="23"/>
      <c r="S31" s="79" t="s">
        <v>899</v>
      </c>
      <c r="T31" s="79" t="s">
        <v>835</v>
      </c>
    </row>
    <row r="32" spans="1:20" s="30" customFormat="1" x14ac:dyDescent="0.25">
      <c r="A32" s="46" t="s">
        <v>60</v>
      </c>
      <c r="B32" s="18" t="str">
        <f>VLOOKUP(A32,'Identidad de Codigos'!A:C,2,FALSE)</f>
        <v>ARFICR560057</v>
      </c>
      <c r="C32" s="141">
        <f>VLOOKUP(A32,'Identidad de Codigos'!A:C,3,FALSE)</f>
        <v>51734</v>
      </c>
      <c r="D32" s="18" t="s">
        <v>61</v>
      </c>
      <c r="E32" s="41">
        <v>43322</v>
      </c>
      <c r="F32" s="20" t="s">
        <v>15</v>
      </c>
      <c r="G32" s="21">
        <v>12000000</v>
      </c>
      <c r="H32" s="21">
        <f t="shared" si="5"/>
        <v>12000000</v>
      </c>
      <c r="I32" s="21" t="str">
        <f>IF(ISERROR(VLOOKUP(C32,#REF!,3,FALSE))=TRUE,"",VLOOKUP(C32,#REF!,3,FALSE))</f>
        <v/>
      </c>
      <c r="J32" s="21" t="str">
        <f>IF(ISERROR(VLOOKUP(C32,#REF!,3,FALSE))=TRUE,"",VLOOKUP(C32,#REF!,3,FALSE))</f>
        <v/>
      </c>
      <c r="K32" s="21"/>
      <c r="L32" s="143"/>
      <c r="M32" s="23">
        <f t="shared" si="6"/>
        <v>0</v>
      </c>
      <c r="N32" s="26"/>
      <c r="O32" s="26"/>
      <c r="P32" s="27">
        <v>0.76806095990801493</v>
      </c>
      <c r="Q32" s="12">
        <f t="shared" si="7"/>
        <v>0</v>
      </c>
      <c r="R32" s="47"/>
      <c r="S32" s="79"/>
      <c r="T32" s="79"/>
    </row>
    <row r="33" spans="1:20" s="30" customFormat="1" x14ac:dyDescent="0.25">
      <c r="A33" s="29" t="s">
        <v>62</v>
      </c>
      <c r="B33" s="18" t="str">
        <f>VLOOKUP(A33,'Identidad de Codigos'!A:C,2,FALSE)</f>
        <v>ARGPAT5600A4</v>
      </c>
      <c r="C33" s="141">
        <f>VLOOKUP(A33,'Identidad de Codigos'!A:C,3,FALSE)</f>
        <v>52167</v>
      </c>
      <c r="D33" s="18" t="s">
        <v>63</v>
      </c>
      <c r="E33" s="78">
        <v>43489</v>
      </c>
      <c r="F33" s="20" t="s">
        <v>15</v>
      </c>
      <c r="G33" s="21">
        <v>5285714</v>
      </c>
      <c r="H33" s="21">
        <f t="shared" si="5"/>
        <v>5285714</v>
      </c>
      <c r="I33" s="21" t="str">
        <f>IF(ISERROR(VLOOKUP(C33,#REF!,3,FALSE))=TRUE,"",VLOOKUP(C33,#REF!,3,FALSE))</f>
        <v/>
      </c>
      <c r="J33" s="21" t="str">
        <f>IF(ISERROR(VLOOKUP(C33,#REF!,3,FALSE))=TRUE,"",VLOOKUP(C33,#REF!,3,FALSE))</f>
        <v/>
      </c>
      <c r="K33" s="21"/>
      <c r="L33" s="22">
        <v>103.595</v>
      </c>
      <c r="M33" s="23">
        <f t="shared" si="6"/>
        <v>5475735.4183</v>
      </c>
      <c r="N33" s="26">
        <v>4.4999999999999998E-2</v>
      </c>
      <c r="O33" s="26"/>
      <c r="P33" s="27">
        <v>1.3292183060114038</v>
      </c>
      <c r="Q33" s="12">
        <f t="shared" si="7"/>
        <v>1.9817067430737446E-3</v>
      </c>
      <c r="R33" s="47"/>
      <c r="S33" s="79"/>
      <c r="T33" s="79" t="s">
        <v>836</v>
      </c>
    </row>
    <row r="34" spans="1:20" s="30" customFormat="1" x14ac:dyDescent="0.25">
      <c r="A34" s="29" t="s">
        <v>64</v>
      </c>
      <c r="B34" s="18" t="str">
        <f>VLOOKUP(A34,'Identidad de Codigos'!A:C,2,FALSE)</f>
        <v>ARGPAT560065</v>
      </c>
      <c r="C34" s="141">
        <f>VLOOKUP(A34,'Identidad de Codigos'!A:C,3,FALSE)</f>
        <v>51579</v>
      </c>
      <c r="D34" s="18" t="s">
        <v>65</v>
      </c>
      <c r="E34" s="41">
        <v>43630</v>
      </c>
      <c r="F34" s="20" t="s">
        <v>15</v>
      </c>
      <c r="G34" s="21">
        <v>15000000</v>
      </c>
      <c r="H34" s="21">
        <f t="shared" si="5"/>
        <v>15000000</v>
      </c>
      <c r="I34" s="21" t="str">
        <f>IF(ISERROR(VLOOKUP(C34,#REF!,3,FALSE))=TRUE,"",VLOOKUP(C34,#REF!,3,FALSE))</f>
        <v/>
      </c>
      <c r="J34" s="21" t="str">
        <f>IF(ISERROR(VLOOKUP(C34,#REF!,3,FALSE))=TRUE,"",VLOOKUP(C34,#REF!,3,FALSE))</f>
        <v/>
      </c>
      <c r="K34" s="21"/>
      <c r="L34" s="28">
        <v>99.911000000000001</v>
      </c>
      <c r="M34" s="23">
        <f t="shared" si="6"/>
        <v>14986650</v>
      </c>
      <c r="N34" s="26">
        <v>4.4999999999999998E-2</v>
      </c>
      <c r="O34" s="26"/>
      <c r="P34" s="27">
        <v>1.5984029557304844</v>
      </c>
      <c r="Q34" s="12">
        <f t="shared" si="7"/>
        <v>5.4237728984916052E-3</v>
      </c>
      <c r="R34" s="47"/>
      <c r="S34" s="79"/>
      <c r="T34" s="79" t="s">
        <v>836</v>
      </c>
    </row>
    <row r="35" spans="1:20" s="30" customFormat="1" x14ac:dyDescent="0.25">
      <c r="A35" s="29" t="s">
        <v>67</v>
      </c>
      <c r="B35" s="18" t="str">
        <f>VLOOKUP(A35,'Identidad de Codigos'!A:C,2,FALSE)</f>
        <v>ARGPAT5600E6</v>
      </c>
      <c r="C35" s="141">
        <f>VLOOKUP(A35,'Identidad de Codigos'!A:C,3,FALSE)</f>
        <v>52584</v>
      </c>
      <c r="D35" s="18" t="s">
        <v>68</v>
      </c>
      <c r="E35" s="41">
        <v>43630</v>
      </c>
      <c r="F35" s="20" t="s">
        <v>15</v>
      </c>
      <c r="G35" s="21">
        <v>24666666</v>
      </c>
      <c r="H35" s="21">
        <f t="shared" si="5"/>
        <v>24666666</v>
      </c>
      <c r="I35" s="21" t="str">
        <f>IF(ISERROR(VLOOKUP(C35,#REF!,3,FALSE))=TRUE,"",VLOOKUP(C35,#REF!,3,FALSE))</f>
        <v/>
      </c>
      <c r="J35" s="21" t="str">
        <f>IF(ISERROR(VLOOKUP(C35,#REF!,3,FALSE))=TRUE,"",VLOOKUP(C35,#REF!,3,FALSE))</f>
        <v/>
      </c>
      <c r="K35" s="21"/>
      <c r="L35" s="28">
        <v>99.367999999999995</v>
      </c>
      <c r="M35" s="23">
        <f t="shared" si="6"/>
        <v>24510772.670879997</v>
      </c>
      <c r="N35" s="26">
        <v>4.4999999999999998E-2</v>
      </c>
      <c r="O35" s="26"/>
      <c r="P35" s="27">
        <v>2.2111266835422931</v>
      </c>
      <c r="Q35" s="12">
        <f t="shared" si="7"/>
        <v>8.870619153273588E-3</v>
      </c>
      <c r="R35" s="47"/>
      <c r="S35" s="79"/>
      <c r="T35" s="79" t="s">
        <v>836</v>
      </c>
    </row>
    <row r="36" spans="1:20" s="30" customFormat="1" x14ac:dyDescent="0.25">
      <c r="A36" s="46" t="s">
        <v>70</v>
      </c>
      <c r="B36" s="18" t="str">
        <f>VLOOKUP(A36,'Identidad de Codigos'!A:C,2,FALSE)</f>
        <v>ARJDCC560022</v>
      </c>
      <c r="C36" s="141">
        <f>VLOOKUP(A36,'Identidad de Codigos'!A:C,3,FALSE)</f>
        <v>51350</v>
      </c>
      <c r="D36" s="18" t="s">
        <v>71</v>
      </c>
      <c r="E36" s="41">
        <v>43189</v>
      </c>
      <c r="F36" s="20" t="s">
        <v>15</v>
      </c>
      <c r="G36" s="21">
        <v>5084982</v>
      </c>
      <c r="H36" s="21">
        <f t="shared" si="5"/>
        <v>5084982</v>
      </c>
      <c r="I36" s="21" t="str">
        <f>IF(ISERROR(VLOOKUP(C36,#REF!,3,FALSE))=TRUE,"",VLOOKUP(C36,#REF!,3,FALSE))</f>
        <v/>
      </c>
      <c r="J36" s="21" t="str">
        <f>IF(ISERROR(VLOOKUP(C36,#REF!,3,FALSE))=TRUE,"",VLOOKUP(C36,#REF!,3,FALSE))</f>
        <v/>
      </c>
      <c r="K36" s="21"/>
      <c r="L36" s="22">
        <v>99.846999999999994</v>
      </c>
      <c r="M36" s="23">
        <f t="shared" si="6"/>
        <v>5077201.9775399994</v>
      </c>
      <c r="N36" s="26">
        <v>0.05</v>
      </c>
      <c r="O36" s="26"/>
      <c r="P36" s="27">
        <v>0.67967443643430492</v>
      </c>
      <c r="Q36" s="12">
        <f t="shared" si="7"/>
        <v>1.8374747182291862E-3</v>
      </c>
      <c r="R36" s="47"/>
      <c r="S36" s="79" t="s">
        <v>841</v>
      </c>
      <c r="T36" s="79" t="s">
        <v>837</v>
      </c>
    </row>
    <row r="37" spans="1:20" s="30" customFormat="1" x14ac:dyDescent="0.25">
      <c r="A37" s="29" t="s">
        <v>72</v>
      </c>
      <c r="B37" s="18" t="str">
        <f>VLOOKUP(A37,'Identidad de Codigos'!A:C,2,FALSE)</f>
        <v>ARTACU5600D7</v>
      </c>
      <c r="C37" s="141">
        <f>VLOOKUP(A37,'Identidad de Codigos'!A:C,3,FALSE)</f>
        <v>51685</v>
      </c>
      <c r="D37" s="18" t="s">
        <v>73</v>
      </c>
      <c r="E37" s="41">
        <v>44039</v>
      </c>
      <c r="F37" s="20" t="s">
        <v>15</v>
      </c>
      <c r="G37" s="21">
        <v>28000000</v>
      </c>
      <c r="H37" s="21">
        <f t="shared" si="5"/>
        <v>28000000</v>
      </c>
      <c r="I37" s="21" t="str">
        <f>IF(ISERROR(VLOOKUP(C37,#REF!,3,FALSE))=TRUE,"",VLOOKUP(C37,#REF!,3,FALSE))</f>
        <v/>
      </c>
      <c r="J37" s="21" t="str">
        <f>IF(ISERROR(VLOOKUP(C37,#REF!,3,FALSE))=TRUE,"",VLOOKUP(C37,#REF!,3,FALSE))</f>
        <v/>
      </c>
      <c r="K37" s="21"/>
      <c r="L37" s="22">
        <v>103.55</v>
      </c>
      <c r="M37" s="23">
        <f t="shared" si="6"/>
        <v>28994000</v>
      </c>
      <c r="N37" s="26">
        <v>4.4999999999999998E-2</v>
      </c>
      <c r="O37" s="26"/>
      <c r="P37" s="27">
        <v>2.2504365630907346</v>
      </c>
      <c r="Q37" s="12">
        <f t="shared" si="7"/>
        <v>1.0493130313903747E-2</v>
      </c>
      <c r="R37" s="23"/>
      <c r="S37" s="79" t="s">
        <v>842</v>
      </c>
      <c r="T37" s="79" t="s">
        <v>836</v>
      </c>
    </row>
    <row r="38" spans="1:20" s="30" customFormat="1" x14ac:dyDescent="0.25">
      <c r="A38" s="29" t="s">
        <v>75</v>
      </c>
      <c r="B38" s="18" t="str">
        <f>VLOOKUP(A38,'Identidad de Codigos'!A:C,2,FALSE)</f>
        <v>ARTANA5600C8</v>
      </c>
      <c r="C38" s="141">
        <f>VLOOKUP(A38,'Identidad de Codigos'!A:C,3,FALSE)</f>
        <v>51856</v>
      </c>
      <c r="D38" s="18" t="s">
        <v>76</v>
      </c>
      <c r="E38" s="41">
        <v>44102</v>
      </c>
      <c r="F38" s="20" t="s">
        <v>15</v>
      </c>
      <c r="G38" s="21">
        <v>46463333</v>
      </c>
      <c r="H38" s="21">
        <f t="shared" si="5"/>
        <v>46463333</v>
      </c>
      <c r="I38" s="21" t="str">
        <f>IF(ISERROR(VLOOKUP(C38,#REF!,3,FALSE))=TRUE,"",VLOOKUP(C38,#REF!,3,FALSE))</f>
        <v/>
      </c>
      <c r="J38" s="21" t="str">
        <f>IF(ISERROR(VLOOKUP(C38,#REF!,3,FALSE))=TRUE,"",VLOOKUP(C38,#REF!,3,FALSE))</f>
        <v/>
      </c>
      <c r="K38" s="21"/>
      <c r="L38" s="22">
        <v>99.343999999999994</v>
      </c>
      <c r="M38" s="23">
        <f t="shared" si="6"/>
        <v>46158533.535520002</v>
      </c>
      <c r="N38" s="26">
        <v>4.4999999999999998E-2</v>
      </c>
      <c r="O38" s="26"/>
      <c r="P38" s="27">
        <v>2.11</v>
      </c>
      <c r="Q38" s="12">
        <f t="shared" si="7"/>
        <v>1.6705094415634534E-2</v>
      </c>
      <c r="R38" s="23"/>
      <c r="S38" s="79" t="s">
        <v>843</v>
      </c>
      <c r="T38" s="79" t="s">
        <v>836</v>
      </c>
    </row>
    <row r="39" spans="1:20" s="30" customFormat="1" x14ac:dyDescent="0.25">
      <c r="A39" s="29" t="s">
        <v>77</v>
      </c>
      <c r="B39" s="18" t="str">
        <f>VLOOKUP(A39,'Identidad de Codigos'!A:C,2,FALSE)</f>
        <v>ARROMB5600A7</v>
      </c>
      <c r="C39" s="141">
        <f>VLOOKUP(A39,'Identidad de Codigos'!A:C,3,FALSE)</f>
        <v>51938</v>
      </c>
      <c r="D39" s="18" t="s">
        <v>78</v>
      </c>
      <c r="E39" s="41">
        <v>43766</v>
      </c>
      <c r="F39" s="20" t="s">
        <v>15</v>
      </c>
      <c r="G39" s="21">
        <v>26277777</v>
      </c>
      <c r="H39" s="21">
        <f t="shared" si="5"/>
        <v>26277777</v>
      </c>
      <c r="I39" s="21" t="str">
        <f>IF(ISERROR(VLOOKUP(C39,#REF!,3,FALSE))=TRUE,"",VLOOKUP(C39,#REF!,3,FALSE))</f>
        <v/>
      </c>
      <c r="J39" s="21" t="str">
        <f>IF(ISERROR(VLOOKUP(C39,#REF!,3,FALSE))=TRUE,"",VLOOKUP(C39,#REF!,3,FALSE))</f>
        <v/>
      </c>
      <c r="K39" s="21"/>
      <c r="L39" s="22">
        <v>103.31699999999999</v>
      </c>
      <c r="M39" s="23">
        <f t="shared" si="6"/>
        <v>27149410.863090001</v>
      </c>
      <c r="N39" s="26">
        <v>4.2500000000000003E-2</v>
      </c>
      <c r="O39" s="26"/>
      <c r="P39" s="27">
        <v>1.6667306029062612</v>
      </c>
      <c r="Q39" s="12">
        <f t="shared" si="7"/>
        <v>9.8255606722810716E-3</v>
      </c>
      <c r="R39" s="23"/>
      <c r="S39" s="79" t="s">
        <v>844</v>
      </c>
      <c r="T39" s="79" t="s">
        <v>834</v>
      </c>
    </row>
    <row r="40" spans="1:20" s="30" customFormat="1" x14ac:dyDescent="0.25">
      <c r="A40" s="29" t="s">
        <v>80</v>
      </c>
      <c r="B40" s="18" t="str">
        <f>VLOOKUP(A40,'Identidad de Codigos'!A:C,2,FALSE)</f>
        <v>ARROMB5600B5</v>
      </c>
      <c r="C40" s="141">
        <f>VLOOKUP(A40,'Identidad de Codigos'!A:C,3,FALSE)</f>
        <v>52186</v>
      </c>
      <c r="D40" s="18" t="s">
        <v>81</v>
      </c>
      <c r="E40" s="78">
        <v>43495</v>
      </c>
      <c r="F40" s="20" t="s">
        <v>15</v>
      </c>
      <c r="G40" s="21">
        <v>4900000</v>
      </c>
      <c r="H40" s="21">
        <f t="shared" si="5"/>
        <v>4900000</v>
      </c>
      <c r="I40" s="21" t="str">
        <f>IF(ISERROR(VLOOKUP(C40,#REF!,3,FALSE))=TRUE,"",VLOOKUP(C40,#REF!,3,FALSE))</f>
        <v/>
      </c>
      <c r="J40" s="21" t="str">
        <f>IF(ISERROR(VLOOKUP(C40,#REF!,3,FALSE))=TRUE,"",VLOOKUP(C40,#REF!,3,FALSE))</f>
        <v/>
      </c>
      <c r="K40" s="21"/>
      <c r="L40" s="22">
        <v>101.622</v>
      </c>
      <c r="M40" s="23">
        <f t="shared" si="6"/>
        <v>4979478</v>
      </c>
      <c r="N40" s="26">
        <v>4.2500000000000003E-2</v>
      </c>
      <c r="O40" s="26"/>
      <c r="P40" s="27">
        <v>1.2496602003751602</v>
      </c>
      <c r="Q40" s="12">
        <f t="shared" si="7"/>
        <v>1.8021077308828311E-3</v>
      </c>
      <c r="R40" s="47"/>
      <c r="S40" s="79"/>
      <c r="T40" s="79" t="s">
        <v>834</v>
      </c>
    </row>
    <row r="41" spans="1:20" s="30" customFormat="1" x14ac:dyDescent="0.25">
      <c r="A41" s="29" t="s">
        <v>83</v>
      </c>
      <c r="B41" s="18" t="str">
        <f>VLOOKUP(A41,'Identidad de Codigos'!A:C,2,FALSE)</f>
        <v>ARROMB560069</v>
      </c>
      <c r="C41" s="141">
        <f>VLOOKUP(A41,'Identidad de Codigos'!A:C,3,FALSE)</f>
        <v>51769</v>
      </c>
      <c r="D41" s="18" t="s">
        <v>81</v>
      </c>
      <c r="E41" s="41">
        <v>43696</v>
      </c>
      <c r="F41" s="20" t="s">
        <v>15</v>
      </c>
      <c r="G41" s="21">
        <v>10821428</v>
      </c>
      <c r="H41" s="21">
        <f t="shared" si="5"/>
        <v>10821428</v>
      </c>
      <c r="I41" s="21" t="str">
        <f>IF(ISERROR(VLOOKUP(C41,#REF!,3,FALSE))=TRUE,"",VLOOKUP(C41,#REF!,3,FALSE))</f>
        <v/>
      </c>
      <c r="J41" s="21" t="str">
        <f>IF(ISERROR(VLOOKUP(C41,#REF!,3,FALSE))=TRUE,"",VLOOKUP(C41,#REF!,3,FALSE))</f>
        <v/>
      </c>
      <c r="K41" s="21"/>
      <c r="L41" s="143"/>
      <c r="M41" s="23">
        <f t="shared" si="6"/>
        <v>0</v>
      </c>
      <c r="N41" s="26"/>
      <c r="O41" s="26"/>
      <c r="P41" s="27">
        <v>1.5183304908747057</v>
      </c>
      <c r="Q41" s="12">
        <f t="shared" si="7"/>
        <v>0</v>
      </c>
      <c r="R41" s="23"/>
      <c r="S41" s="79"/>
      <c r="T41" s="79"/>
    </row>
    <row r="42" spans="1:20" s="30" customFormat="1" x14ac:dyDescent="0.25">
      <c r="A42" s="29" t="s">
        <v>46</v>
      </c>
      <c r="B42" s="18" t="str">
        <f>VLOOKUP(A42,'Identidad de Codigos'!A:C,2,FALSE)</f>
        <v>ARARCS560050</v>
      </c>
      <c r="C42" s="141">
        <f>VLOOKUP(A42,'Identidad de Codigos'!A:C,3,FALSE)</f>
        <v>52407</v>
      </c>
      <c r="D42" s="18" t="s">
        <v>85</v>
      </c>
      <c r="E42" s="78">
        <v>44319</v>
      </c>
      <c r="F42" s="20" t="s">
        <v>15</v>
      </c>
      <c r="G42" s="21">
        <v>100000000</v>
      </c>
      <c r="H42" s="21">
        <f t="shared" si="5"/>
        <v>89000000</v>
      </c>
      <c r="I42" s="21" t="str">
        <f>IF(ISERROR(VLOOKUP(C42,#REF!,3,FALSE))=TRUE,"",VLOOKUP(C42,#REF!,3,FALSE))</f>
        <v/>
      </c>
      <c r="J42" s="21" t="str">
        <f>IF(ISERROR(VLOOKUP(C42,#REF!,3,FALSE))=TRUE,"",VLOOKUP(C42,#REF!,3,FALSE))</f>
        <v/>
      </c>
      <c r="K42" s="21">
        <v>11000000</v>
      </c>
      <c r="L42" s="22">
        <v>102.18899999999999</v>
      </c>
      <c r="M42" s="23">
        <f t="shared" si="6"/>
        <v>102189000</v>
      </c>
      <c r="N42" s="26">
        <v>3.7499999999999999E-2</v>
      </c>
      <c r="O42" s="26"/>
      <c r="P42" s="27">
        <v>2.31</v>
      </c>
      <c r="Q42" s="12">
        <f t="shared" si="7"/>
        <v>3.6982910038197904E-2</v>
      </c>
      <c r="R42" s="23"/>
      <c r="S42" s="79"/>
      <c r="T42" s="79" t="s">
        <v>838</v>
      </c>
    </row>
    <row r="43" spans="1:20" s="30" customFormat="1" x14ac:dyDescent="0.25">
      <c r="A43" s="29" t="s">
        <v>86</v>
      </c>
      <c r="B43" s="18" t="str">
        <f>VLOOKUP(A43,'Identidad de Codigos'!A:C,2,FALSE)</f>
        <v>ARTACU5600F2</v>
      </c>
      <c r="C43" s="141">
        <f>VLOOKUP(A43,'Identidad de Codigos'!A:C,3,FALSE)</f>
        <v>51916</v>
      </c>
      <c r="D43" s="18" t="s">
        <v>87</v>
      </c>
      <c r="E43" s="78">
        <v>44130</v>
      </c>
      <c r="F43" s="20" t="s">
        <v>15</v>
      </c>
      <c r="G43" s="21">
        <v>35023666</v>
      </c>
      <c r="H43" s="21">
        <f t="shared" si="5"/>
        <v>35023666</v>
      </c>
      <c r="I43" s="21" t="str">
        <f>IF(ISERROR(VLOOKUP(C43,#REF!,3,FALSE))=TRUE,"",VLOOKUP(C43,#REF!,3,FALSE))</f>
        <v/>
      </c>
      <c r="J43" s="21" t="str">
        <f>IF(ISERROR(VLOOKUP(C43,#REF!,3,FALSE))=TRUE,"",VLOOKUP(C43,#REF!,3,FALSE))</f>
        <v/>
      </c>
      <c r="K43" s="21"/>
      <c r="L43" s="22">
        <v>103.72799999999999</v>
      </c>
      <c r="M43" s="23">
        <f t="shared" si="6"/>
        <v>36329348.268479995</v>
      </c>
      <c r="N43" s="26">
        <v>4.4999999999999998E-2</v>
      </c>
      <c r="O43" s="26"/>
      <c r="P43" s="27">
        <v>2.1800000000000002</v>
      </c>
      <c r="Q43" s="12">
        <f t="shared" si="7"/>
        <v>1.3147843884953924E-2</v>
      </c>
      <c r="R43" s="23"/>
      <c r="S43" s="79" t="s">
        <v>845</v>
      </c>
      <c r="T43" s="79" t="s">
        <v>836</v>
      </c>
    </row>
    <row r="44" spans="1:20" s="30" customFormat="1" x14ac:dyDescent="0.25">
      <c r="A44" s="29" t="s">
        <v>82</v>
      </c>
      <c r="B44" s="18" t="str">
        <f>VLOOKUP(A44,'Identidad de Codigos'!A:C,2,FALSE)</f>
        <v>ARTELM560034</v>
      </c>
      <c r="C44" s="141">
        <f>VLOOKUP(A44,'Identidad de Codigos'!A:C,3,FALSE)</f>
        <v>51988</v>
      </c>
      <c r="D44" s="18" t="s">
        <v>88</v>
      </c>
      <c r="E44" s="78">
        <v>43236</v>
      </c>
      <c r="F44" s="20" t="s">
        <v>15</v>
      </c>
      <c r="G44" s="21">
        <v>40000000</v>
      </c>
      <c r="H44" s="21">
        <f t="shared" si="5"/>
        <v>40000000</v>
      </c>
      <c r="I44" s="21" t="str">
        <f>IF(ISERROR(VLOOKUP(C44,#REF!,3,FALSE))=TRUE,"",VLOOKUP(C44,#REF!,3,FALSE))</f>
        <v/>
      </c>
      <c r="J44" s="21" t="str">
        <f>IF(ISERROR(VLOOKUP(C44,#REF!,3,FALSE))=TRUE,"",VLOOKUP(C44,#REF!,3,FALSE))</f>
        <v/>
      </c>
      <c r="K44" s="21"/>
      <c r="L44" s="22">
        <v>102.652</v>
      </c>
      <c r="M44" s="23">
        <f t="shared" si="6"/>
        <v>41060800</v>
      </c>
      <c r="N44" s="26">
        <v>3.7499999999999999E-2</v>
      </c>
      <c r="O44" s="26"/>
      <c r="P44" s="27">
        <v>0.7848767944358791</v>
      </c>
      <c r="Q44" s="12">
        <f t="shared" si="7"/>
        <v>1.4860189183732461E-2</v>
      </c>
      <c r="R44" s="47"/>
      <c r="S44" s="79" t="s">
        <v>846</v>
      </c>
      <c r="T44" s="79" t="s">
        <v>838</v>
      </c>
    </row>
    <row r="45" spans="1:20" s="30" customFormat="1" x14ac:dyDescent="0.25">
      <c r="A45" s="46" t="s">
        <v>90</v>
      </c>
      <c r="B45" s="18" t="str">
        <f>VLOOKUP(A45,'Identidad de Codigos'!A:C,2,FALSE)</f>
        <v>ARTCFA5600A4</v>
      </c>
      <c r="C45" s="141">
        <f>VLOOKUP(A45,'Identidad de Codigos'!A:C,3,FALSE)</f>
        <v>51296</v>
      </c>
      <c r="D45" s="18" t="s">
        <v>91</v>
      </c>
      <c r="E45" s="41">
        <v>43159</v>
      </c>
      <c r="F45" s="20" t="s">
        <v>15</v>
      </c>
      <c r="G45" s="21">
        <v>6000000</v>
      </c>
      <c r="H45" s="21">
        <f t="shared" si="5"/>
        <v>6000000</v>
      </c>
      <c r="I45" s="21" t="str">
        <f>IF(ISERROR(VLOOKUP(C45,#REF!,3,FALSE))=TRUE,"",VLOOKUP(C45,#REF!,3,FALSE))</f>
        <v/>
      </c>
      <c r="J45" s="21" t="str">
        <f>IF(ISERROR(VLOOKUP(C45,#REF!,3,FALSE))=TRUE,"",VLOOKUP(C45,#REF!,3,FALSE))</f>
        <v/>
      </c>
      <c r="K45" s="21"/>
      <c r="L45" s="22">
        <v>68.179000000000002</v>
      </c>
      <c r="M45" s="23">
        <f t="shared" si="6"/>
        <v>4090740</v>
      </c>
      <c r="N45" s="26">
        <v>0.04</v>
      </c>
      <c r="O45" s="26"/>
      <c r="P45" s="27">
        <v>0.37119276488390163</v>
      </c>
      <c r="Q45" s="12">
        <f t="shared" si="7"/>
        <v>1.4804672656514664E-3</v>
      </c>
      <c r="R45" s="23"/>
      <c r="S45" s="79" t="s">
        <v>847</v>
      </c>
      <c r="T45" s="79" t="s">
        <v>835</v>
      </c>
    </row>
    <row r="46" spans="1:20" s="30" customFormat="1" x14ac:dyDescent="0.25">
      <c r="A46" s="46" t="s">
        <v>92</v>
      </c>
      <c r="B46" s="18" t="str">
        <f>VLOOKUP(A46,'Identidad de Codigos'!A:C,2,FALSE)</f>
        <v>ARTCFA5600E6</v>
      </c>
      <c r="C46" s="141">
        <f>VLOOKUP(A46,'Identidad de Codigos'!A:C,3,FALSE)</f>
        <v>51863</v>
      </c>
      <c r="D46" s="18" t="s">
        <v>93</v>
      </c>
      <c r="E46" s="41">
        <v>43371</v>
      </c>
      <c r="F46" s="20" t="s">
        <v>15</v>
      </c>
      <c r="G46" s="21">
        <v>8500000</v>
      </c>
      <c r="H46" s="21">
        <f t="shared" si="5"/>
        <v>8500000</v>
      </c>
      <c r="I46" s="21" t="str">
        <f>IF(ISERROR(VLOOKUP(C46,#REF!,3,FALSE))=TRUE,"",VLOOKUP(C46,#REF!,3,FALSE))</f>
        <v/>
      </c>
      <c r="J46" s="21" t="str">
        <f>IF(ISERROR(VLOOKUP(C46,#REF!,3,FALSE))=TRUE,"",VLOOKUP(C46,#REF!,3,FALSE))</f>
        <v/>
      </c>
      <c r="K46" s="21"/>
      <c r="L46" s="22">
        <v>99.64</v>
      </c>
      <c r="M46" s="23">
        <f t="shared" si="6"/>
        <v>8469400</v>
      </c>
      <c r="N46" s="26">
        <v>0.04</v>
      </c>
      <c r="O46" s="26"/>
      <c r="P46" s="27">
        <v>0.88691047446886584</v>
      </c>
      <c r="Q46" s="12">
        <f t="shared" si="7"/>
        <v>3.0651347823886458E-3</v>
      </c>
      <c r="R46" s="23"/>
      <c r="S46" s="79" t="s">
        <v>848</v>
      </c>
      <c r="T46" s="79" t="s">
        <v>835</v>
      </c>
    </row>
    <row r="47" spans="1:20" s="30" customFormat="1" x14ac:dyDescent="0.25">
      <c r="A47" s="32" t="s">
        <v>33</v>
      </c>
      <c r="B47" s="18"/>
      <c r="C47" s="18"/>
      <c r="D47" s="18"/>
      <c r="E47" s="41"/>
      <c r="F47" s="20"/>
      <c r="G47" s="21"/>
      <c r="H47" s="21"/>
      <c r="I47" s="21"/>
      <c r="J47" s="21"/>
      <c r="K47" s="21"/>
      <c r="L47" s="22"/>
      <c r="M47" s="23"/>
      <c r="N47" s="26"/>
      <c r="O47" s="26"/>
      <c r="P47" s="27"/>
      <c r="Q47" s="12"/>
      <c r="R47" s="23"/>
      <c r="S47" s="79"/>
      <c r="T47" s="79"/>
    </row>
    <row r="48" spans="1:20" s="30" customFormat="1" x14ac:dyDescent="0.25">
      <c r="A48" s="46" t="s">
        <v>53</v>
      </c>
      <c r="B48" s="18" t="str">
        <f>VLOOKUP(A48,'Identidad de Codigos'!A:C,2,FALSE)</f>
        <v>ARBHIP5600P1</v>
      </c>
      <c r="C48" s="141">
        <f>VLOOKUP(A48,'Identidad de Codigos'!A:C,3,FALSE)</f>
        <v>52435</v>
      </c>
      <c r="D48" s="18" t="s">
        <v>95</v>
      </c>
      <c r="E48" s="41">
        <v>43959</v>
      </c>
      <c r="F48" s="20" t="s">
        <v>37</v>
      </c>
      <c r="G48" s="21">
        <v>3700000</v>
      </c>
      <c r="H48" s="21">
        <f>G48-SUM(I48:K48)</f>
        <v>3200000</v>
      </c>
      <c r="I48" s="21" t="str">
        <f>IF(ISERROR(VLOOKUP(C48,#REF!,3,FALSE))=TRUE,"",VLOOKUP(C48,#REF!,3,FALSE))</f>
        <v/>
      </c>
      <c r="J48" s="21" t="str">
        <f>IF(ISERROR(VLOOKUP(C48,#REF!,3,FALSE))=TRUE,"",VLOOKUP(C48,#REF!,3,FALSE))</f>
        <v/>
      </c>
      <c r="K48" s="21">
        <v>500000</v>
      </c>
      <c r="L48" s="22">
        <v>1948</v>
      </c>
      <c r="M48" s="23">
        <f>G48*L48/100</f>
        <v>72076000</v>
      </c>
      <c r="N48" s="26">
        <v>4.1399999999999999E-2</v>
      </c>
      <c r="O48" s="26"/>
      <c r="P48" s="27">
        <v>7.7630375069772536E-2</v>
      </c>
      <c r="Q48" s="12">
        <f>M48/$M$88</f>
        <v>2.6084805839309045E-2</v>
      </c>
      <c r="R48" s="23"/>
      <c r="S48" s="79" t="s">
        <v>849</v>
      </c>
      <c r="T48" s="79"/>
    </row>
    <row r="49" spans="1:20" s="30" customFormat="1" x14ac:dyDescent="0.25">
      <c r="A49" s="48" t="s">
        <v>96</v>
      </c>
      <c r="B49" s="33"/>
      <c r="C49" s="33"/>
      <c r="D49" s="33"/>
      <c r="E49" s="34"/>
      <c r="F49" s="33"/>
      <c r="G49" s="35"/>
      <c r="H49" s="35"/>
      <c r="I49" s="35"/>
      <c r="J49" s="35"/>
      <c r="K49" s="35"/>
      <c r="L49" s="36"/>
      <c r="M49" s="49"/>
      <c r="N49" s="50"/>
      <c r="O49" s="50"/>
      <c r="P49" s="51"/>
      <c r="Q49" s="52"/>
      <c r="R49" s="23"/>
      <c r="S49" s="79"/>
      <c r="T49" s="79"/>
    </row>
    <row r="50" spans="1:20" s="30" customFormat="1" x14ac:dyDescent="0.25">
      <c r="A50" s="46" t="s">
        <v>66</v>
      </c>
      <c r="B50" s="18"/>
      <c r="C50" s="18"/>
      <c r="D50" s="18">
        <v>0.21</v>
      </c>
      <c r="E50" s="41">
        <v>43179</v>
      </c>
      <c r="F50" s="20" t="s">
        <v>97</v>
      </c>
      <c r="G50" s="21"/>
      <c r="H50" s="21"/>
      <c r="I50" s="21">
        <v>23300000</v>
      </c>
      <c r="J50" s="21"/>
      <c r="K50" s="21"/>
      <c r="L50" s="22"/>
      <c r="M50" s="23">
        <f>I50*(1+D50/365*("29/09/2017"-"22/03/2017"))</f>
        <v>25860446.575342465</v>
      </c>
      <c r="N50" s="53"/>
      <c r="O50" s="53"/>
      <c r="P50" s="27">
        <f t="shared" ref="P50:P56" ca="1" si="8">(E50-TODAY())/365/(1+O50)</f>
        <v>0.33698630136986302</v>
      </c>
      <c r="Q50" s="12">
        <f t="shared" ref="Q50:Q56" si="9">M50/$M$88</f>
        <v>9.3590755291030683E-3</v>
      </c>
      <c r="R50" s="23"/>
      <c r="S50" s="79"/>
      <c r="T50" s="79"/>
    </row>
    <row r="51" spans="1:20" s="30" customFormat="1" x14ac:dyDescent="0.25">
      <c r="A51" s="46" t="s">
        <v>66</v>
      </c>
      <c r="B51" s="18"/>
      <c r="C51" s="18"/>
      <c r="D51" s="18">
        <v>0.23499999999999999</v>
      </c>
      <c r="E51" s="41">
        <v>43019</v>
      </c>
      <c r="F51" s="20" t="s">
        <v>97</v>
      </c>
      <c r="G51" s="21"/>
      <c r="H51" s="21"/>
      <c r="I51" s="21"/>
      <c r="J51" s="21">
        <v>37496830.549999997</v>
      </c>
      <c r="K51" s="21"/>
      <c r="L51" s="22"/>
      <c r="M51" s="23">
        <f>J51*(1+D51/365*("29/09/2017"-"11/09/2017"))</f>
        <v>37931382.860209584</v>
      </c>
      <c r="N51" s="53"/>
      <c r="O51" s="53"/>
      <c r="P51" s="27">
        <f t="shared" ca="1" si="8"/>
        <v>-0.10136986301369863</v>
      </c>
      <c r="Q51" s="12">
        <f t="shared" si="9"/>
        <v>1.3727631349201705E-2</v>
      </c>
      <c r="R51" s="23"/>
      <c r="S51" s="79"/>
      <c r="T51" s="79"/>
    </row>
    <row r="52" spans="1:20" s="30" customFormat="1" x14ac:dyDescent="0.25">
      <c r="A52" s="5" t="s">
        <v>57</v>
      </c>
      <c r="B52" s="18"/>
      <c r="C52" s="18"/>
      <c r="D52" s="18">
        <v>0.21249999999999999</v>
      </c>
      <c r="E52" s="41">
        <v>43181</v>
      </c>
      <c r="F52" s="20" t="s">
        <v>97</v>
      </c>
      <c r="G52" s="21"/>
      <c r="H52" s="21"/>
      <c r="I52" s="21">
        <v>65000000</v>
      </c>
      <c r="J52" s="21"/>
      <c r="K52" s="21"/>
      <c r="L52" s="22"/>
      <c r="M52" s="23">
        <f>I52*(1+D52/365*("29/09/2017"-"27/03/2017"))</f>
        <v>72038698.630136982</v>
      </c>
      <c r="N52" s="53"/>
      <c r="O52" s="53"/>
      <c r="P52" s="27">
        <f t="shared" ca="1" si="8"/>
        <v>0.34246575342465752</v>
      </c>
      <c r="Q52" s="12">
        <f t="shared" si="9"/>
        <v>2.6071306214046585E-2</v>
      </c>
      <c r="R52" s="29"/>
      <c r="S52" s="79"/>
      <c r="T52" s="79"/>
    </row>
    <row r="53" spans="1:20" s="30" customFormat="1" x14ac:dyDescent="0.25">
      <c r="A53" s="5" t="s">
        <v>39</v>
      </c>
      <c r="B53" s="18"/>
      <c r="C53" s="18"/>
      <c r="D53" s="18">
        <v>0.21</v>
      </c>
      <c r="E53" s="41">
        <v>43181</v>
      </c>
      <c r="F53" s="20" t="s">
        <v>97</v>
      </c>
      <c r="G53" s="21"/>
      <c r="H53" s="21"/>
      <c r="I53" s="21">
        <v>50000000</v>
      </c>
      <c r="J53" s="21"/>
      <c r="K53" s="21"/>
      <c r="L53" s="22"/>
      <c r="M53" s="23">
        <f>I53*(1+D53/365*("29/09/2017"-"27/03/2017"))</f>
        <v>55350684.931506842</v>
      </c>
      <c r="N53" s="53"/>
      <c r="O53" s="53"/>
      <c r="P53" s="27">
        <f t="shared" ca="1" si="8"/>
        <v>0.34246575342465752</v>
      </c>
      <c r="Q53" s="12">
        <f t="shared" si="9"/>
        <v>2.003179795647823E-2</v>
      </c>
      <c r="R53" s="29"/>
      <c r="S53" s="79"/>
      <c r="T53" s="79"/>
    </row>
    <row r="54" spans="1:20" s="30" customFormat="1" x14ac:dyDescent="0.25">
      <c r="A54" s="5" t="s">
        <v>34</v>
      </c>
      <c r="B54" s="18"/>
      <c r="C54" s="18"/>
      <c r="D54" s="18">
        <v>0.20599999999999999</v>
      </c>
      <c r="E54" s="41">
        <v>43181</v>
      </c>
      <c r="F54" s="20" t="s">
        <v>97</v>
      </c>
      <c r="G54" s="21"/>
      <c r="H54" s="21"/>
      <c r="I54" s="21">
        <v>15700000</v>
      </c>
      <c r="J54" s="21"/>
      <c r="K54" s="21"/>
      <c r="L54" s="22"/>
      <c r="M54" s="23">
        <f>I54*(1+D54/365*("29/09/2017"-"30/03/2017"))</f>
        <v>17321530.410958905</v>
      </c>
      <c r="N54" s="53"/>
      <c r="O54" s="53"/>
      <c r="P54" s="27">
        <f t="shared" ca="1" si="8"/>
        <v>0.34246575342465752</v>
      </c>
      <c r="Q54" s="12">
        <f t="shared" si="9"/>
        <v>6.2687823631937135E-3</v>
      </c>
      <c r="R54" s="29"/>
      <c r="S54" s="79"/>
      <c r="T54" s="79"/>
    </row>
    <row r="55" spans="1:20" s="30" customFormat="1" x14ac:dyDescent="0.25">
      <c r="A55" s="5" t="s">
        <v>34</v>
      </c>
      <c r="B55" s="18"/>
      <c r="C55" s="18"/>
      <c r="D55" s="18">
        <v>0.2225</v>
      </c>
      <c r="E55" s="41">
        <v>43230</v>
      </c>
      <c r="F55" s="20" t="s">
        <v>97</v>
      </c>
      <c r="G55" s="21"/>
      <c r="H55" s="21"/>
      <c r="I55" s="21">
        <v>8333000</v>
      </c>
      <c r="J55" s="21"/>
      <c r="K55" s="21"/>
      <c r="L55" s="22"/>
      <c r="M55" s="23">
        <f>I55*(1+D55/365*("29/09/2017"-"17/05/2017"))</f>
        <v>9018760.2397260275</v>
      </c>
      <c r="N55" s="53"/>
      <c r="O55" s="53"/>
      <c r="P55" s="27">
        <f t="shared" ca="1" si="8"/>
        <v>0.47671232876712327</v>
      </c>
      <c r="Q55" s="12">
        <f t="shared" si="9"/>
        <v>3.2639520750948128E-3</v>
      </c>
      <c r="R55" s="29"/>
      <c r="S55" s="79"/>
      <c r="T55" s="79"/>
    </row>
    <row r="56" spans="1:20" s="30" customFormat="1" x14ac:dyDescent="0.25">
      <c r="A56" s="29" t="s">
        <v>99</v>
      </c>
      <c r="B56" s="18"/>
      <c r="C56" s="18"/>
      <c r="D56" s="18">
        <v>0.21</v>
      </c>
      <c r="E56" s="41">
        <v>43012</v>
      </c>
      <c r="F56" s="20" t="s">
        <v>97</v>
      </c>
      <c r="G56" s="21"/>
      <c r="H56" s="21"/>
      <c r="I56" s="21">
        <v>9668340.3100000005</v>
      </c>
      <c r="J56" s="21"/>
      <c r="K56" s="21"/>
      <c r="L56" s="22"/>
      <c r="M56" s="23">
        <f>I56*(1+D56/365*("29/09/2017"-"04/09/2017"))</f>
        <v>9807405.4788424671</v>
      </c>
      <c r="N56" s="53"/>
      <c r="O56" s="53"/>
      <c r="P56" s="27">
        <f t="shared" ca="1" si="8"/>
        <v>-0.12054794520547946</v>
      </c>
      <c r="Q56" s="12">
        <f t="shared" si="9"/>
        <v>3.5493682738079462E-3</v>
      </c>
      <c r="R56" s="29"/>
      <c r="S56" s="79"/>
      <c r="T56" s="79"/>
    </row>
    <row r="57" spans="1:20" s="30" customFormat="1" outlineLevel="1" x14ac:dyDescent="0.25">
      <c r="A57" s="33" t="s">
        <v>100</v>
      </c>
      <c r="B57" s="50"/>
      <c r="C57" s="50"/>
      <c r="D57" s="50"/>
      <c r="E57" s="34"/>
      <c r="F57" s="50"/>
      <c r="G57" s="35"/>
      <c r="H57" s="35"/>
      <c r="I57" s="35"/>
      <c r="J57" s="35"/>
      <c r="K57" s="35"/>
      <c r="L57" s="36"/>
      <c r="M57" s="54"/>
      <c r="N57" s="50"/>
      <c r="O57" s="50"/>
      <c r="P57" s="51"/>
      <c r="Q57" s="55"/>
      <c r="R57" s="29"/>
      <c r="S57" s="79"/>
      <c r="T57" s="79"/>
    </row>
    <row r="58" spans="1:20" s="30" customFormat="1" outlineLevel="1" x14ac:dyDescent="0.25">
      <c r="A58" s="29" t="s">
        <v>89</v>
      </c>
      <c r="B58" s="20"/>
      <c r="C58" s="20"/>
      <c r="D58" s="20"/>
      <c r="E58" s="41"/>
      <c r="F58" s="20" t="s">
        <v>97</v>
      </c>
      <c r="G58" s="21">
        <v>5135726</v>
      </c>
      <c r="H58" s="21"/>
      <c r="I58" s="21"/>
      <c r="J58" s="21"/>
      <c r="K58" s="21"/>
      <c r="L58" s="145">
        <v>1</v>
      </c>
      <c r="M58" s="23">
        <f t="shared" ref="M58:M64" si="10">+G58*L58</f>
        <v>5135726</v>
      </c>
      <c r="N58" s="12"/>
      <c r="O58" s="12"/>
      <c r="P58" s="27">
        <v>8.21917808219178E-3</v>
      </c>
      <c r="Q58" s="12">
        <f t="shared" ref="Q58:Q64" si="11">M58/$M$88</f>
        <v>1.8586549691144249E-3</v>
      </c>
      <c r="R58" s="29"/>
      <c r="S58" s="79"/>
      <c r="T58" s="79"/>
    </row>
    <row r="59" spans="1:20" s="30" customFormat="1" outlineLevel="1" x14ac:dyDescent="0.25">
      <c r="A59" s="29" t="s">
        <v>50</v>
      </c>
      <c r="B59" s="20"/>
      <c r="C59" s="20"/>
      <c r="D59" s="20"/>
      <c r="E59" s="41"/>
      <c r="F59" s="20" t="s">
        <v>42</v>
      </c>
      <c r="G59" s="21">
        <v>5034590</v>
      </c>
      <c r="H59" s="21"/>
      <c r="I59" s="21"/>
      <c r="J59" s="21"/>
      <c r="K59" s="21"/>
      <c r="L59" s="145">
        <v>1</v>
      </c>
      <c r="M59" s="23">
        <f t="shared" si="10"/>
        <v>5034590</v>
      </c>
      <c r="N59" s="12"/>
      <c r="O59" s="12"/>
      <c r="P59" s="27">
        <v>8.21917808219178E-3</v>
      </c>
      <c r="Q59" s="12">
        <f t="shared" si="11"/>
        <v>1.8220531471020442E-3</v>
      </c>
      <c r="R59" s="31"/>
      <c r="S59" s="79"/>
      <c r="T59" s="79"/>
    </row>
    <row r="60" spans="1:20" outlineLevel="1" x14ac:dyDescent="0.25">
      <c r="A60" s="29" t="s">
        <v>28</v>
      </c>
      <c r="B60" s="20"/>
      <c r="C60" s="20"/>
      <c r="D60" s="20"/>
      <c r="E60" s="41"/>
      <c r="F60" s="20" t="s">
        <v>97</v>
      </c>
      <c r="G60" s="21">
        <v>73770002.171900019</v>
      </c>
      <c r="H60" s="21"/>
      <c r="I60" s="21"/>
      <c r="J60" s="21"/>
      <c r="K60" s="21"/>
      <c r="L60" s="145">
        <v>1</v>
      </c>
      <c r="M60" s="23">
        <f t="shared" si="10"/>
        <v>73770002.171900019</v>
      </c>
      <c r="N60" s="12"/>
      <c r="O60" s="12"/>
      <c r="P60" s="27">
        <v>8.21917808219178E-3</v>
      </c>
      <c r="Q60" s="144">
        <f t="shared" si="11"/>
        <v>2.6697877010647353E-2</v>
      </c>
      <c r="R60" s="31"/>
      <c r="S60" s="79"/>
      <c r="T60" s="79"/>
    </row>
    <row r="61" spans="1:20" s="30" customFormat="1" outlineLevel="1" x14ac:dyDescent="0.25">
      <c r="A61" s="29" t="s">
        <v>102</v>
      </c>
      <c r="B61" s="20"/>
      <c r="C61" s="20"/>
      <c r="D61" s="20"/>
      <c r="E61" s="41"/>
      <c r="F61" s="20" t="s">
        <v>97</v>
      </c>
      <c r="G61" s="21">
        <v>71574.51999999999</v>
      </c>
      <c r="H61" s="21"/>
      <c r="I61" s="21"/>
      <c r="J61" s="21"/>
      <c r="K61" s="21"/>
      <c r="L61" s="145">
        <v>1</v>
      </c>
      <c r="M61" s="23">
        <f t="shared" si="10"/>
        <v>71574.51999999999</v>
      </c>
      <c r="N61" s="12"/>
      <c r="O61" s="12"/>
      <c r="P61" s="27">
        <v>8.21917808219178E-3</v>
      </c>
      <c r="Q61" s="12">
        <f t="shared" si="11"/>
        <v>2.5903316738466922E-5</v>
      </c>
      <c r="R61" s="31"/>
      <c r="S61" s="79"/>
      <c r="T61" s="79"/>
    </row>
    <row r="62" spans="1:20" s="30" customFormat="1" outlineLevel="1" x14ac:dyDescent="0.25">
      <c r="A62" s="29" t="s">
        <v>103</v>
      </c>
      <c r="B62" s="20"/>
      <c r="C62" s="20"/>
      <c r="D62" s="20"/>
      <c r="E62" s="41"/>
      <c r="F62" s="20" t="s">
        <v>97</v>
      </c>
      <c r="G62" s="21">
        <v>3222.9952999999887</v>
      </c>
      <c r="H62" s="21"/>
      <c r="I62" s="21"/>
      <c r="J62" s="21"/>
      <c r="K62" s="21"/>
      <c r="L62" s="145">
        <v>1</v>
      </c>
      <c r="M62" s="23">
        <f t="shared" si="10"/>
        <v>3222.9952999999887</v>
      </c>
      <c r="N62" s="12"/>
      <c r="O62" s="12"/>
      <c r="P62" s="27">
        <v>8.21917808219178E-3</v>
      </c>
      <c r="Q62" s="12">
        <f t="shared" si="11"/>
        <v>1.1664244217424012E-6</v>
      </c>
      <c r="R62" s="31"/>
      <c r="S62" s="79"/>
      <c r="T62" s="79"/>
    </row>
    <row r="63" spans="1:20" s="30" customFormat="1" outlineLevel="1" x14ac:dyDescent="0.25">
      <c r="A63" s="29" t="s">
        <v>44</v>
      </c>
      <c r="B63" s="20"/>
      <c r="C63" s="20"/>
      <c r="D63" s="20"/>
      <c r="E63" s="41"/>
      <c r="F63" s="20" t="s">
        <v>97</v>
      </c>
      <c r="G63" s="21">
        <v>23571420</v>
      </c>
      <c r="H63" s="21"/>
      <c r="I63" s="21"/>
      <c r="J63" s="21"/>
      <c r="K63" s="21"/>
      <c r="L63" s="145">
        <v>1</v>
      </c>
      <c r="M63" s="23">
        <f t="shared" si="10"/>
        <v>23571420</v>
      </c>
      <c r="N63" s="12"/>
      <c r="O63" s="12"/>
      <c r="P63" s="27">
        <v>8.21917808219178E-3</v>
      </c>
      <c r="Q63" s="12">
        <f t="shared" si="11"/>
        <v>8.5306608865198686E-3</v>
      </c>
      <c r="R63" s="31"/>
      <c r="S63" s="79"/>
      <c r="T63" s="79"/>
    </row>
    <row r="64" spans="1:20" outlineLevel="1" x14ac:dyDescent="0.25">
      <c r="A64" s="29" t="s">
        <v>105</v>
      </c>
      <c r="B64" s="20"/>
      <c r="C64" s="20"/>
      <c r="D64" s="20"/>
      <c r="E64" s="41"/>
      <c r="F64" s="20" t="s">
        <v>97</v>
      </c>
      <c r="G64" s="21">
        <v>264274</v>
      </c>
      <c r="H64" s="21"/>
      <c r="I64" s="21"/>
      <c r="J64" s="21"/>
      <c r="K64" s="21"/>
      <c r="L64" s="145">
        <v>1</v>
      </c>
      <c r="M64" s="23">
        <f t="shared" si="10"/>
        <v>264274</v>
      </c>
      <c r="N64" s="12"/>
      <c r="O64" s="12"/>
      <c r="P64" s="27">
        <v>8.21917808219178E-3</v>
      </c>
      <c r="Q64" s="12">
        <f t="shared" si="11"/>
        <v>9.5642599178333417E-5</v>
      </c>
      <c r="R64" s="21"/>
      <c r="S64" s="79"/>
      <c r="T64" s="79"/>
    </row>
    <row r="65" spans="1:20" x14ac:dyDescent="0.25">
      <c r="A65" s="33" t="s">
        <v>106</v>
      </c>
      <c r="B65" s="33"/>
      <c r="C65" s="33"/>
      <c r="D65" s="33"/>
      <c r="E65" s="34"/>
      <c r="F65" s="33"/>
      <c r="G65" s="35"/>
      <c r="H65" s="35"/>
      <c r="I65" s="35"/>
      <c r="J65" s="35"/>
      <c r="K65" s="35"/>
      <c r="L65" s="36"/>
      <c r="M65" s="35"/>
      <c r="N65" s="38"/>
      <c r="O65" s="38"/>
      <c r="P65" s="39"/>
      <c r="Q65" s="55"/>
      <c r="R65" s="31"/>
      <c r="S65" s="79"/>
      <c r="T65" s="79"/>
    </row>
    <row r="66" spans="1:20" outlineLevel="1" x14ac:dyDescent="0.25">
      <c r="A66" s="56" t="s">
        <v>100</v>
      </c>
      <c r="B66" s="20"/>
      <c r="C66" s="20"/>
      <c r="D66" s="20"/>
      <c r="E66" s="41"/>
      <c r="F66" s="20"/>
      <c r="G66" s="21"/>
      <c r="H66" s="21"/>
      <c r="I66" s="21"/>
      <c r="J66" s="21"/>
      <c r="K66" s="21"/>
      <c r="L66" s="22"/>
      <c r="M66" s="23"/>
      <c r="N66" s="12"/>
      <c r="O66" s="12"/>
      <c r="P66" s="27"/>
      <c r="Q66" s="12"/>
      <c r="R66" s="31"/>
      <c r="S66" s="79"/>
      <c r="T66" s="79"/>
    </row>
    <row r="67" spans="1:20" outlineLevel="1" x14ac:dyDescent="0.25">
      <c r="A67" s="29" t="s">
        <v>107</v>
      </c>
      <c r="B67" s="20"/>
      <c r="C67" s="20"/>
      <c r="D67" s="20"/>
      <c r="E67" s="41"/>
      <c r="F67" s="20" t="s">
        <v>15</v>
      </c>
      <c r="G67" s="21">
        <v>7599584</v>
      </c>
      <c r="H67" s="21"/>
      <c r="I67" s="21"/>
      <c r="J67" s="21"/>
      <c r="K67" s="21"/>
      <c r="L67" s="22">
        <v>1</v>
      </c>
      <c r="M67" s="23">
        <f>+G67*L67</f>
        <v>7599584</v>
      </c>
      <c r="N67" s="12"/>
      <c r="O67" s="12"/>
      <c r="P67" s="27">
        <v>8.21917808219178E-3</v>
      </c>
      <c r="Q67" s="12">
        <f>M67/$M$88</f>
        <v>2.750342320599362E-3</v>
      </c>
      <c r="R67" s="31"/>
      <c r="S67" s="79"/>
      <c r="T67" s="79"/>
    </row>
    <row r="68" spans="1:20" outlineLevel="1" x14ac:dyDescent="0.25">
      <c r="A68" s="29" t="s">
        <v>74</v>
      </c>
      <c r="B68" s="18"/>
      <c r="C68" s="18"/>
      <c r="D68" s="18"/>
      <c r="E68" s="19"/>
      <c r="F68" s="20" t="s">
        <v>15</v>
      </c>
      <c r="G68" s="21">
        <v>16068702.4504</v>
      </c>
      <c r="H68" s="21"/>
      <c r="I68" s="21"/>
      <c r="J68" s="21"/>
      <c r="K68" s="21"/>
      <c r="L68" s="22">
        <v>1</v>
      </c>
      <c r="M68" s="23">
        <f>+G68*L68</f>
        <v>16068702.4504</v>
      </c>
      <c r="N68" s="12"/>
      <c r="O68" s="12"/>
      <c r="P68" s="27">
        <v>8.21917808219178E-3</v>
      </c>
      <c r="Q68" s="12">
        <f>M68/$M$88</f>
        <v>5.8153752082290011E-3</v>
      </c>
      <c r="R68" s="31"/>
      <c r="S68" s="79"/>
      <c r="T68" s="79"/>
    </row>
    <row r="69" spans="1:20" x14ac:dyDescent="0.25">
      <c r="A69" s="56" t="s">
        <v>109</v>
      </c>
      <c r="B69" s="18"/>
      <c r="C69" s="18"/>
      <c r="D69" s="18"/>
      <c r="E69" s="19"/>
      <c r="F69" s="20"/>
      <c r="G69" s="21"/>
      <c r="H69" s="21"/>
      <c r="I69" s="21"/>
      <c r="J69" s="21"/>
      <c r="K69" s="21"/>
      <c r="L69" s="22"/>
      <c r="M69" s="23"/>
      <c r="N69" s="12"/>
      <c r="O69" s="12"/>
      <c r="P69" s="27"/>
      <c r="Q69" s="12"/>
      <c r="R69" s="31"/>
      <c r="S69" s="79"/>
      <c r="T69" s="79"/>
    </row>
    <row r="70" spans="1:20" x14ac:dyDescent="0.25">
      <c r="A70" s="29" t="s">
        <v>110</v>
      </c>
      <c r="B70" s="18" t="str">
        <f>VLOOKUP(A70,'Identidad de Codigos'!A:C,2,FALSE)</f>
        <v>ARIPSA050207</v>
      </c>
      <c r="C70" s="141">
        <f>VLOOKUP(A70,'Identidad de Codigos'!A:C,3,FALSE)</f>
        <v>38678</v>
      </c>
      <c r="D70" s="18">
        <v>3.7400000000000003E-2</v>
      </c>
      <c r="E70" s="57"/>
      <c r="F70" s="20" t="s">
        <v>15</v>
      </c>
      <c r="G70" s="21">
        <v>19000000</v>
      </c>
      <c r="H70" s="21">
        <f t="shared" ref="H70:H75" si="12">G70-SUM(I70:K70)</f>
        <v>19000000</v>
      </c>
      <c r="I70" s="21" t="str">
        <f>IF(ISERROR(VLOOKUP(C70,#REF!,3,FALSE))=TRUE,"",VLOOKUP(C70,#REF!,3,FALSE))</f>
        <v/>
      </c>
      <c r="J70" s="21" t="str">
        <f>IF(ISERROR(VLOOKUP(C70,#REF!,3,FALSE))=TRUE,"",VLOOKUP(C70,#REF!,3,FALSE))</f>
        <v/>
      </c>
      <c r="K70" s="21"/>
      <c r="L70" s="22">
        <v>9.9999999999999995E-7</v>
      </c>
      <c r="M70" s="23">
        <f>+G70*L70/100</f>
        <v>0.19</v>
      </c>
      <c r="N70" s="12"/>
      <c r="O70" s="12"/>
      <c r="P70" s="27">
        <v>0.76098991278877004</v>
      </c>
      <c r="Q70" s="12">
        <f t="shared" ref="Q70:Q75" si="13">M70/$M$88</f>
        <v>6.8762321847337795E-11</v>
      </c>
      <c r="R70" s="31"/>
      <c r="S70" s="79"/>
      <c r="T70" s="79"/>
    </row>
    <row r="71" spans="1:20" x14ac:dyDescent="0.25">
      <c r="A71" s="29" t="s">
        <v>111</v>
      </c>
      <c r="B71" s="18" t="str">
        <f>VLOOKUP(A71,'Identidad de Codigos'!A:C,2,FALSE)</f>
        <v>ARIPSA050215</v>
      </c>
      <c r="C71" s="141">
        <f>VLOOKUP(A71,'Identidad de Codigos'!A:C,3,FALSE)</f>
        <v>38679</v>
      </c>
      <c r="D71" s="18">
        <v>0.03</v>
      </c>
      <c r="E71" s="57"/>
      <c r="F71" s="20" t="s">
        <v>15</v>
      </c>
      <c r="G71" s="21">
        <v>4650000</v>
      </c>
      <c r="H71" s="21">
        <f t="shared" si="12"/>
        <v>4270000</v>
      </c>
      <c r="I71" s="21" t="str">
        <f>IF(ISERROR(VLOOKUP(C71,#REF!,3,FALSE))=TRUE,"",VLOOKUP(C71,#REF!,3,FALSE))</f>
        <v/>
      </c>
      <c r="J71" s="21" t="str">
        <f>IF(ISERROR(VLOOKUP(C71,#REF!,3,FALSE))=TRUE,"",VLOOKUP(C71,#REF!,3,FALSE))</f>
        <v/>
      </c>
      <c r="K71" s="21">
        <v>380000</v>
      </c>
      <c r="L71" s="22">
        <v>9.9999999999999995E-7</v>
      </c>
      <c r="M71" s="23">
        <f t="shared" ref="M71:M75" si="14">+G71*L71/100</f>
        <v>4.6499999999999993E-2</v>
      </c>
      <c r="N71" s="12"/>
      <c r="O71" s="12"/>
      <c r="P71" s="27">
        <v>0.02</v>
      </c>
      <c r="Q71" s="12">
        <f t="shared" si="13"/>
        <v>1.6828673504743194E-11</v>
      </c>
      <c r="R71" s="31"/>
      <c r="S71" s="79"/>
      <c r="T71" s="79"/>
    </row>
    <row r="72" spans="1:20" x14ac:dyDescent="0.25">
      <c r="A72" s="29" t="s">
        <v>79</v>
      </c>
      <c r="B72" s="18" t="str">
        <f>VLOOKUP(A72,'Identidad de Codigos'!A:C,2,FALSE)</f>
        <v>ARYPFS560010</v>
      </c>
      <c r="C72" s="141">
        <f>VLOOKUP(A72,'Identidad de Codigos'!A:C,3,FALSE)</f>
        <v>50108</v>
      </c>
      <c r="D72" s="18">
        <v>4.7399999999999998E-2</v>
      </c>
      <c r="E72" s="57">
        <v>43871</v>
      </c>
      <c r="F72" s="20" t="s">
        <v>15</v>
      </c>
      <c r="G72" s="21">
        <v>37900000</v>
      </c>
      <c r="H72" s="21">
        <f t="shared" si="12"/>
        <v>31300000</v>
      </c>
      <c r="I72" s="21" t="str">
        <f>IF(ISERROR(VLOOKUP(C72,#REF!,3,FALSE))=TRUE,"",VLOOKUP(C72,#REF!,3,FALSE))</f>
        <v/>
      </c>
      <c r="J72" s="21" t="str">
        <f>IF(ISERROR(VLOOKUP(C72,#REF!,3,FALSE))=TRUE,"",VLOOKUP(C72,#REF!,3,FALSE))</f>
        <v/>
      </c>
      <c r="K72" s="21">
        <v>6600000</v>
      </c>
      <c r="L72" s="22">
        <v>103.08</v>
      </c>
      <c r="M72" s="23">
        <f t="shared" si="14"/>
        <v>39067320</v>
      </c>
      <c r="N72" s="12">
        <v>4.2500000000000003E-2</v>
      </c>
      <c r="O72" s="12"/>
      <c r="P72" s="27">
        <v>1.7</v>
      </c>
      <c r="Q72" s="12">
        <f t="shared" si="13"/>
        <v>1.4138734902910193E-2</v>
      </c>
      <c r="R72" s="31"/>
      <c r="S72" s="79" t="s">
        <v>850</v>
      </c>
      <c r="T72" s="79"/>
    </row>
    <row r="73" spans="1:20" x14ac:dyDescent="0.25">
      <c r="A73" s="29" t="s">
        <v>104</v>
      </c>
      <c r="B73" s="18" t="str">
        <f>VLOOKUP(A73,'Identidad de Codigos'!A:C,2,FALSE)</f>
        <v>ARPANE560055</v>
      </c>
      <c r="C73" s="141">
        <f>VLOOKUP(A73,'Identidad de Codigos'!A:C,3,FALSE)</f>
        <v>51035</v>
      </c>
      <c r="D73" s="18" t="s">
        <v>112</v>
      </c>
      <c r="E73" s="57">
        <v>44155</v>
      </c>
      <c r="F73" s="20" t="s">
        <v>15</v>
      </c>
      <c r="G73" s="21">
        <v>10164927</v>
      </c>
      <c r="H73" s="21">
        <f t="shared" si="12"/>
        <v>2008309</v>
      </c>
      <c r="I73" s="21" t="str">
        <f>IF(ISERROR(VLOOKUP(C73,#REF!,3,FALSE))=TRUE,"",VLOOKUP(C73,#REF!,3,FALSE))</f>
        <v/>
      </c>
      <c r="J73" s="21" t="str">
        <f>IF(ISERROR(VLOOKUP(C73,#REF!,3,FALSE))=TRUE,"",VLOOKUP(C73,#REF!,3,FALSE))</f>
        <v/>
      </c>
      <c r="K73" s="21">
        <v>8156618</v>
      </c>
      <c r="L73" s="22">
        <v>92.051000000000002</v>
      </c>
      <c r="M73" s="23">
        <f t="shared" si="14"/>
        <v>9356916.9527700003</v>
      </c>
      <c r="N73" s="12">
        <v>0.05</v>
      </c>
      <c r="O73" s="12"/>
      <c r="P73" s="27">
        <v>2.19</v>
      </c>
      <c r="Q73" s="12">
        <f t="shared" si="13"/>
        <v>3.3863333421325368E-3</v>
      </c>
      <c r="R73" s="31"/>
      <c r="S73" s="79" t="s">
        <v>851</v>
      </c>
      <c r="T73" s="79"/>
    </row>
    <row r="74" spans="1:20" x14ac:dyDescent="0.25">
      <c r="A74" s="29" t="s">
        <v>101</v>
      </c>
      <c r="B74" s="18" t="str">
        <f>VLOOKUP(A74,'Identidad de Codigos'!A:C,2,FALSE)</f>
        <v>ARPANE560063</v>
      </c>
      <c r="C74" s="141">
        <f>VLOOKUP(A74,'Identidad de Codigos'!A:C,3,FALSE)</f>
        <v>51097</v>
      </c>
      <c r="D74" s="18" t="s">
        <v>112</v>
      </c>
      <c r="E74" s="57">
        <v>44175</v>
      </c>
      <c r="F74" s="20" t="s">
        <v>15</v>
      </c>
      <c r="G74" s="21">
        <v>18350992</v>
      </c>
      <c r="H74" s="21">
        <f t="shared" si="12"/>
        <v>18350992</v>
      </c>
      <c r="I74" s="21" t="str">
        <f>IF(ISERROR(VLOOKUP(C74,#REF!,3,FALSE))=TRUE,"",VLOOKUP(C74,#REF!,3,FALSE))</f>
        <v/>
      </c>
      <c r="J74" s="21" t="str">
        <f>IF(ISERROR(VLOOKUP(C74,#REF!,3,FALSE))=TRUE,"",VLOOKUP(C74,#REF!,3,FALSE))</f>
        <v/>
      </c>
      <c r="K74" s="21"/>
      <c r="L74" s="22">
        <v>90.731999999999999</v>
      </c>
      <c r="M74" s="23">
        <f t="shared" si="14"/>
        <v>16650222.06144</v>
      </c>
      <c r="N74" s="12">
        <v>0.05</v>
      </c>
      <c r="O74" s="12"/>
      <c r="P74" s="27">
        <v>2.2400000000000002</v>
      </c>
      <c r="Q74" s="12">
        <f t="shared" si="13"/>
        <v>6.0258312011493764E-3</v>
      </c>
      <c r="R74" s="31"/>
      <c r="S74" s="79"/>
      <c r="T74" s="79"/>
    </row>
    <row r="75" spans="1:20" x14ac:dyDescent="0.25">
      <c r="A75" s="29" t="s">
        <v>108</v>
      </c>
      <c r="B75" s="18" t="str">
        <f>VLOOKUP(A75,'Identidad de Codigos'!A:C,2,FALSE)</f>
        <v>ARYPFS560085</v>
      </c>
      <c r="C75" s="141">
        <f>VLOOKUP(A75,'Identidad de Codigos'!A:C,3,FALSE)</f>
        <v>50879</v>
      </c>
      <c r="D75" s="18" t="s">
        <v>112</v>
      </c>
      <c r="E75" s="57">
        <v>44094</v>
      </c>
      <c r="F75" s="20" t="s">
        <v>15</v>
      </c>
      <c r="G75" s="21">
        <v>5899466</v>
      </c>
      <c r="H75" s="21">
        <f t="shared" si="12"/>
        <v>5635686</v>
      </c>
      <c r="I75" s="21" t="str">
        <f>IF(ISERROR(VLOOKUP(C75,#REF!,3,FALSE))=TRUE,"",VLOOKUP(C75,#REF!,3,FALSE))</f>
        <v/>
      </c>
      <c r="J75" s="21" t="str">
        <f>IF(ISERROR(VLOOKUP(C75,#REF!,3,FALSE))=TRUE,"",VLOOKUP(C75,#REF!,3,FALSE))</f>
        <v/>
      </c>
      <c r="K75" s="21">
        <v>263780</v>
      </c>
      <c r="L75" s="22">
        <v>92.227000000000004</v>
      </c>
      <c r="M75" s="23">
        <f t="shared" si="14"/>
        <v>5440900.5078200009</v>
      </c>
      <c r="N75" s="12">
        <v>0.05</v>
      </c>
      <c r="O75" s="12"/>
      <c r="P75" s="27">
        <v>1.45</v>
      </c>
      <c r="Q75" s="12">
        <f t="shared" si="13"/>
        <v>1.9690997466213817E-3</v>
      </c>
      <c r="R75" s="31"/>
      <c r="S75" s="79" t="s">
        <v>852</v>
      </c>
      <c r="T75" s="79"/>
    </row>
    <row r="76" spans="1:20" x14ac:dyDescent="0.25">
      <c r="A76" s="56" t="s">
        <v>113</v>
      </c>
      <c r="B76" s="18"/>
      <c r="C76" s="18"/>
      <c r="D76" s="18"/>
      <c r="E76" s="57"/>
      <c r="F76" s="20"/>
      <c r="G76" s="21"/>
      <c r="H76" s="21"/>
      <c r="I76" s="21"/>
      <c r="J76" s="21"/>
      <c r="K76" s="21"/>
      <c r="L76" s="22"/>
      <c r="M76" s="23"/>
      <c r="N76" s="12"/>
      <c r="O76" s="12"/>
      <c r="P76" s="27"/>
      <c r="Q76" s="12"/>
      <c r="R76" s="31"/>
      <c r="S76" s="79"/>
      <c r="T76" s="79"/>
    </row>
    <row r="77" spans="1:20" x14ac:dyDescent="0.25">
      <c r="A77" s="29" t="s">
        <v>94</v>
      </c>
      <c r="B77" s="18" t="str">
        <f>VLOOKUP(A77,'Identidad de Codigos'!A:C,2,FALSE)</f>
        <v>USP989MJAY76</v>
      </c>
      <c r="C77" s="141">
        <f>VLOOKUP(A77,'Identidad de Codigos'!A:C,3,FALSE)</f>
        <v>90154</v>
      </c>
      <c r="D77" s="18"/>
      <c r="E77" s="57">
        <v>45386</v>
      </c>
      <c r="F77" s="20" t="s">
        <v>42</v>
      </c>
      <c r="G77" s="21">
        <v>1618000</v>
      </c>
      <c r="H77" s="21">
        <f>G77-SUM(I77:K77)</f>
        <v>1618000</v>
      </c>
      <c r="I77" s="21" t="str">
        <f>IF(ISERROR(VLOOKUP(C77,#REF!,3,FALSE))=TRUE,"",VLOOKUP(C77,#REF!,3,FALSE))</f>
        <v/>
      </c>
      <c r="J77" s="21" t="str">
        <f>IF(ISERROR(VLOOKUP(C77,#REF!,3,FALSE))=TRUE,"",VLOOKUP(C77,#REF!,3,FALSE))</f>
        <v/>
      </c>
      <c r="K77" s="21"/>
      <c r="L77" s="22">
        <v>2067</v>
      </c>
      <c r="M77" s="23">
        <f>+G77*L77/100</f>
        <v>33444060</v>
      </c>
      <c r="N77" s="12">
        <v>5.6000000000000001E-2</v>
      </c>
      <c r="O77" s="12"/>
      <c r="P77" s="27">
        <v>4.46</v>
      </c>
      <c r="Q77" s="12">
        <f>M77/$M$88</f>
        <v>1.2103637987377243E-2</v>
      </c>
      <c r="R77" s="31"/>
      <c r="S77" s="79" t="s">
        <v>853</v>
      </c>
      <c r="T77" s="79"/>
    </row>
    <row r="78" spans="1:20" outlineLevel="2" x14ac:dyDescent="0.25">
      <c r="A78" s="33" t="s">
        <v>114</v>
      </c>
      <c r="B78" s="50"/>
      <c r="C78" s="50"/>
      <c r="D78" s="50"/>
      <c r="E78" s="34"/>
      <c r="F78" s="50"/>
      <c r="G78" s="35"/>
      <c r="H78" s="35"/>
      <c r="I78" s="35"/>
      <c r="J78" s="35"/>
      <c r="K78" s="35"/>
      <c r="L78" s="36"/>
      <c r="M78" s="37"/>
      <c r="N78" s="38"/>
      <c r="O78" s="38"/>
      <c r="P78" s="39"/>
      <c r="Q78" s="40"/>
      <c r="R78" s="21"/>
      <c r="S78" s="79"/>
      <c r="T78" s="79"/>
    </row>
    <row r="79" spans="1:20" outlineLevel="2" x14ac:dyDescent="0.25">
      <c r="A79" s="56" t="s">
        <v>100</v>
      </c>
      <c r="B79" s="18"/>
      <c r="C79" s="18"/>
      <c r="D79" s="18"/>
      <c r="E79" s="19"/>
      <c r="F79" s="20"/>
      <c r="G79" s="21"/>
      <c r="H79" s="21"/>
      <c r="I79" s="21"/>
      <c r="J79" s="21"/>
      <c r="K79" s="21"/>
      <c r="L79" s="22"/>
      <c r="M79" s="23"/>
      <c r="N79" s="12"/>
      <c r="O79" s="12"/>
      <c r="P79" s="27"/>
      <c r="Q79" s="12"/>
      <c r="R79" s="31"/>
      <c r="S79" s="79"/>
      <c r="T79" s="79"/>
    </row>
    <row r="80" spans="1:20" outlineLevel="2" x14ac:dyDescent="0.25">
      <c r="A80" s="29" t="s">
        <v>84</v>
      </c>
      <c r="B80" s="18"/>
      <c r="C80" s="18"/>
      <c r="D80" s="18"/>
      <c r="E80" s="19"/>
      <c r="F80" s="20" t="s">
        <v>15</v>
      </c>
      <c r="G80" s="21">
        <v>14349678.000199998</v>
      </c>
      <c r="H80" s="21"/>
      <c r="I80" s="21"/>
      <c r="J80" s="21"/>
      <c r="K80" s="21"/>
      <c r="L80" s="145">
        <v>1</v>
      </c>
      <c r="M80" s="23">
        <f>+G80*L80</f>
        <v>14349678.000199998</v>
      </c>
      <c r="N80" s="12"/>
      <c r="O80" s="12"/>
      <c r="P80" s="27">
        <v>8.21917808219178E-3</v>
      </c>
      <c r="Q80" s="12">
        <f>M80/$M$88</f>
        <v>5.1932483002916571E-3</v>
      </c>
      <c r="R80" s="31"/>
      <c r="S80" s="79"/>
      <c r="T80" s="79"/>
    </row>
    <row r="81" spans="1:20" outlineLevel="2" x14ac:dyDescent="0.25">
      <c r="A81" s="29" t="s">
        <v>98</v>
      </c>
      <c r="B81" s="18"/>
      <c r="C81" s="18"/>
      <c r="D81" s="18"/>
      <c r="E81" s="19"/>
      <c r="F81" s="20" t="s">
        <v>15</v>
      </c>
      <c r="G81" s="21">
        <v>6646251.3148000007</v>
      </c>
      <c r="H81" s="21"/>
      <c r="I81" s="21"/>
      <c r="J81" s="21"/>
      <c r="K81" s="21"/>
      <c r="L81" s="145">
        <v>1</v>
      </c>
      <c r="M81" s="23">
        <f>+G81*L81</f>
        <v>6646251.3148000007</v>
      </c>
      <c r="N81" s="12"/>
      <c r="O81" s="12"/>
      <c r="P81" s="27">
        <v>8.21917808219178E-3</v>
      </c>
      <c r="Q81" s="12">
        <f>M81/$M$88</f>
        <v>2.4053245894029981E-3</v>
      </c>
      <c r="R81" s="29"/>
      <c r="S81" s="79"/>
      <c r="T81" s="79"/>
    </row>
    <row r="82" spans="1:20" outlineLevel="2" x14ac:dyDescent="0.25">
      <c r="A82" s="29" t="s">
        <v>69</v>
      </c>
      <c r="B82" s="18"/>
      <c r="C82" s="18"/>
      <c r="D82" s="18"/>
      <c r="E82" s="19"/>
      <c r="F82" s="20" t="s">
        <v>15</v>
      </c>
      <c r="G82" s="21">
        <v>193366536</v>
      </c>
      <c r="H82" s="21"/>
      <c r="I82" s="21"/>
      <c r="J82" s="21"/>
      <c r="K82" s="21"/>
      <c r="L82" s="145">
        <v>1</v>
      </c>
      <c r="M82" s="23">
        <f>+G82*L82</f>
        <v>193366536</v>
      </c>
      <c r="N82" s="12"/>
      <c r="O82" s="12"/>
      <c r="P82" s="27">
        <v>8.21917808219178E-3</v>
      </c>
      <c r="Q82" s="12">
        <f>M82/$M$88</f>
        <v>6.9980694647035949E-2</v>
      </c>
      <c r="R82" s="29"/>
      <c r="S82" s="79"/>
      <c r="T82" s="79"/>
    </row>
    <row r="83" spans="1:20" outlineLevel="2" x14ac:dyDescent="0.25">
      <c r="A83" s="33" t="s">
        <v>116</v>
      </c>
      <c r="B83" s="50"/>
      <c r="C83" s="50"/>
      <c r="D83" s="50"/>
      <c r="E83" s="34"/>
      <c r="F83" s="50"/>
      <c r="G83" s="35"/>
      <c r="H83" s="35"/>
      <c r="I83" s="35"/>
      <c r="J83" s="35"/>
      <c r="K83" s="35"/>
      <c r="L83" s="36"/>
      <c r="M83" s="37"/>
      <c r="N83" s="38"/>
      <c r="O83" s="38"/>
      <c r="P83" s="39"/>
      <c r="Q83" s="40"/>
      <c r="R83" s="29"/>
      <c r="S83" s="79"/>
      <c r="T83" s="79"/>
    </row>
    <row r="84" spans="1:20" outlineLevel="2" x14ac:dyDescent="0.25">
      <c r="A84" s="29" t="s">
        <v>34</v>
      </c>
      <c r="B84" s="29"/>
      <c r="C84" s="29"/>
      <c r="D84" s="29"/>
      <c r="E84" s="29"/>
      <c r="F84" s="20" t="s">
        <v>42</v>
      </c>
      <c r="G84" s="31">
        <v>0</v>
      </c>
      <c r="H84" s="31"/>
      <c r="I84" s="31"/>
      <c r="J84" s="31"/>
      <c r="K84" s="31"/>
      <c r="L84" s="22">
        <v>16.992999999999999</v>
      </c>
      <c r="M84" s="23">
        <v>0</v>
      </c>
      <c r="N84" s="58"/>
      <c r="O84" s="58"/>
      <c r="P84" s="27">
        <v>2.7397260273972603E-3</v>
      </c>
      <c r="Q84" s="12">
        <f>M84/$M$88</f>
        <v>0</v>
      </c>
      <c r="R84" s="29"/>
      <c r="S84" s="79"/>
      <c r="T84" s="79"/>
    </row>
    <row r="85" spans="1:20" outlineLevel="2" x14ac:dyDescent="0.25">
      <c r="A85" s="29" t="s">
        <v>34</v>
      </c>
      <c r="B85" s="29"/>
      <c r="C85" s="29"/>
      <c r="D85" s="29"/>
      <c r="E85" s="29"/>
      <c r="F85" s="20" t="s">
        <v>97</v>
      </c>
      <c r="G85" s="31">
        <v>0</v>
      </c>
      <c r="H85" s="31"/>
      <c r="I85" s="31"/>
      <c r="J85" s="31"/>
      <c r="K85" s="31"/>
      <c r="L85" s="22">
        <v>1</v>
      </c>
      <c r="M85" s="23">
        <v>0</v>
      </c>
      <c r="N85" s="58"/>
      <c r="O85" s="58"/>
      <c r="P85" s="27">
        <v>2.7397260273972603E-3</v>
      </c>
      <c r="Q85" s="12">
        <f>M85/$M$88</f>
        <v>0</v>
      </c>
      <c r="R85" s="29"/>
      <c r="S85" s="79"/>
      <c r="T85" s="79"/>
    </row>
    <row r="86" spans="1:20" outlineLevel="2" x14ac:dyDescent="0.25">
      <c r="A86" s="5" t="s">
        <v>115</v>
      </c>
      <c r="B86" s="29"/>
      <c r="C86" s="29"/>
      <c r="D86" s="29"/>
      <c r="E86" s="29"/>
      <c r="F86" s="20" t="s">
        <v>97</v>
      </c>
      <c r="G86" s="31">
        <v>0</v>
      </c>
      <c r="H86" s="31"/>
      <c r="I86" s="31"/>
      <c r="J86" s="31"/>
      <c r="K86" s="31"/>
      <c r="L86" s="22">
        <v>1</v>
      </c>
      <c r="M86" s="23">
        <v>0</v>
      </c>
      <c r="N86" s="58"/>
      <c r="O86" s="58"/>
      <c r="P86" s="27">
        <v>2.7397260273972603E-3</v>
      </c>
      <c r="Q86" s="12">
        <f>M86/$M$88</f>
        <v>0</v>
      </c>
      <c r="R86" s="29"/>
      <c r="S86" s="79"/>
      <c r="T86" s="79"/>
    </row>
    <row r="87" spans="1:20" outlineLevel="2" x14ac:dyDescent="0.25">
      <c r="A87" s="29"/>
      <c r="B87" s="29"/>
      <c r="C87" s="29"/>
      <c r="D87" s="29"/>
      <c r="E87" s="41"/>
      <c r="F87" s="29"/>
      <c r="G87" s="21"/>
      <c r="H87" s="21"/>
      <c r="I87" s="21"/>
      <c r="J87" s="21"/>
      <c r="K87" s="21"/>
      <c r="L87" s="22"/>
      <c r="M87" s="42"/>
      <c r="N87" s="59"/>
      <c r="O87" s="59"/>
      <c r="P87" s="44"/>
      <c r="Q87" s="45"/>
      <c r="R87" s="29"/>
      <c r="S87" s="79"/>
      <c r="T87" s="79"/>
    </row>
    <row r="88" spans="1:20" x14ac:dyDescent="0.25">
      <c r="A88" s="60" t="s">
        <v>22</v>
      </c>
      <c r="B88" s="61"/>
      <c r="C88" s="61"/>
      <c r="D88" s="61"/>
      <c r="E88" s="61"/>
      <c r="F88" s="62"/>
      <c r="G88" s="63"/>
      <c r="H88" s="63"/>
      <c r="I88" s="63"/>
      <c r="J88" s="63"/>
      <c r="K88" s="63"/>
      <c r="L88" s="64"/>
      <c r="M88" s="65">
        <f>SUM(M5:M86)</f>
        <v>2763141134.4984426</v>
      </c>
      <c r="N88" s="66"/>
      <c r="O88" s="66"/>
      <c r="P88" s="67"/>
      <c r="Q88" s="68">
        <v>1</v>
      </c>
      <c r="R88" s="69"/>
      <c r="S88" s="82"/>
      <c r="T88" s="82"/>
    </row>
    <row r="89" spans="1:20" x14ac:dyDescent="0.25">
      <c r="A89" s="29"/>
      <c r="B89" s="29"/>
      <c r="C89" s="29"/>
      <c r="D89" s="29"/>
      <c r="E89" s="29"/>
      <c r="F89" s="29"/>
      <c r="G89" s="70"/>
      <c r="H89" s="70"/>
      <c r="I89" s="70"/>
      <c r="J89" s="70"/>
      <c r="K89" s="70"/>
      <c r="L89" s="22"/>
      <c r="M89" s="31"/>
      <c r="N89" s="20"/>
      <c r="O89" s="20"/>
      <c r="P89" s="71"/>
      <c r="Q89" s="12"/>
      <c r="R89" s="29"/>
      <c r="S89" s="79"/>
      <c r="T89" s="79"/>
    </row>
    <row r="90" spans="1:20" x14ac:dyDescent="0.25">
      <c r="A90" s="29"/>
      <c r="B90" s="29"/>
      <c r="C90" s="29"/>
      <c r="D90" s="29"/>
      <c r="E90" s="29"/>
      <c r="F90" s="29"/>
      <c r="G90" s="70"/>
      <c r="H90" s="70"/>
      <c r="I90" s="70"/>
      <c r="J90" s="70"/>
      <c r="K90" s="70"/>
      <c r="L90" s="22"/>
      <c r="M90" s="31"/>
      <c r="N90" s="20"/>
      <c r="O90" s="20"/>
      <c r="P90" s="71"/>
      <c r="Q90" s="12"/>
      <c r="R90" s="29"/>
      <c r="S90" s="79"/>
      <c r="T90" s="79"/>
    </row>
    <row r="91" spans="1:20" x14ac:dyDescent="0.25">
      <c r="A91" s="29"/>
      <c r="B91" s="29"/>
      <c r="C91" s="29"/>
      <c r="D91" s="29"/>
      <c r="E91" s="29"/>
      <c r="F91" s="29"/>
      <c r="G91" s="70"/>
      <c r="H91" s="70"/>
      <c r="I91" s="70"/>
      <c r="J91" s="70"/>
      <c r="K91" s="70"/>
      <c r="L91" s="22"/>
      <c r="M91" s="31"/>
      <c r="N91" s="20"/>
      <c r="O91" s="20"/>
      <c r="P91" s="71"/>
      <c r="Q91" s="12"/>
      <c r="R91" s="29"/>
      <c r="S91" s="79"/>
      <c r="T91" s="79"/>
    </row>
    <row r="92" spans="1:20" x14ac:dyDescent="0.25">
      <c r="A92" s="29"/>
      <c r="B92" s="29"/>
      <c r="C92" s="29"/>
      <c r="D92" s="29"/>
      <c r="E92" s="29"/>
      <c r="F92" s="29"/>
      <c r="G92" s="70"/>
      <c r="H92" s="70"/>
      <c r="I92" s="70"/>
      <c r="J92" s="70"/>
      <c r="K92" s="70"/>
      <c r="L92" s="22"/>
      <c r="M92" s="31"/>
      <c r="N92" s="20"/>
      <c r="O92" s="20"/>
      <c r="P92" s="71"/>
      <c r="Q92" s="12"/>
      <c r="R92" s="29"/>
      <c r="S92" s="79"/>
      <c r="T92" s="79"/>
    </row>
    <row r="93" spans="1:20" x14ac:dyDescent="0.25">
      <c r="A93" s="29"/>
      <c r="B93" s="29"/>
      <c r="C93" s="29"/>
      <c r="D93" s="29"/>
      <c r="E93" s="29"/>
      <c r="F93" s="29"/>
      <c r="G93" s="21"/>
      <c r="H93" s="21"/>
      <c r="I93" s="21"/>
      <c r="J93" s="21"/>
      <c r="K93" s="21"/>
      <c r="L93" s="22"/>
      <c r="M93" s="29"/>
      <c r="N93" s="20"/>
      <c r="O93" s="20"/>
      <c r="P93" s="71"/>
      <c r="Q93" s="12"/>
      <c r="R93" s="29"/>
      <c r="S93" s="79"/>
      <c r="T93" s="79"/>
    </row>
  </sheetData>
  <conditionalFormatting sqref="E30 E34 E45:E47 E72 E5:E11 E17 E13:E14 E77 E75 E19">
    <cfRule type="cellIs" dxfId="26" priority="30" operator="lessThan">
      <formula>#REF!</formula>
    </cfRule>
  </conditionalFormatting>
  <conditionalFormatting sqref="E36">
    <cfRule type="cellIs" dxfId="25" priority="29" operator="lessThanOrEqual">
      <formula>#REF!</formula>
    </cfRule>
  </conditionalFormatting>
  <conditionalFormatting sqref="E31">
    <cfRule type="cellIs" dxfId="24" priority="28" operator="lessThanOrEqual">
      <formula>#REF!</formula>
    </cfRule>
  </conditionalFormatting>
  <conditionalFormatting sqref="E37:E39">
    <cfRule type="cellIs" dxfId="23" priority="27" operator="lessThanOrEqual">
      <formula>#REF!</formula>
    </cfRule>
  </conditionalFormatting>
  <conditionalFormatting sqref="E15:E16">
    <cfRule type="cellIs" dxfId="22" priority="26" operator="lessThan">
      <formula>#REF!</formula>
    </cfRule>
  </conditionalFormatting>
  <conditionalFormatting sqref="E32">
    <cfRule type="cellIs" dxfId="21" priority="24" operator="lessThanOrEqual">
      <formula>#REF!</formula>
    </cfRule>
  </conditionalFormatting>
  <conditionalFormatting sqref="E41">
    <cfRule type="cellIs" dxfId="20" priority="23" operator="lessThanOrEqual">
      <formula>#REF!</formula>
    </cfRule>
  </conditionalFormatting>
  <conditionalFormatting sqref="E54">
    <cfRule type="cellIs" dxfId="19" priority="22" operator="lessThan">
      <formula>#REF!</formula>
    </cfRule>
  </conditionalFormatting>
  <conditionalFormatting sqref="E43">
    <cfRule type="cellIs" dxfId="18" priority="21" operator="lessThanOrEqual">
      <formula>#REF!</formula>
    </cfRule>
  </conditionalFormatting>
  <conditionalFormatting sqref="E44">
    <cfRule type="cellIs" dxfId="17" priority="19" operator="lessThanOrEqual">
      <formula>#REF!</formula>
    </cfRule>
  </conditionalFormatting>
  <conditionalFormatting sqref="E33">
    <cfRule type="cellIs" dxfId="16" priority="18" operator="lessThanOrEqual">
      <formula>#REF!</formula>
    </cfRule>
  </conditionalFormatting>
  <conditionalFormatting sqref="E27">
    <cfRule type="cellIs" dxfId="15" priority="17" operator="lessThan">
      <formula>#REF!</formula>
    </cfRule>
  </conditionalFormatting>
  <conditionalFormatting sqref="E28:E29">
    <cfRule type="cellIs" dxfId="14" priority="16" operator="lessThanOrEqual">
      <formula>#REF!</formula>
    </cfRule>
  </conditionalFormatting>
  <conditionalFormatting sqref="E40">
    <cfRule type="cellIs" dxfId="13" priority="15" operator="lessThanOrEqual">
      <formula>#REF!</formula>
    </cfRule>
  </conditionalFormatting>
  <conditionalFormatting sqref="E56">
    <cfRule type="cellIs" dxfId="12" priority="14" operator="lessThan">
      <formula>#REF!</formula>
    </cfRule>
  </conditionalFormatting>
  <conditionalFormatting sqref="E52">
    <cfRule type="cellIs" dxfId="11" priority="13" operator="lessThan">
      <formula>#REF!</formula>
    </cfRule>
  </conditionalFormatting>
  <conditionalFormatting sqref="E42">
    <cfRule type="cellIs" dxfId="10" priority="12" operator="lessThanOrEqual">
      <formula>#REF!</formula>
    </cfRule>
  </conditionalFormatting>
  <conditionalFormatting sqref="E48">
    <cfRule type="cellIs" dxfId="9" priority="11" operator="lessThan">
      <formula>#REF!</formula>
    </cfRule>
  </conditionalFormatting>
  <conditionalFormatting sqref="E12">
    <cfRule type="cellIs" dxfId="8" priority="10" operator="lessThanOrEqual">
      <formula>#REF!</formula>
    </cfRule>
  </conditionalFormatting>
  <conditionalFormatting sqref="E35">
    <cfRule type="cellIs" dxfId="7" priority="9" operator="lessThan">
      <formula>#REF!</formula>
    </cfRule>
  </conditionalFormatting>
  <conditionalFormatting sqref="E22">
    <cfRule type="cellIs" dxfId="6" priority="8" operator="lessThan">
      <formula>#REF!</formula>
    </cfRule>
  </conditionalFormatting>
  <conditionalFormatting sqref="E23:E24">
    <cfRule type="cellIs" dxfId="5" priority="7" operator="lessThanOrEqual">
      <formula>#REF!</formula>
    </cfRule>
  </conditionalFormatting>
  <conditionalFormatting sqref="E50">
    <cfRule type="cellIs" dxfId="4" priority="6" operator="lessThan">
      <formula>#REF!</formula>
    </cfRule>
  </conditionalFormatting>
  <conditionalFormatting sqref="E53">
    <cfRule type="cellIs" dxfId="3" priority="5" operator="lessThan">
      <formula>#REF!</formula>
    </cfRule>
  </conditionalFormatting>
  <conditionalFormatting sqref="E55">
    <cfRule type="cellIs" dxfId="2" priority="4" operator="lessThan">
      <formula>#REF!</formula>
    </cfRule>
  </conditionalFormatting>
  <conditionalFormatting sqref="E18">
    <cfRule type="cellIs" dxfId="1" priority="3" operator="lessThan">
      <formula>#REF!</formula>
    </cfRule>
  </conditionalFormatting>
  <conditionalFormatting sqref="E51">
    <cfRule type="cellIs" dxfId="0" priority="1" operator="lessThan">
      <formula>#REF!</formula>
    </cfRule>
  </conditionalFormatting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2"/>
  <dimension ref="A1:K577"/>
  <sheetViews>
    <sheetView workbookViewId="0"/>
  </sheetViews>
  <sheetFormatPr baseColWidth="10" defaultRowHeight="15" x14ac:dyDescent="0.25"/>
  <cols>
    <col min="1" max="16384" width="11.42578125" style="6"/>
  </cols>
  <sheetData>
    <row r="1" spans="1:11" ht="115.5" x14ac:dyDescent="0.25">
      <c r="A1" s="83" t="s">
        <v>130</v>
      </c>
      <c r="B1"/>
      <c r="C1"/>
      <c r="D1"/>
      <c r="E1"/>
      <c r="F1"/>
      <c r="G1"/>
      <c r="H1"/>
      <c r="I1"/>
      <c r="J1"/>
      <c r="K1"/>
    </row>
    <row r="2" spans="1:11" x14ac:dyDescent="0.25">
      <c r="A2" s="84"/>
      <c r="B2"/>
      <c r="C2"/>
      <c r="D2"/>
      <c r="E2"/>
      <c r="F2"/>
      <c r="G2"/>
      <c r="H2"/>
      <c r="I2"/>
      <c r="J2"/>
      <c r="K2"/>
    </row>
    <row r="3" spans="1:11" x14ac:dyDescent="0.25">
      <c r="A3"/>
      <c r="B3"/>
      <c r="C3"/>
      <c r="D3"/>
      <c r="E3"/>
      <c r="F3"/>
      <c r="G3"/>
      <c r="H3"/>
      <c r="I3"/>
      <c r="J3"/>
      <c r="K3"/>
    </row>
    <row r="4" spans="1:11" x14ac:dyDescent="0.25">
      <c r="A4" s="85" t="s">
        <v>131</v>
      </c>
      <c r="B4"/>
      <c r="C4"/>
      <c r="D4"/>
      <c r="E4"/>
      <c r="F4"/>
      <c r="G4"/>
      <c r="H4"/>
      <c r="I4"/>
      <c r="J4"/>
      <c r="K4"/>
    </row>
    <row r="5" spans="1:11" x14ac:dyDescent="0.25">
      <c r="A5" s="84"/>
      <c r="B5"/>
      <c r="C5"/>
      <c r="D5"/>
      <c r="E5"/>
      <c r="F5"/>
      <c r="G5"/>
      <c r="H5"/>
      <c r="I5"/>
      <c r="J5"/>
      <c r="K5"/>
    </row>
    <row r="6" spans="1:11" x14ac:dyDescent="0.25">
      <c r="A6"/>
      <c r="B6"/>
      <c r="C6"/>
      <c r="D6"/>
      <c r="E6"/>
      <c r="F6"/>
      <c r="G6"/>
      <c r="H6"/>
      <c r="I6"/>
      <c r="J6"/>
      <c r="K6"/>
    </row>
    <row r="7" spans="1:11" ht="21" x14ac:dyDescent="0.25">
      <c r="A7" s="86" t="s">
        <v>132</v>
      </c>
      <c r="B7" s="87" t="s">
        <v>133</v>
      </c>
      <c r="C7" s="87" t="s">
        <v>134</v>
      </c>
      <c r="D7" s="87" t="s">
        <v>135</v>
      </c>
      <c r="E7" s="87" t="s">
        <v>136</v>
      </c>
      <c r="F7" s="87" t="s">
        <v>137</v>
      </c>
      <c r="G7" s="87" t="s">
        <v>138</v>
      </c>
      <c r="H7"/>
      <c r="I7"/>
      <c r="J7"/>
      <c r="K7"/>
    </row>
    <row r="8" spans="1:11" x14ac:dyDescent="0.25">
      <c r="A8" s="88" t="s">
        <v>139</v>
      </c>
      <c r="B8" s="89">
        <v>72962.960000000006</v>
      </c>
      <c r="C8" s="90">
        <v>1.81</v>
      </c>
      <c r="D8" s="89">
        <v>71663.02</v>
      </c>
      <c r="E8" s="89">
        <v>72001.210000000006</v>
      </c>
      <c r="F8" s="89">
        <v>73097.75</v>
      </c>
      <c r="G8" s="89">
        <v>71663.02</v>
      </c>
      <c r="H8"/>
      <c r="I8"/>
      <c r="J8"/>
      <c r="K8"/>
    </row>
    <row r="9" spans="1:11" ht="21" x14ac:dyDescent="0.25">
      <c r="A9" s="91" t="s">
        <v>140</v>
      </c>
      <c r="B9" s="92">
        <v>1087540.1299999999</v>
      </c>
      <c r="C9" s="93">
        <v>1.6</v>
      </c>
      <c r="D9" s="92">
        <v>1070461.93</v>
      </c>
      <c r="E9" s="92">
        <v>1074066.54</v>
      </c>
      <c r="F9" s="92">
        <v>1090562.1399999999</v>
      </c>
      <c r="G9" s="92">
        <v>1070461.93</v>
      </c>
      <c r="H9"/>
      <c r="I9"/>
      <c r="J9"/>
      <c r="K9"/>
    </row>
    <row r="10" spans="1:11" x14ac:dyDescent="0.25">
      <c r="A10" s="88" t="s">
        <v>141</v>
      </c>
      <c r="B10" s="89">
        <v>25150.75</v>
      </c>
      <c r="C10" s="90">
        <v>2.09</v>
      </c>
      <c r="D10" s="89">
        <v>24636.97</v>
      </c>
      <c r="E10" s="89">
        <v>24747.38</v>
      </c>
      <c r="F10" s="89">
        <v>25253.35</v>
      </c>
      <c r="G10" s="89">
        <v>24636.97</v>
      </c>
      <c r="H10"/>
      <c r="I10"/>
      <c r="J10"/>
      <c r="K10"/>
    </row>
    <row r="11" spans="1:11" x14ac:dyDescent="0.25">
      <c r="A11" s="91" t="s">
        <v>142</v>
      </c>
      <c r="B11" s="92">
        <v>26074.33</v>
      </c>
      <c r="C11" s="93">
        <v>1.86</v>
      </c>
      <c r="D11" s="92">
        <v>25597.01</v>
      </c>
      <c r="E11" s="92">
        <v>25713.119999999999</v>
      </c>
      <c r="F11" s="92">
        <v>26175.24</v>
      </c>
      <c r="G11" s="92">
        <v>25597.01</v>
      </c>
      <c r="H11"/>
      <c r="I11"/>
      <c r="J11"/>
      <c r="K11"/>
    </row>
    <row r="12" spans="1:11" x14ac:dyDescent="0.25">
      <c r="A12" s="88" t="s">
        <v>143</v>
      </c>
      <c r="B12" s="89">
        <v>28270.57</v>
      </c>
      <c r="C12" s="90">
        <v>1.75</v>
      </c>
      <c r="D12" s="89">
        <v>27785.22</v>
      </c>
      <c r="E12" s="89">
        <v>27897.84</v>
      </c>
      <c r="F12" s="89">
        <v>28385.56</v>
      </c>
      <c r="G12" s="89">
        <v>27785.22</v>
      </c>
      <c r="H12"/>
      <c r="I12"/>
      <c r="J12"/>
      <c r="K12"/>
    </row>
    <row r="13" spans="1:11" x14ac:dyDescent="0.25">
      <c r="A13"/>
      <c r="B13"/>
      <c r="C13"/>
      <c r="D13"/>
      <c r="E13"/>
      <c r="F13"/>
      <c r="G13"/>
      <c r="H13"/>
      <c r="I13"/>
      <c r="J13"/>
      <c r="K13"/>
    </row>
    <row r="14" spans="1:11" x14ac:dyDescent="0.25">
      <c r="A14" s="85" t="s">
        <v>144</v>
      </c>
      <c r="B14"/>
      <c r="C14"/>
      <c r="D14"/>
      <c r="E14"/>
      <c r="F14"/>
      <c r="G14"/>
      <c r="H14"/>
      <c r="I14"/>
      <c r="J14"/>
      <c r="K14"/>
    </row>
    <row r="15" spans="1:11" x14ac:dyDescent="0.25">
      <c r="A15" s="84"/>
      <c r="B15"/>
      <c r="C15"/>
      <c r="D15"/>
      <c r="E15"/>
      <c r="F15"/>
      <c r="G15"/>
      <c r="H15"/>
      <c r="I15"/>
      <c r="J15"/>
      <c r="K15"/>
    </row>
    <row r="16" spans="1:11" x14ac:dyDescent="0.25">
      <c r="A16"/>
      <c r="B16"/>
      <c r="C16"/>
      <c r="D16"/>
      <c r="E16"/>
      <c r="F16"/>
      <c r="G16"/>
      <c r="H16"/>
      <c r="I16"/>
      <c r="J16"/>
      <c r="K16"/>
    </row>
    <row r="17" spans="1:11" ht="21" x14ac:dyDescent="0.25">
      <c r="A17" s="87" t="s">
        <v>145</v>
      </c>
      <c r="B17" s="87" t="s">
        <v>146</v>
      </c>
      <c r="C17" s="87" t="s">
        <v>133</v>
      </c>
      <c r="D17" s="87" t="s">
        <v>134</v>
      </c>
      <c r="E17" s="87" t="s">
        <v>135</v>
      </c>
      <c r="F17" s="87" t="s">
        <v>136</v>
      </c>
      <c r="G17" s="87" t="s">
        <v>137</v>
      </c>
      <c r="H17" s="87" t="s">
        <v>138</v>
      </c>
      <c r="I17" s="87" t="s">
        <v>147</v>
      </c>
      <c r="J17" s="87" t="s">
        <v>148</v>
      </c>
      <c r="K17" s="87" t="s">
        <v>149</v>
      </c>
    </row>
    <row r="18" spans="1:11" ht="21" x14ac:dyDescent="0.25">
      <c r="A18" s="88" t="s">
        <v>150</v>
      </c>
      <c r="B18" s="94">
        <v>0.73313657407407407</v>
      </c>
      <c r="C18" s="95">
        <v>37.4</v>
      </c>
      <c r="D18" s="90">
        <v>2.19</v>
      </c>
      <c r="E18" s="90">
        <v>36.6</v>
      </c>
      <c r="F18" s="90">
        <v>36.799999999999997</v>
      </c>
      <c r="G18" s="90">
        <v>38.450000000000003</v>
      </c>
      <c r="H18" s="90">
        <v>36.700000000000003</v>
      </c>
      <c r="I18" s="96">
        <v>460055</v>
      </c>
      <c r="J18" s="96">
        <v>17354871</v>
      </c>
      <c r="K18" s="90">
        <v>719</v>
      </c>
    </row>
    <row r="19" spans="1:11" ht="21" x14ac:dyDescent="0.25">
      <c r="A19" s="91" t="s">
        <v>151</v>
      </c>
      <c r="B19" s="97">
        <v>0.73317129629629629</v>
      </c>
      <c r="C19" s="98">
        <v>37.75</v>
      </c>
      <c r="D19" s="93">
        <v>7.86</v>
      </c>
      <c r="E19" s="93">
        <v>35</v>
      </c>
      <c r="F19" s="93">
        <v>37.75</v>
      </c>
      <c r="G19" s="93">
        <v>37.75</v>
      </c>
      <c r="H19" s="93">
        <v>37.75</v>
      </c>
      <c r="I19" s="99">
        <v>1589</v>
      </c>
      <c r="J19" s="99">
        <v>59985</v>
      </c>
      <c r="K19" s="93">
        <v>1</v>
      </c>
    </row>
    <row r="20" spans="1:11" ht="21" x14ac:dyDescent="0.25">
      <c r="A20" s="88" t="s">
        <v>152</v>
      </c>
      <c r="B20" s="94">
        <v>0.73317129629629629</v>
      </c>
      <c r="C20" s="95">
        <v>37.4</v>
      </c>
      <c r="D20" s="90">
        <v>2.4700000000000002</v>
      </c>
      <c r="E20" s="90">
        <v>36.5</v>
      </c>
      <c r="F20" s="90">
        <v>38.299999999999997</v>
      </c>
      <c r="G20" s="90">
        <v>38.4</v>
      </c>
      <c r="H20" s="90">
        <v>37.4</v>
      </c>
      <c r="I20" s="96">
        <v>1054</v>
      </c>
      <c r="J20" s="96">
        <v>40229</v>
      </c>
      <c r="K20" s="90">
        <v>7</v>
      </c>
    </row>
    <row r="21" spans="1:11" ht="21" x14ac:dyDescent="0.25">
      <c r="A21" s="91" t="s">
        <v>153</v>
      </c>
      <c r="B21" s="97">
        <v>0.73317129629629629</v>
      </c>
      <c r="C21" s="98">
        <v>13.15</v>
      </c>
      <c r="D21" s="93">
        <v>2.73</v>
      </c>
      <c r="E21" s="93">
        <v>12.8</v>
      </c>
      <c r="F21" s="93">
        <v>13</v>
      </c>
      <c r="G21" s="93">
        <v>13.15</v>
      </c>
      <c r="H21" s="93">
        <v>12.95</v>
      </c>
      <c r="I21" s="99">
        <v>103068</v>
      </c>
      <c r="J21" s="99">
        <v>1352183</v>
      </c>
      <c r="K21" s="93">
        <v>13</v>
      </c>
    </row>
    <row r="22" spans="1:11" ht="21" x14ac:dyDescent="0.25">
      <c r="A22" s="88" t="s">
        <v>154</v>
      </c>
      <c r="B22" s="94">
        <v>0.73313657407407407</v>
      </c>
      <c r="C22" s="95">
        <v>13.05</v>
      </c>
      <c r="D22" s="90">
        <v>2.35</v>
      </c>
      <c r="E22" s="90">
        <v>12.75</v>
      </c>
      <c r="F22" s="90">
        <v>12.8</v>
      </c>
      <c r="G22" s="90">
        <v>13.2</v>
      </c>
      <c r="H22" s="90">
        <v>12.75</v>
      </c>
      <c r="I22" s="96">
        <v>1151137</v>
      </c>
      <c r="J22" s="96">
        <v>15018823</v>
      </c>
      <c r="K22" s="90">
        <v>444</v>
      </c>
    </row>
    <row r="23" spans="1:11" ht="21" x14ac:dyDescent="0.25">
      <c r="A23" s="91" t="s">
        <v>155</v>
      </c>
      <c r="B23" s="97">
        <v>0.73317129629629629</v>
      </c>
      <c r="C23" s="98">
        <v>86</v>
      </c>
      <c r="D23" s="93">
        <v>-0.57999999999999996</v>
      </c>
      <c r="E23" s="93">
        <v>86.5</v>
      </c>
      <c r="F23" s="93">
        <v>87</v>
      </c>
      <c r="G23" s="93">
        <v>88</v>
      </c>
      <c r="H23" s="93">
        <v>86</v>
      </c>
      <c r="I23" s="99">
        <v>25216</v>
      </c>
      <c r="J23" s="99">
        <v>2192506</v>
      </c>
      <c r="K23" s="93">
        <v>14</v>
      </c>
    </row>
    <row r="24" spans="1:11" ht="21" x14ac:dyDescent="0.25">
      <c r="A24" s="88" t="s">
        <v>156</v>
      </c>
      <c r="B24" s="94">
        <v>0.73313657407407407</v>
      </c>
      <c r="C24" s="95">
        <v>86.9</v>
      </c>
      <c r="D24" s="90">
        <v>0.06</v>
      </c>
      <c r="E24" s="90">
        <v>86.85</v>
      </c>
      <c r="F24" s="90">
        <v>87.3</v>
      </c>
      <c r="G24" s="90">
        <v>87.9</v>
      </c>
      <c r="H24" s="90">
        <v>86.5</v>
      </c>
      <c r="I24" s="96">
        <v>222508</v>
      </c>
      <c r="J24" s="96">
        <v>19375157</v>
      </c>
      <c r="K24" s="90">
        <v>282</v>
      </c>
    </row>
    <row r="25" spans="1:11" ht="21" x14ac:dyDescent="0.25">
      <c r="A25" s="91" t="s">
        <v>157</v>
      </c>
      <c r="B25" s="97">
        <v>0.73313657407407407</v>
      </c>
      <c r="C25" s="98">
        <v>116</v>
      </c>
      <c r="D25" s="93">
        <v>2.29</v>
      </c>
      <c r="E25" s="93">
        <v>113.4</v>
      </c>
      <c r="F25" s="93">
        <v>113.4</v>
      </c>
      <c r="G25" s="93">
        <v>118.4</v>
      </c>
      <c r="H25" s="93">
        <v>112</v>
      </c>
      <c r="I25" s="99">
        <v>113732</v>
      </c>
      <c r="J25" s="99">
        <v>13151437</v>
      </c>
      <c r="K25" s="93">
        <v>390</v>
      </c>
    </row>
    <row r="26" spans="1:11" ht="21" x14ac:dyDescent="0.25">
      <c r="A26" s="88" t="s">
        <v>158</v>
      </c>
      <c r="B26" s="94">
        <v>0.73317129629629629</v>
      </c>
      <c r="C26" s="95">
        <v>115</v>
      </c>
      <c r="D26" s="90">
        <v>2.68</v>
      </c>
      <c r="E26" s="90">
        <v>112</v>
      </c>
      <c r="F26" s="90">
        <v>112.7</v>
      </c>
      <c r="G26" s="90">
        <v>115</v>
      </c>
      <c r="H26" s="90">
        <v>112.7</v>
      </c>
      <c r="I26" s="90">
        <v>440</v>
      </c>
      <c r="J26" s="96">
        <v>49933</v>
      </c>
      <c r="K26" s="90">
        <v>2</v>
      </c>
    </row>
    <row r="27" spans="1:11" ht="21" x14ac:dyDescent="0.25">
      <c r="A27" s="91" t="s">
        <v>159</v>
      </c>
      <c r="B27" s="97">
        <v>0.73317129629629629</v>
      </c>
      <c r="C27" s="98">
        <v>115.1</v>
      </c>
      <c r="D27" s="93">
        <v>3.69</v>
      </c>
      <c r="E27" s="93">
        <v>111</v>
      </c>
      <c r="F27" s="93">
        <v>112.8</v>
      </c>
      <c r="G27" s="93">
        <v>115.55</v>
      </c>
      <c r="H27" s="93">
        <v>112.8</v>
      </c>
      <c r="I27" s="93">
        <v>219</v>
      </c>
      <c r="J27" s="99">
        <v>25003</v>
      </c>
      <c r="K27" s="93">
        <v>3</v>
      </c>
    </row>
    <row r="28" spans="1:11" x14ac:dyDescent="0.25">
      <c r="A28" s="88" t="s">
        <v>160</v>
      </c>
      <c r="B28" s="94">
        <v>0.73313657407407407</v>
      </c>
      <c r="C28" s="95">
        <v>203.25</v>
      </c>
      <c r="D28" s="90">
        <v>2.94</v>
      </c>
      <c r="E28" s="90">
        <v>197.45</v>
      </c>
      <c r="F28" s="90">
        <v>198.45</v>
      </c>
      <c r="G28" s="90">
        <v>204</v>
      </c>
      <c r="H28" s="90">
        <v>197.45</v>
      </c>
      <c r="I28" s="96">
        <v>97118</v>
      </c>
      <c r="J28" s="96">
        <v>19641822</v>
      </c>
      <c r="K28" s="90">
        <v>319</v>
      </c>
    </row>
    <row r="29" spans="1:11" x14ac:dyDescent="0.25">
      <c r="A29" s="91" t="s">
        <v>161</v>
      </c>
      <c r="B29" s="97">
        <v>0.73317129629629629</v>
      </c>
      <c r="C29" s="98">
        <v>202.3</v>
      </c>
      <c r="D29" s="93">
        <v>5.81</v>
      </c>
      <c r="E29" s="93">
        <v>191.2</v>
      </c>
      <c r="F29" s="93">
        <v>201.5</v>
      </c>
      <c r="G29" s="93">
        <v>202.3</v>
      </c>
      <c r="H29" s="93">
        <v>201.5</v>
      </c>
      <c r="I29" s="93">
        <v>60</v>
      </c>
      <c r="J29" s="99">
        <v>12114</v>
      </c>
      <c r="K29" s="93">
        <v>3</v>
      </c>
    </row>
    <row r="30" spans="1:11" ht="21" x14ac:dyDescent="0.25">
      <c r="A30" s="88" t="s">
        <v>162</v>
      </c>
      <c r="B30" s="94">
        <v>0.73317129629629629</v>
      </c>
      <c r="C30" s="95">
        <v>14.65</v>
      </c>
      <c r="D30" s="90">
        <v>4.2699999999999996</v>
      </c>
      <c r="E30" s="90">
        <v>14.05</v>
      </c>
      <c r="F30" s="90">
        <v>14.65</v>
      </c>
      <c r="G30" s="90">
        <v>14.65</v>
      </c>
      <c r="H30" s="90">
        <v>14.65</v>
      </c>
      <c r="I30" s="96">
        <v>5000</v>
      </c>
      <c r="J30" s="96">
        <v>73250</v>
      </c>
      <c r="K30" s="90">
        <v>1</v>
      </c>
    </row>
    <row r="31" spans="1:11" ht="21" x14ac:dyDescent="0.25">
      <c r="A31" s="91" t="s">
        <v>163</v>
      </c>
      <c r="B31" s="97">
        <v>0.73317129629629629</v>
      </c>
      <c r="C31" s="98">
        <v>14.7</v>
      </c>
      <c r="D31" s="93">
        <v>5</v>
      </c>
      <c r="E31" s="93">
        <v>14</v>
      </c>
      <c r="F31" s="93">
        <v>14.3</v>
      </c>
      <c r="G31" s="93">
        <v>14.7</v>
      </c>
      <c r="H31" s="93">
        <v>14.3</v>
      </c>
      <c r="I31" s="99">
        <v>24000</v>
      </c>
      <c r="J31" s="99">
        <v>348400</v>
      </c>
      <c r="K31" s="93">
        <v>6</v>
      </c>
    </row>
    <row r="32" spans="1:11" ht="21" x14ac:dyDescent="0.25">
      <c r="A32" s="88" t="s">
        <v>164</v>
      </c>
      <c r="B32" s="94">
        <v>0.73313657407407407</v>
      </c>
      <c r="C32" s="95">
        <v>14.65</v>
      </c>
      <c r="D32" s="90">
        <v>6.55</v>
      </c>
      <c r="E32" s="90">
        <v>13.75</v>
      </c>
      <c r="F32" s="90">
        <v>14.35</v>
      </c>
      <c r="G32" s="90">
        <v>14.8</v>
      </c>
      <c r="H32" s="90">
        <v>14.2</v>
      </c>
      <c r="I32" s="96">
        <v>1188286</v>
      </c>
      <c r="J32" s="96">
        <v>17320020</v>
      </c>
      <c r="K32" s="90">
        <v>534</v>
      </c>
    </row>
    <row r="33" spans="1:11" ht="21" x14ac:dyDescent="0.25">
      <c r="A33" s="91" t="s">
        <v>165</v>
      </c>
      <c r="B33" s="97">
        <v>0.73317129629629629</v>
      </c>
      <c r="C33" s="98">
        <v>30.1</v>
      </c>
      <c r="D33" s="93">
        <v>6.55</v>
      </c>
      <c r="E33" s="93">
        <v>28.25</v>
      </c>
      <c r="F33" s="93">
        <v>29.05</v>
      </c>
      <c r="G33" s="93">
        <v>30.7</v>
      </c>
      <c r="H33" s="93">
        <v>29</v>
      </c>
      <c r="I33" s="99">
        <v>46394</v>
      </c>
      <c r="J33" s="99">
        <v>1355520</v>
      </c>
      <c r="K33" s="93">
        <v>29</v>
      </c>
    </row>
    <row r="34" spans="1:11" ht="21" x14ac:dyDescent="0.25">
      <c r="A34" s="88" t="s">
        <v>166</v>
      </c>
      <c r="B34" s="94">
        <v>0.73313657407407407</v>
      </c>
      <c r="C34" s="95">
        <v>30.55</v>
      </c>
      <c r="D34" s="90">
        <v>7.01</v>
      </c>
      <c r="E34" s="90">
        <v>28.55</v>
      </c>
      <c r="F34" s="90">
        <v>28.75</v>
      </c>
      <c r="G34" s="90">
        <v>31</v>
      </c>
      <c r="H34" s="90">
        <v>28.75</v>
      </c>
      <c r="I34" s="96">
        <v>2920468</v>
      </c>
      <c r="J34" s="96">
        <v>87677373</v>
      </c>
      <c r="K34" s="96">
        <v>1249</v>
      </c>
    </row>
    <row r="35" spans="1:11" ht="21" x14ac:dyDescent="0.25">
      <c r="A35" s="91" t="s">
        <v>167</v>
      </c>
      <c r="B35" s="97">
        <v>0.73317129629629629</v>
      </c>
      <c r="C35" s="98">
        <v>30.65</v>
      </c>
      <c r="D35" s="93">
        <v>7.54</v>
      </c>
      <c r="E35" s="93">
        <v>28.5</v>
      </c>
      <c r="F35" s="93">
        <v>30.65</v>
      </c>
      <c r="G35" s="93">
        <v>30.65</v>
      </c>
      <c r="H35" s="93">
        <v>30.65</v>
      </c>
      <c r="I35" s="99">
        <v>4000</v>
      </c>
      <c r="J35" s="99">
        <v>122600</v>
      </c>
      <c r="K35" s="93">
        <v>1</v>
      </c>
    </row>
    <row r="36" spans="1:11" ht="21" x14ac:dyDescent="0.25">
      <c r="A36" s="88" t="s">
        <v>168</v>
      </c>
      <c r="B36" s="94">
        <v>0.73313657407407407</v>
      </c>
      <c r="C36" s="95">
        <v>3.96</v>
      </c>
      <c r="D36" s="90">
        <v>1.54</v>
      </c>
      <c r="E36" s="90">
        <v>3.9</v>
      </c>
      <c r="F36" s="90">
        <v>3.92</v>
      </c>
      <c r="G36" s="90">
        <v>4.03</v>
      </c>
      <c r="H36" s="90">
        <v>3.9</v>
      </c>
      <c r="I36" s="96">
        <v>7644180</v>
      </c>
      <c r="J36" s="96">
        <v>30440575</v>
      </c>
      <c r="K36" s="90">
        <v>559</v>
      </c>
    </row>
    <row r="37" spans="1:11" ht="21" x14ac:dyDescent="0.25">
      <c r="A37" s="91" t="s">
        <v>169</v>
      </c>
      <c r="B37" s="97">
        <v>0.73317129629629629</v>
      </c>
      <c r="C37" s="98">
        <v>3.97</v>
      </c>
      <c r="D37" s="93">
        <v>1.28</v>
      </c>
      <c r="E37" s="93">
        <v>3.92</v>
      </c>
      <c r="F37" s="93">
        <v>3.97</v>
      </c>
      <c r="G37" s="93">
        <v>3.97</v>
      </c>
      <c r="H37" s="93">
        <v>3.97</v>
      </c>
      <c r="I37" s="99">
        <v>25000</v>
      </c>
      <c r="J37" s="99">
        <v>99250</v>
      </c>
      <c r="K37" s="93">
        <v>1</v>
      </c>
    </row>
    <row r="38" spans="1:11" ht="21" x14ac:dyDescent="0.25">
      <c r="A38" s="88" t="s">
        <v>170</v>
      </c>
      <c r="B38" s="94">
        <v>0.73317129629629629</v>
      </c>
      <c r="C38" s="95">
        <v>3.95</v>
      </c>
      <c r="D38" s="90">
        <v>0.25</v>
      </c>
      <c r="E38" s="90">
        <v>3.94</v>
      </c>
      <c r="F38" s="90">
        <v>3.99</v>
      </c>
      <c r="G38" s="90">
        <v>4.01</v>
      </c>
      <c r="H38" s="90">
        <v>3.92</v>
      </c>
      <c r="I38" s="96">
        <v>220050</v>
      </c>
      <c r="J38" s="96">
        <v>868721</v>
      </c>
      <c r="K38" s="90">
        <v>13</v>
      </c>
    </row>
    <row r="39" spans="1:11" ht="21" x14ac:dyDescent="0.25">
      <c r="A39" s="91" t="s">
        <v>171</v>
      </c>
      <c r="B39" s="97">
        <v>0.73313657407407407</v>
      </c>
      <c r="C39" s="98">
        <v>32.4</v>
      </c>
      <c r="D39" s="93">
        <v>0.31</v>
      </c>
      <c r="E39" s="93">
        <v>32.299999999999997</v>
      </c>
      <c r="F39" s="93">
        <v>32.700000000000003</v>
      </c>
      <c r="G39" s="93">
        <v>33.450000000000003</v>
      </c>
      <c r="H39" s="93">
        <v>32</v>
      </c>
      <c r="I39" s="99">
        <v>539544</v>
      </c>
      <c r="J39" s="99">
        <v>17753769</v>
      </c>
      <c r="K39" s="93">
        <v>501</v>
      </c>
    </row>
    <row r="40" spans="1:11" ht="21" x14ac:dyDescent="0.25">
      <c r="A40" s="88" t="s">
        <v>172</v>
      </c>
      <c r="B40" s="94">
        <v>0.73317129629629629</v>
      </c>
      <c r="C40" s="95">
        <v>32.5</v>
      </c>
      <c r="D40" s="90">
        <v>2.85</v>
      </c>
      <c r="E40" s="90">
        <v>31.6</v>
      </c>
      <c r="F40" s="90">
        <v>33</v>
      </c>
      <c r="G40" s="90">
        <v>33</v>
      </c>
      <c r="H40" s="90">
        <v>32.5</v>
      </c>
      <c r="I40" s="96">
        <v>8000</v>
      </c>
      <c r="J40" s="96">
        <v>263250</v>
      </c>
      <c r="K40" s="90">
        <v>9</v>
      </c>
    </row>
    <row r="41" spans="1:11" ht="21" x14ac:dyDescent="0.25">
      <c r="A41" s="91" t="s">
        <v>173</v>
      </c>
      <c r="B41" s="97">
        <v>0.73317129629629629</v>
      </c>
      <c r="C41" s="98">
        <v>33</v>
      </c>
      <c r="D41" s="93">
        <v>4.76</v>
      </c>
      <c r="E41" s="93">
        <v>31.5</v>
      </c>
      <c r="F41" s="93">
        <v>33</v>
      </c>
      <c r="G41" s="93">
        <v>33</v>
      </c>
      <c r="H41" s="93">
        <v>33</v>
      </c>
      <c r="I41" s="99">
        <v>7000</v>
      </c>
      <c r="J41" s="99">
        <v>231000</v>
      </c>
      <c r="K41" s="93">
        <v>3</v>
      </c>
    </row>
    <row r="42" spans="1:11" ht="21" x14ac:dyDescent="0.25">
      <c r="A42" s="88" t="s">
        <v>174</v>
      </c>
      <c r="B42" s="94">
        <v>0.73317129629629629</v>
      </c>
      <c r="C42" s="95">
        <v>39.65</v>
      </c>
      <c r="D42" s="90">
        <v>2.46</v>
      </c>
      <c r="E42" s="90">
        <v>38.700000000000003</v>
      </c>
      <c r="F42" s="90">
        <v>39.85</v>
      </c>
      <c r="G42" s="90">
        <v>39.85</v>
      </c>
      <c r="H42" s="90">
        <v>39.65</v>
      </c>
      <c r="I42" s="90">
        <v>705</v>
      </c>
      <c r="J42" s="96">
        <v>27958</v>
      </c>
      <c r="K42" s="90">
        <v>3</v>
      </c>
    </row>
    <row r="43" spans="1:11" ht="21" x14ac:dyDescent="0.25">
      <c r="A43" s="91" t="s">
        <v>175</v>
      </c>
      <c r="B43" s="97">
        <v>0.73317129629629629</v>
      </c>
      <c r="C43" s="98">
        <v>39.85</v>
      </c>
      <c r="D43" s="93">
        <v>4.7300000000000004</v>
      </c>
      <c r="E43" s="93">
        <v>38.049999999999997</v>
      </c>
      <c r="F43" s="93">
        <v>39.85</v>
      </c>
      <c r="G43" s="93">
        <v>39.85</v>
      </c>
      <c r="H43" s="93">
        <v>39.85</v>
      </c>
      <c r="I43" s="93">
        <v>128</v>
      </c>
      <c r="J43" s="99">
        <v>5101</v>
      </c>
      <c r="K43" s="93">
        <v>1</v>
      </c>
    </row>
    <row r="44" spans="1:11" ht="21" x14ac:dyDescent="0.25">
      <c r="A44" s="88" t="s">
        <v>176</v>
      </c>
      <c r="B44" s="94">
        <v>0.73313657407407407</v>
      </c>
      <c r="C44" s="95">
        <v>38.35</v>
      </c>
      <c r="D44" s="90">
        <v>-0.39</v>
      </c>
      <c r="E44" s="90">
        <v>38.5</v>
      </c>
      <c r="F44" s="90">
        <v>38.5</v>
      </c>
      <c r="G44" s="90">
        <v>40.1</v>
      </c>
      <c r="H44" s="90">
        <v>38.15</v>
      </c>
      <c r="I44" s="96">
        <v>158189</v>
      </c>
      <c r="J44" s="96">
        <v>6241432</v>
      </c>
      <c r="K44" s="90">
        <v>274</v>
      </c>
    </row>
    <row r="45" spans="1:11" ht="21" x14ac:dyDescent="0.25">
      <c r="A45" s="91" t="s">
        <v>177</v>
      </c>
      <c r="B45" s="97">
        <v>0.73317129629629629</v>
      </c>
      <c r="C45" s="98">
        <v>28.1</v>
      </c>
      <c r="D45" s="93">
        <v>3.69</v>
      </c>
      <c r="E45" s="93">
        <v>27.1</v>
      </c>
      <c r="F45" s="93">
        <v>28.1</v>
      </c>
      <c r="G45" s="93">
        <v>28.1</v>
      </c>
      <c r="H45" s="93">
        <v>28.1</v>
      </c>
      <c r="I45" s="93">
        <v>926</v>
      </c>
      <c r="J45" s="99">
        <v>26021</v>
      </c>
      <c r="K45" s="93">
        <v>1</v>
      </c>
    </row>
    <row r="46" spans="1:11" ht="21" x14ac:dyDescent="0.25">
      <c r="A46" s="88" t="s">
        <v>178</v>
      </c>
      <c r="B46" s="94">
        <v>0.73313657407407407</v>
      </c>
      <c r="C46" s="95">
        <v>28.1</v>
      </c>
      <c r="D46" s="90">
        <v>2.93</v>
      </c>
      <c r="E46" s="90">
        <v>27.3</v>
      </c>
      <c r="F46" s="90">
        <v>27.4</v>
      </c>
      <c r="G46" s="90">
        <v>28.7</v>
      </c>
      <c r="H46" s="90">
        <v>27.4</v>
      </c>
      <c r="I46" s="96">
        <v>763865</v>
      </c>
      <c r="J46" s="96">
        <v>21466934</v>
      </c>
      <c r="K46" s="90">
        <v>531</v>
      </c>
    </row>
    <row r="47" spans="1:11" ht="21" x14ac:dyDescent="0.25">
      <c r="A47" s="91" t="s">
        <v>179</v>
      </c>
      <c r="B47" s="97">
        <v>0.6497222222222222</v>
      </c>
      <c r="C47" s="98">
        <v>28.2</v>
      </c>
      <c r="D47" s="93">
        <v>4.83</v>
      </c>
      <c r="E47" s="93">
        <v>26.9</v>
      </c>
      <c r="F47" s="93">
        <v>27.6</v>
      </c>
      <c r="G47" s="93">
        <v>28.2</v>
      </c>
      <c r="H47" s="93">
        <v>27.5</v>
      </c>
      <c r="I47" s="99">
        <v>1414</v>
      </c>
      <c r="J47" s="99">
        <v>39334</v>
      </c>
      <c r="K47" s="93">
        <v>4</v>
      </c>
    </row>
    <row r="48" spans="1:11" x14ac:dyDescent="0.25">
      <c r="A48" s="88" t="s">
        <v>180</v>
      </c>
      <c r="B48" s="94">
        <v>0.73313657407407407</v>
      </c>
      <c r="C48" s="95">
        <v>34.5</v>
      </c>
      <c r="D48" s="90">
        <v>2.37</v>
      </c>
      <c r="E48" s="90">
        <v>33.700000000000003</v>
      </c>
      <c r="F48" s="90">
        <v>33.799999999999997</v>
      </c>
      <c r="G48" s="90">
        <v>35.25</v>
      </c>
      <c r="H48" s="90">
        <v>33.799999999999997</v>
      </c>
      <c r="I48" s="96">
        <v>903647</v>
      </c>
      <c r="J48" s="96">
        <v>31162551</v>
      </c>
      <c r="K48" s="90">
        <v>367</v>
      </c>
    </row>
    <row r="49" spans="1:11" ht="21" x14ac:dyDescent="0.25">
      <c r="A49" s="91" t="s">
        <v>181</v>
      </c>
      <c r="B49" s="97">
        <v>0.73317129629629629</v>
      </c>
      <c r="C49" s="98">
        <v>12.95</v>
      </c>
      <c r="D49" s="93">
        <v>2.78</v>
      </c>
      <c r="E49" s="93">
        <v>12.6</v>
      </c>
      <c r="F49" s="93">
        <v>12.5</v>
      </c>
      <c r="G49" s="93">
        <v>12.95</v>
      </c>
      <c r="H49" s="93">
        <v>12.5</v>
      </c>
      <c r="I49" s="99">
        <v>26910</v>
      </c>
      <c r="J49" s="99">
        <v>343057</v>
      </c>
      <c r="K49" s="93">
        <v>7</v>
      </c>
    </row>
    <row r="50" spans="1:11" ht="21" x14ac:dyDescent="0.25">
      <c r="A50" s="88" t="s">
        <v>182</v>
      </c>
      <c r="B50" s="94">
        <v>0.73317129629629629</v>
      </c>
      <c r="C50" s="95">
        <v>12.95</v>
      </c>
      <c r="D50" s="90">
        <v>0.39</v>
      </c>
      <c r="E50" s="90">
        <v>12.9</v>
      </c>
      <c r="F50" s="90">
        <v>12.95</v>
      </c>
      <c r="G50" s="90">
        <v>12.95</v>
      </c>
      <c r="H50" s="90">
        <v>12.95</v>
      </c>
      <c r="I50" s="96">
        <v>1000</v>
      </c>
      <c r="J50" s="96">
        <v>12950</v>
      </c>
      <c r="K50" s="90">
        <v>1</v>
      </c>
    </row>
    <row r="51" spans="1:11" ht="21" x14ac:dyDescent="0.25">
      <c r="A51" s="91" t="s">
        <v>183</v>
      </c>
      <c r="B51" s="97">
        <v>0.73313657407407407</v>
      </c>
      <c r="C51" s="98">
        <v>12.85</v>
      </c>
      <c r="D51" s="93">
        <v>1.18</v>
      </c>
      <c r="E51" s="93">
        <v>12.7</v>
      </c>
      <c r="F51" s="93">
        <v>12.7</v>
      </c>
      <c r="G51" s="93">
        <v>13</v>
      </c>
      <c r="H51" s="93">
        <v>12.55</v>
      </c>
      <c r="I51" s="99">
        <v>1845928</v>
      </c>
      <c r="J51" s="99">
        <v>23704929</v>
      </c>
      <c r="K51" s="93">
        <v>395</v>
      </c>
    </row>
    <row r="52" spans="1:11" ht="21" x14ac:dyDescent="0.25">
      <c r="A52" s="88" t="s">
        <v>184</v>
      </c>
      <c r="B52" s="94">
        <v>0.64974537037037039</v>
      </c>
      <c r="C52" s="95">
        <v>118</v>
      </c>
      <c r="D52" s="90">
        <v>3.97</v>
      </c>
      <c r="E52" s="90">
        <v>113.5</v>
      </c>
      <c r="F52" s="90">
        <v>115.5</v>
      </c>
      <c r="G52" s="90">
        <v>118.2</v>
      </c>
      <c r="H52" s="90">
        <v>115.5</v>
      </c>
      <c r="I52" s="96">
        <v>3346</v>
      </c>
      <c r="J52" s="96">
        <v>393764</v>
      </c>
      <c r="K52" s="90">
        <v>8</v>
      </c>
    </row>
    <row r="53" spans="1:11" ht="21" x14ac:dyDescent="0.25">
      <c r="A53" s="91" t="s">
        <v>185</v>
      </c>
      <c r="B53" s="97">
        <v>0.73313657407407407</v>
      </c>
      <c r="C53" s="98">
        <v>118.3</v>
      </c>
      <c r="D53" s="93">
        <v>3.09</v>
      </c>
      <c r="E53" s="93">
        <v>114.75</v>
      </c>
      <c r="F53" s="93">
        <v>114.75</v>
      </c>
      <c r="G53" s="93">
        <v>119.05</v>
      </c>
      <c r="H53" s="93">
        <v>114.75</v>
      </c>
      <c r="I53" s="99">
        <v>212592</v>
      </c>
      <c r="J53" s="99">
        <v>25080568</v>
      </c>
      <c r="K53" s="93">
        <v>464</v>
      </c>
    </row>
    <row r="54" spans="1:11" ht="21" x14ac:dyDescent="0.25">
      <c r="A54" s="88" t="s">
        <v>186</v>
      </c>
      <c r="B54" s="94">
        <v>0.73317129629629629</v>
      </c>
      <c r="C54" s="95">
        <v>115</v>
      </c>
      <c r="D54" s="90">
        <v>0.88</v>
      </c>
      <c r="E54" s="90">
        <v>114</v>
      </c>
      <c r="F54" s="90">
        <v>115</v>
      </c>
      <c r="G54" s="90">
        <v>115</v>
      </c>
      <c r="H54" s="90">
        <v>115</v>
      </c>
      <c r="I54" s="90">
        <v>30</v>
      </c>
      <c r="J54" s="96">
        <v>3450</v>
      </c>
      <c r="K54" s="90">
        <v>1</v>
      </c>
    </row>
    <row r="55" spans="1:11" ht="21" x14ac:dyDescent="0.25">
      <c r="A55" s="91" t="s">
        <v>187</v>
      </c>
      <c r="B55" s="97">
        <v>0.73313657407407407</v>
      </c>
      <c r="C55" s="98">
        <v>89.2</v>
      </c>
      <c r="D55" s="93">
        <v>0.62</v>
      </c>
      <c r="E55" s="93">
        <v>88.65</v>
      </c>
      <c r="F55" s="93">
        <v>89</v>
      </c>
      <c r="G55" s="93">
        <v>90</v>
      </c>
      <c r="H55" s="93">
        <v>88.3</v>
      </c>
      <c r="I55" s="99">
        <v>1168742</v>
      </c>
      <c r="J55" s="99">
        <v>104118720</v>
      </c>
      <c r="K55" s="93">
        <v>639</v>
      </c>
    </row>
    <row r="56" spans="1:11" ht="21" x14ac:dyDescent="0.25">
      <c r="A56" s="88" t="s">
        <v>188</v>
      </c>
      <c r="B56" s="94">
        <v>0.73317129629629629</v>
      </c>
      <c r="C56" s="95">
        <v>89</v>
      </c>
      <c r="D56" s="90">
        <v>0.34</v>
      </c>
      <c r="E56" s="90">
        <v>88.7</v>
      </c>
      <c r="F56" s="90">
        <v>90</v>
      </c>
      <c r="G56" s="90">
        <v>90</v>
      </c>
      <c r="H56" s="90">
        <v>89</v>
      </c>
      <c r="I56" s="90">
        <v>180</v>
      </c>
      <c r="J56" s="96">
        <v>16170</v>
      </c>
      <c r="K56" s="90">
        <v>2</v>
      </c>
    </row>
    <row r="57" spans="1:11" ht="21" x14ac:dyDescent="0.25">
      <c r="A57" s="91" t="s">
        <v>189</v>
      </c>
      <c r="B57" s="97">
        <v>0.73317129629629629</v>
      </c>
      <c r="C57" s="98">
        <v>90</v>
      </c>
      <c r="D57" s="93">
        <v>1.58</v>
      </c>
      <c r="E57" s="93">
        <v>88.6</v>
      </c>
      <c r="F57" s="93">
        <v>89.2</v>
      </c>
      <c r="G57" s="93">
        <v>90</v>
      </c>
      <c r="H57" s="93">
        <v>87.6</v>
      </c>
      <c r="I57" s="99">
        <v>114529</v>
      </c>
      <c r="J57" s="99">
        <v>10188133</v>
      </c>
      <c r="K57" s="93">
        <v>33</v>
      </c>
    </row>
    <row r="58" spans="1:11" ht="21" x14ac:dyDescent="0.25">
      <c r="A58" s="88" t="s">
        <v>190</v>
      </c>
      <c r="B58" s="94">
        <v>0.73313657407407407</v>
      </c>
      <c r="C58" s="95">
        <v>57.75</v>
      </c>
      <c r="D58" s="90">
        <v>5.67</v>
      </c>
      <c r="E58" s="90">
        <v>54.65</v>
      </c>
      <c r="F58" s="90">
        <v>55.5</v>
      </c>
      <c r="G58" s="90">
        <v>61.1</v>
      </c>
      <c r="H58" s="90">
        <v>54.05</v>
      </c>
      <c r="I58" s="96">
        <v>362605</v>
      </c>
      <c r="J58" s="96">
        <v>21173986</v>
      </c>
      <c r="K58" s="90">
        <v>587</v>
      </c>
    </row>
    <row r="59" spans="1:11" ht="21" x14ac:dyDescent="0.25">
      <c r="A59" s="91" t="s">
        <v>191</v>
      </c>
      <c r="B59" s="97">
        <v>0.73317129629629629</v>
      </c>
      <c r="C59" s="98">
        <v>58</v>
      </c>
      <c r="D59" s="93">
        <v>9.43</v>
      </c>
      <c r="E59" s="93">
        <v>53</v>
      </c>
      <c r="F59" s="93">
        <v>54.9</v>
      </c>
      <c r="G59" s="93">
        <v>58</v>
      </c>
      <c r="H59" s="93">
        <v>54.9</v>
      </c>
      <c r="I59" s="99">
        <v>1532</v>
      </c>
      <c r="J59" s="99">
        <v>85292</v>
      </c>
      <c r="K59" s="93">
        <v>3</v>
      </c>
    </row>
    <row r="60" spans="1:11" ht="21" x14ac:dyDescent="0.25">
      <c r="A60" s="88" t="s">
        <v>192</v>
      </c>
      <c r="B60" s="94">
        <v>0.73317129629629629</v>
      </c>
      <c r="C60" s="95">
        <v>57</v>
      </c>
      <c r="D60" s="90">
        <v>10.68</v>
      </c>
      <c r="E60" s="90">
        <v>51.5</v>
      </c>
      <c r="F60" s="90">
        <v>55</v>
      </c>
      <c r="G60" s="90">
        <v>57</v>
      </c>
      <c r="H60" s="90">
        <v>55</v>
      </c>
      <c r="I60" s="90">
        <v>776</v>
      </c>
      <c r="J60" s="96">
        <v>43145</v>
      </c>
      <c r="K60" s="90">
        <v>4</v>
      </c>
    </row>
    <row r="61" spans="1:11" ht="21" x14ac:dyDescent="0.25">
      <c r="A61" s="91" t="s">
        <v>193</v>
      </c>
      <c r="B61" s="97">
        <v>0.73317129629629629</v>
      </c>
      <c r="C61" s="98">
        <v>435</v>
      </c>
      <c r="D61" s="93">
        <v>4.82</v>
      </c>
      <c r="E61" s="93">
        <v>415</v>
      </c>
      <c r="F61" s="93">
        <v>435</v>
      </c>
      <c r="G61" s="93">
        <v>435</v>
      </c>
      <c r="H61" s="93">
        <v>435</v>
      </c>
      <c r="I61" s="93">
        <v>68</v>
      </c>
      <c r="J61" s="99">
        <v>29580</v>
      </c>
      <c r="K61" s="93">
        <v>1</v>
      </c>
    </row>
    <row r="62" spans="1:11" ht="21" x14ac:dyDescent="0.25">
      <c r="A62" s="88" t="s">
        <v>194</v>
      </c>
      <c r="B62" s="94">
        <v>0.73317129629629629</v>
      </c>
      <c r="C62" s="95">
        <v>436</v>
      </c>
      <c r="D62" s="90">
        <v>-1.25</v>
      </c>
      <c r="E62" s="90">
        <v>441.5</v>
      </c>
      <c r="F62" s="90">
        <v>439.8</v>
      </c>
      <c r="G62" s="90">
        <v>439.8</v>
      </c>
      <c r="H62" s="90">
        <v>436</v>
      </c>
      <c r="I62" s="90">
        <v>746</v>
      </c>
      <c r="J62" s="96">
        <v>325145</v>
      </c>
      <c r="K62" s="90">
        <v>5</v>
      </c>
    </row>
    <row r="63" spans="1:11" ht="21" x14ac:dyDescent="0.25">
      <c r="A63" s="91" t="s">
        <v>195</v>
      </c>
      <c r="B63" s="97">
        <v>0.73313657407407407</v>
      </c>
      <c r="C63" s="98">
        <v>434.2</v>
      </c>
      <c r="D63" s="93">
        <v>-1.93</v>
      </c>
      <c r="E63" s="93">
        <v>442.75</v>
      </c>
      <c r="F63" s="93">
        <v>445</v>
      </c>
      <c r="G63" s="93">
        <v>445.9</v>
      </c>
      <c r="H63" s="93">
        <v>432</v>
      </c>
      <c r="I63" s="99">
        <v>26152</v>
      </c>
      <c r="J63" s="99">
        <v>11480598</v>
      </c>
      <c r="K63" s="93">
        <v>448</v>
      </c>
    </row>
    <row r="64" spans="1:11" ht="21" x14ac:dyDescent="0.25">
      <c r="A64" s="88" t="s">
        <v>196</v>
      </c>
      <c r="B64" s="94">
        <v>0.73317129629629629</v>
      </c>
      <c r="C64" s="95">
        <v>45.2</v>
      </c>
      <c r="D64" s="90">
        <v>3.2</v>
      </c>
      <c r="E64" s="90">
        <v>43.8</v>
      </c>
      <c r="F64" s="90">
        <v>44.95</v>
      </c>
      <c r="G64" s="90">
        <v>45.25</v>
      </c>
      <c r="H64" s="90">
        <v>44.6</v>
      </c>
      <c r="I64" s="96">
        <v>22518</v>
      </c>
      <c r="J64" s="96">
        <v>1008087</v>
      </c>
      <c r="K64" s="90">
        <v>11</v>
      </c>
    </row>
    <row r="65" spans="1:11" ht="21" x14ac:dyDescent="0.25">
      <c r="A65" s="91" t="s">
        <v>197</v>
      </c>
      <c r="B65" s="97">
        <v>0.73317129629629629</v>
      </c>
      <c r="C65" s="98">
        <v>45</v>
      </c>
      <c r="D65" s="93">
        <v>3.69</v>
      </c>
      <c r="E65" s="93">
        <v>43.4</v>
      </c>
      <c r="F65" s="93">
        <v>44.3</v>
      </c>
      <c r="G65" s="93">
        <v>45.95</v>
      </c>
      <c r="H65" s="93">
        <v>44.3</v>
      </c>
      <c r="I65" s="99">
        <v>11639</v>
      </c>
      <c r="J65" s="99">
        <v>519683</v>
      </c>
      <c r="K65" s="93">
        <v>13</v>
      </c>
    </row>
    <row r="66" spans="1:11" ht="21" x14ac:dyDescent="0.25">
      <c r="A66" s="88" t="s">
        <v>198</v>
      </c>
      <c r="B66" s="94">
        <v>0.73313657407407407</v>
      </c>
      <c r="C66" s="95">
        <v>45.35</v>
      </c>
      <c r="D66" s="90">
        <v>3.9</v>
      </c>
      <c r="E66" s="90">
        <v>43.65</v>
      </c>
      <c r="F66" s="90">
        <v>44</v>
      </c>
      <c r="G66" s="90">
        <v>45.5</v>
      </c>
      <c r="H66" s="90">
        <v>44</v>
      </c>
      <c r="I66" s="96">
        <v>1730319</v>
      </c>
      <c r="J66" s="96">
        <v>77828608</v>
      </c>
      <c r="K66" s="96">
        <v>1312</v>
      </c>
    </row>
    <row r="67" spans="1:11" ht="21" x14ac:dyDescent="0.25">
      <c r="A67" s="91" t="s">
        <v>199</v>
      </c>
      <c r="B67" s="97">
        <v>0.73313657407407407</v>
      </c>
      <c r="C67" s="98">
        <v>98.85</v>
      </c>
      <c r="D67" s="93">
        <v>4.16</v>
      </c>
      <c r="E67" s="93">
        <v>94.9</v>
      </c>
      <c r="F67" s="93">
        <v>95.5</v>
      </c>
      <c r="G67" s="93">
        <v>99</v>
      </c>
      <c r="H67" s="93">
        <v>95.5</v>
      </c>
      <c r="I67" s="99">
        <v>254759</v>
      </c>
      <c r="J67" s="99">
        <v>24782149</v>
      </c>
      <c r="K67" s="93">
        <v>605</v>
      </c>
    </row>
    <row r="68" spans="1:11" ht="21" x14ac:dyDescent="0.25">
      <c r="A68" s="88" t="s">
        <v>200</v>
      </c>
      <c r="B68" s="94">
        <v>0.73317129629629629</v>
      </c>
      <c r="C68" s="95">
        <v>97</v>
      </c>
      <c r="D68" s="90">
        <v>3.19</v>
      </c>
      <c r="E68" s="90">
        <v>94</v>
      </c>
      <c r="F68" s="90">
        <v>96</v>
      </c>
      <c r="G68" s="90">
        <v>97</v>
      </c>
      <c r="H68" s="90">
        <v>96</v>
      </c>
      <c r="I68" s="90">
        <v>800</v>
      </c>
      <c r="J68" s="96">
        <v>77100</v>
      </c>
      <c r="K68" s="90">
        <v>2</v>
      </c>
    </row>
    <row r="69" spans="1:11" ht="21" x14ac:dyDescent="0.25">
      <c r="A69" s="91" t="s">
        <v>201</v>
      </c>
      <c r="B69" s="97">
        <v>0.73314814814814822</v>
      </c>
      <c r="C69" s="98">
        <v>133.15</v>
      </c>
      <c r="D69" s="93">
        <v>2.98</v>
      </c>
      <c r="E69" s="93">
        <v>129.30000000000001</v>
      </c>
      <c r="F69" s="93">
        <v>129.5</v>
      </c>
      <c r="G69" s="93">
        <v>133.5</v>
      </c>
      <c r="H69" s="93">
        <v>127.5</v>
      </c>
      <c r="I69" s="99">
        <v>75029</v>
      </c>
      <c r="J69" s="99">
        <v>9746969</v>
      </c>
      <c r="K69" s="93">
        <v>247</v>
      </c>
    </row>
    <row r="70" spans="1:11" ht="21" x14ac:dyDescent="0.25">
      <c r="A70" s="88" t="s">
        <v>202</v>
      </c>
      <c r="B70" s="94">
        <v>0.73317129629629629</v>
      </c>
      <c r="C70" s="95">
        <v>132</v>
      </c>
      <c r="D70" s="90">
        <v>1.54</v>
      </c>
      <c r="E70" s="90">
        <v>130</v>
      </c>
      <c r="F70" s="90">
        <v>132</v>
      </c>
      <c r="G70" s="90">
        <v>132</v>
      </c>
      <c r="H70" s="90">
        <v>132</v>
      </c>
      <c r="I70" s="90">
        <v>100</v>
      </c>
      <c r="J70" s="96">
        <v>13200</v>
      </c>
      <c r="K70" s="90">
        <v>2</v>
      </c>
    </row>
    <row r="71" spans="1:11" ht="21" x14ac:dyDescent="0.25">
      <c r="A71" s="91" t="s">
        <v>203</v>
      </c>
      <c r="B71" s="97">
        <v>0.73317129629629629</v>
      </c>
      <c r="C71" s="98">
        <v>130</v>
      </c>
      <c r="D71" s="93">
        <v>0.39</v>
      </c>
      <c r="E71" s="93">
        <v>129.5</v>
      </c>
      <c r="F71" s="93">
        <v>130</v>
      </c>
      <c r="G71" s="93">
        <v>130</v>
      </c>
      <c r="H71" s="93">
        <v>130</v>
      </c>
      <c r="I71" s="93">
        <v>30</v>
      </c>
      <c r="J71" s="99">
        <v>3900</v>
      </c>
      <c r="K71" s="93">
        <v>1</v>
      </c>
    </row>
    <row r="72" spans="1:11" ht="21" x14ac:dyDescent="0.25">
      <c r="A72" s="88" t="s">
        <v>204</v>
      </c>
      <c r="B72" s="94">
        <v>0.73314814814814822</v>
      </c>
      <c r="C72" s="95">
        <v>107</v>
      </c>
      <c r="D72" s="90">
        <v>-0.14000000000000001</v>
      </c>
      <c r="E72" s="90">
        <v>107.15</v>
      </c>
      <c r="F72" s="90">
        <v>107.25</v>
      </c>
      <c r="G72" s="90">
        <v>108</v>
      </c>
      <c r="H72" s="90">
        <v>106.3</v>
      </c>
      <c r="I72" s="96">
        <v>142058</v>
      </c>
      <c r="J72" s="96">
        <v>15225877</v>
      </c>
      <c r="K72" s="90">
        <v>197</v>
      </c>
    </row>
    <row r="73" spans="1:11" ht="21" x14ac:dyDescent="0.25">
      <c r="A73" s="91" t="s">
        <v>205</v>
      </c>
      <c r="B73" s="97">
        <v>0.69682870370370376</v>
      </c>
      <c r="C73" s="98">
        <v>107.25</v>
      </c>
      <c r="D73" s="93">
        <v>2.14</v>
      </c>
      <c r="E73" s="93">
        <v>105</v>
      </c>
      <c r="F73" s="93">
        <v>107.35</v>
      </c>
      <c r="G73" s="93">
        <v>107.35</v>
      </c>
      <c r="H73" s="93">
        <v>107.15</v>
      </c>
      <c r="I73" s="93">
        <v>120</v>
      </c>
      <c r="J73" s="99">
        <v>12872</v>
      </c>
      <c r="K73" s="93">
        <v>4</v>
      </c>
    </row>
    <row r="74" spans="1:11" ht="21" x14ac:dyDescent="0.25">
      <c r="A74" s="88" t="s">
        <v>206</v>
      </c>
      <c r="B74" s="94">
        <v>0.73317129629629629</v>
      </c>
      <c r="C74" s="95">
        <v>107</v>
      </c>
      <c r="D74" s="90">
        <v>1.86</v>
      </c>
      <c r="E74" s="90">
        <v>105.05</v>
      </c>
      <c r="F74" s="90">
        <v>107</v>
      </c>
      <c r="G74" s="90">
        <v>108</v>
      </c>
      <c r="H74" s="90">
        <v>107</v>
      </c>
      <c r="I74" s="96">
        <v>28493</v>
      </c>
      <c r="J74" s="96">
        <v>3048851</v>
      </c>
      <c r="K74" s="90">
        <v>5</v>
      </c>
    </row>
    <row r="75" spans="1:11" ht="21" x14ac:dyDescent="0.25">
      <c r="A75" s="91" t="s">
        <v>207</v>
      </c>
      <c r="B75" s="97">
        <v>0.73317129629629629</v>
      </c>
      <c r="C75" s="98">
        <v>57.2</v>
      </c>
      <c r="D75" s="93">
        <v>7.42</v>
      </c>
      <c r="E75" s="93">
        <v>53.25</v>
      </c>
      <c r="F75" s="93">
        <v>57.2</v>
      </c>
      <c r="G75" s="93">
        <v>57.2</v>
      </c>
      <c r="H75" s="93">
        <v>57.2</v>
      </c>
      <c r="I75" s="93">
        <v>2</v>
      </c>
      <c r="J75" s="93">
        <v>114</v>
      </c>
      <c r="K75" s="93">
        <v>1</v>
      </c>
    </row>
    <row r="76" spans="1:11" ht="21" x14ac:dyDescent="0.25">
      <c r="A76" s="88" t="s">
        <v>208</v>
      </c>
      <c r="B76" s="94">
        <v>0.73317129629629629</v>
      </c>
      <c r="C76" s="95">
        <v>56.55</v>
      </c>
      <c r="D76" s="90">
        <v>3.76</v>
      </c>
      <c r="E76" s="90">
        <v>54.5</v>
      </c>
      <c r="F76" s="90">
        <v>56.1</v>
      </c>
      <c r="G76" s="90">
        <v>56.6</v>
      </c>
      <c r="H76" s="90">
        <v>56.1</v>
      </c>
      <c r="I76" s="90">
        <v>900</v>
      </c>
      <c r="J76" s="96">
        <v>50830</v>
      </c>
      <c r="K76" s="90">
        <v>5</v>
      </c>
    </row>
    <row r="77" spans="1:11" ht="21" x14ac:dyDescent="0.25">
      <c r="A77" s="91" t="s">
        <v>209</v>
      </c>
      <c r="B77" s="97">
        <v>0.73314814814814822</v>
      </c>
      <c r="C77" s="98">
        <v>57.05</v>
      </c>
      <c r="D77" s="93">
        <v>3.82</v>
      </c>
      <c r="E77" s="93">
        <v>54.95</v>
      </c>
      <c r="F77" s="93">
        <v>55.1</v>
      </c>
      <c r="G77" s="93">
        <v>58.5</v>
      </c>
      <c r="H77" s="93">
        <v>55.1</v>
      </c>
      <c r="I77" s="99">
        <v>333490</v>
      </c>
      <c r="J77" s="99">
        <v>19008041</v>
      </c>
      <c r="K77" s="93">
        <v>445</v>
      </c>
    </row>
    <row r="78" spans="1:11" ht="21" x14ac:dyDescent="0.25">
      <c r="A78" s="88" t="s">
        <v>210</v>
      </c>
      <c r="B78" s="94">
        <v>0.73317129629629629</v>
      </c>
      <c r="C78" s="95">
        <v>70.650000000000006</v>
      </c>
      <c r="D78" s="90">
        <v>0.93</v>
      </c>
      <c r="E78" s="90">
        <v>70</v>
      </c>
      <c r="F78" s="90">
        <v>70.650000000000006</v>
      </c>
      <c r="G78" s="90">
        <v>70.650000000000006</v>
      </c>
      <c r="H78" s="90">
        <v>70.650000000000006</v>
      </c>
      <c r="I78" s="90">
        <v>360</v>
      </c>
      <c r="J78" s="96">
        <v>25434</v>
      </c>
      <c r="K78" s="90">
        <v>1</v>
      </c>
    </row>
    <row r="79" spans="1:11" ht="21" x14ac:dyDescent="0.25">
      <c r="A79" s="91" t="s">
        <v>211</v>
      </c>
      <c r="B79" s="97">
        <v>0.73314814814814822</v>
      </c>
      <c r="C79" s="98">
        <v>71.599999999999994</v>
      </c>
      <c r="D79" s="93">
        <v>3.77</v>
      </c>
      <c r="E79" s="93">
        <v>69</v>
      </c>
      <c r="F79" s="93">
        <v>69.55</v>
      </c>
      <c r="G79" s="93">
        <v>72</v>
      </c>
      <c r="H79" s="93">
        <v>69.2</v>
      </c>
      <c r="I79" s="99">
        <v>121577</v>
      </c>
      <c r="J79" s="99">
        <v>8608680</v>
      </c>
      <c r="K79" s="93">
        <v>291</v>
      </c>
    </row>
    <row r="80" spans="1:11" ht="21" x14ac:dyDescent="0.25">
      <c r="A80" s="88" t="s">
        <v>212</v>
      </c>
      <c r="B80" s="94">
        <v>0.73317129629629629</v>
      </c>
      <c r="C80" s="95">
        <v>70.45</v>
      </c>
      <c r="D80" s="90">
        <v>2.25</v>
      </c>
      <c r="E80" s="90">
        <v>68.900000000000006</v>
      </c>
      <c r="F80" s="90">
        <v>70.45</v>
      </c>
      <c r="G80" s="90">
        <v>70.45</v>
      </c>
      <c r="H80" s="90">
        <v>70.45</v>
      </c>
      <c r="I80" s="90">
        <v>141</v>
      </c>
      <c r="J80" s="96">
        <v>9933</v>
      </c>
      <c r="K80" s="90">
        <v>2</v>
      </c>
    </row>
    <row r="81" spans="1:11" ht="21" x14ac:dyDescent="0.25">
      <c r="A81" s="91" t="s">
        <v>213</v>
      </c>
      <c r="B81" s="97">
        <v>0.73317129629629629</v>
      </c>
      <c r="C81" s="98">
        <v>40.9</v>
      </c>
      <c r="D81" s="93">
        <v>3.94</v>
      </c>
      <c r="E81" s="93">
        <v>39.35</v>
      </c>
      <c r="F81" s="93">
        <v>41.3</v>
      </c>
      <c r="G81" s="93">
        <v>41.3</v>
      </c>
      <c r="H81" s="93">
        <v>40.9</v>
      </c>
      <c r="I81" s="99">
        <v>1720</v>
      </c>
      <c r="J81" s="99">
        <v>70702</v>
      </c>
      <c r="K81" s="93">
        <v>6</v>
      </c>
    </row>
    <row r="82" spans="1:11" ht="21" x14ac:dyDescent="0.25">
      <c r="A82" s="88" t="s">
        <v>214</v>
      </c>
      <c r="B82" s="94">
        <v>0.73314814814814822</v>
      </c>
      <c r="C82" s="95">
        <v>40.85</v>
      </c>
      <c r="D82" s="90">
        <v>-0.12</v>
      </c>
      <c r="E82" s="90">
        <v>40.9</v>
      </c>
      <c r="F82" s="90">
        <v>40.25</v>
      </c>
      <c r="G82" s="90">
        <v>41.5</v>
      </c>
      <c r="H82" s="90">
        <v>40.25</v>
      </c>
      <c r="I82" s="96">
        <v>443481</v>
      </c>
      <c r="J82" s="96">
        <v>18277651</v>
      </c>
      <c r="K82" s="90">
        <v>374</v>
      </c>
    </row>
    <row r="83" spans="1:11" ht="21" x14ac:dyDescent="0.25">
      <c r="A83" s="91" t="s">
        <v>215</v>
      </c>
      <c r="B83" s="97">
        <v>0.73317129629629629</v>
      </c>
      <c r="C83" s="98">
        <v>41.1</v>
      </c>
      <c r="D83" s="93">
        <v>0.24</v>
      </c>
      <c r="E83" s="93">
        <v>41</v>
      </c>
      <c r="F83" s="93">
        <v>41.45</v>
      </c>
      <c r="G83" s="93">
        <v>41.45</v>
      </c>
      <c r="H83" s="93">
        <v>41.1</v>
      </c>
      <c r="I83" s="93">
        <v>440</v>
      </c>
      <c r="J83" s="99">
        <v>18119</v>
      </c>
      <c r="K83" s="93">
        <v>2</v>
      </c>
    </row>
    <row r="84" spans="1:11" x14ac:dyDescent="0.25">
      <c r="A84" s="88" t="s">
        <v>216</v>
      </c>
      <c r="B84" s="94">
        <v>0.73317129629629629</v>
      </c>
      <c r="C84" s="95">
        <v>246.05</v>
      </c>
      <c r="D84" s="90">
        <v>-0.79</v>
      </c>
      <c r="E84" s="90">
        <v>248</v>
      </c>
      <c r="F84" s="90">
        <v>245.5</v>
      </c>
      <c r="G84" s="90">
        <v>248</v>
      </c>
      <c r="H84" s="90">
        <v>244</v>
      </c>
      <c r="I84" s="96">
        <v>8955</v>
      </c>
      <c r="J84" s="96">
        <v>2201566</v>
      </c>
      <c r="K84" s="90">
        <v>23</v>
      </c>
    </row>
    <row r="85" spans="1:11" x14ac:dyDescent="0.25">
      <c r="A85" s="91" t="s">
        <v>217</v>
      </c>
      <c r="B85" s="97">
        <v>0.73317129629629629</v>
      </c>
      <c r="C85" s="98">
        <v>248</v>
      </c>
      <c r="D85" s="93">
        <v>-0.3</v>
      </c>
      <c r="E85" s="93">
        <v>248.75</v>
      </c>
      <c r="F85" s="93">
        <v>247.5</v>
      </c>
      <c r="G85" s="93">
        <v>248</v>
      </c>
      <c r="H85" s="93">
        <v>247.5</v>
      </c>
      <c r="I85" s="99">
        <v>3992</v>
      </c>
      <c r="J85" s="99">
        <v>989925</v>
      </c>
      <c r="K85" s="93">
        <v>6</v>
      </c>
    </row>
    <row r="86" spans="1:11" x14ac:dyDescent="0.25">
      <c r="A86" s="88" t="s">
        <v>218</v>
      </c>
      <c r="B86" s="94">
        <v>0.73314814814814822</v>
      </c>
      <c r="C86" s="95">
        <v>247</v>
      </c>
      <c r="D86" s="90">
        <v>-0.68</v>
      </c>
      <c r="E86" s="90">
        <v>248.7</v>
      </c>
      <c r="F86" s="90">
        <v>248.95</v>
      </c>
      <c r="G86" s="90">
        <v>249</v>
      </c>
      <c r="H86" s="90">
        <v>245.95</v>
      </c>
      <c r="I86" s="96">
        <v>119009</v>
      </c>
      <c r="J86" s="96">
        <v>29349068</v>
      </c>
      <c r="K86" s="90">
        <v>417</v>
      </c>
    </row>
    <row r="87" spans="1:11" ht="21" x14ac:dyDescent="0.25">
      <c r="A87" s="91" t="s">
        <v>219</v>
      </c>
      <c r="B87" s="97">
        <v>0.73314814814814822</v>
      </c>
      <c r="C87" s="98">
        <v>389.25</v>
      </c>
      <c r="D87" s="93">
        <v>1.17</v>
      </c>
      <c r="E87" s="93">
        <v>384.75</v>
      </c>
      <c r="F87" s="93">
        <v>386.5</v>
      </c>
      <c r="G87" s="93">
        <v>395</v>
      </c>
      <c r="H87" s="93">
        <v>385</v>
      </c>
      <c r="I87" s="99">
        <v>183287</v>
      </c>
      <c r="J87" s="99">
        <v>71081925</v>
      </c>
      <c r="K87" s="93">
        <v>599</v>
      </c>
    </row>
    <row r="88" spans="1:11" ht="21" x14ac:dyDescent="0.25">
      <c r="A88" s="88" t="s">
        <v>220</v>
      </c>
      <c r="B88" s="94">
        <v>0.65026620370370369</v>
      </c>
      <c r="C88" s="95">
        <v>386</v>
      </c>
      <c r="D88" s="90">
        <v>1.0900000000000001</v>
      </c>
      <c r="E88" s="90">
        <v>381.85</v>
      </c>
      <c r="F88" s="90">
        <v>386</v>
      </c>
      <c r="G88" s="90">
        <v>386</v>
      </c>
      <c r="H88" s="90">
        <v>386</v>
      </c>
      <c r="I88" s="90">
        <v>150</v>
      </c>
      <c r="J88" s="96">
        <v>57900</v>
      </c>
      <c r="K88" s="90">
        <v>1</v>
      </c>
    </row>
    <row r="89" spans="1:11" ht="21" x14ac:dyDescent="0.25">
      <c r="A89" s="91" t="s">
        <v>221</v>
      </c>
      <c r="B89" s="97">
        <v>0.73317129629629629</v>
      </c>
      <c r="C89" s="98">
        <v>385.65</v>
      </c>
      <c r="D89" s="93">
        <v>0.35</v>
      </c>
      <c r="E89" s="93">
        <v>384.3</v>
      </c>
      <c r="F89" s="93">
        <v>387</v>
      </c>
      <c r="G89" s="93">
        <v>388</v>
      </c>
      <c r="H89" s="93">
        <v>385</v>
      </c>
      <c r="I89" s="93">
        <v>693</v>
      </c>
      <c r="J89" s="99">
        <v>267611</v>
      </c>
      <c r="K89" s="93">
        <v>9</v>
      </c>
    </row>
    <row r="90" spans="1:11" x14ac:dyDescent="0.25">
      <c r="A90" s="84"/>
      <c r="B90"/>
      <c r="C90"/>
      <c r="D90"/>
      <c r="E90"/>
      <c r="F90"/>
      <c r="G90"/>
      <c r="H90"/>
      <c r="I90"/>
      <c r="J90"/>
      <c r="K90"/>
    </row>
    <row r="91" spans="1:11" x14ac:dyDescent="0.25">
      <c r="A91"/>
      <c r="B91"/>
      <c r="C91"/>
      <c r="D91"/>
      <c r="E91"/>
      <c r="F91"/>
      <c r="G91"/>
      <c r="H91"/>
      <c r="I91"/>
      <c r="J91"/>
      <c r="K91"/>
    </row>
    <row r="92" spans="1:11" x14ac:dyDescent="0.25">
      <c r="A92" s="85" t="s">
        <v>222</v>
      </c>
      <c r="B92"/>
      <c r="C92"/>
      <c r="D92"/>
      <c r="E92"/>
      <c r="F92"/>
      <c r="G92"/>
      <c r="H92"/>
      <c r="I92"/>
      <c r="J92"/>
      <c r="K92"/>
    </row>
    <row r="93" spans="1:11" x14ac:dyDescent="0.25">
      <c r="A93" s="84"/>
      <c r="B93"/>
      <c r="C93"/>
      <c r="D93"/>
      <c r="E93"/>
      <c r="F93"/>
      <c r="G93"/>
      <c r="H93"/>
      <c r="I93"/>
      <c r="J93"/>
      <c r="K93"/>
    </row>
    <row r="94" spans="1:11" x14ac:dyDescent="0.25">
      <c r="A94"/>
      <c r="B94"/>
      <c r="C94"/>
      <c r="D94"/>
      <c r="E94"/>
      <c r="F94"/>
      <c r="G94"/>
      <c r="H94"/>
      <c r="I94"/>
      <c r="J94"/>
      <c r="K94"/>
    </row>
    <row r="95" spans="1:11" ht="21" x14ac:dyDescent="0.25">
      <c r="A95" s="87" t="s">
        <v>145</v>
      </c>
      <c r="B95" s="87" t="s">
        <v>146</v>
      </c>
      <c r="C95" s="87" t="s">
        <v>133</v>
      </c>
      <c r="D95" s="87" t="s">
        <v>134</v>
      </c>
      <c r="E95" s="87" t="s">
        <v>135</v>
      </c>
      <c r="F95" s="87" t="s">
        <v>136</v>
      </c>
      <c r="G95" s="87" t="s">
        <v>137</v>
      </c>
      <c r="H95" s="87" t="s">
        <v>138</v>
      </c>
      <c r="I95" s="87" t="s">
        <v>147</v>
      </c>
      <c r="J95" s="87" t="s">
        <v>148</v>
      </c>
      <c r="K95" s="87" t="s">
        <v>149</v>
      </c>
    </row>
    <row r="96" spans="1:11" ht="21" x14ac:dyDescent="0.25">
      <c r="A96" s="88" t="s">
        <v>223</v>
      </c>
      <c r="B96" s="94">
        <v>0.73317129629629629</v>
      </c>
      <c r="C96" s="95">
        <v>7.61</v>
      </c>
      <c r="D96" s="90">
        <v>1.87</v>
      </c>
      <c r="E96" s="90">
        <v>7.47</v>
      </c>
      <c r="F96" s="90">
        <v>7.61</v>
      </c>
      <c r="G96" s="90">
        <v>7.61</v>
      </c>
      <c r="H96" s="90">
        <v>7.61</v>
      </c>
      <c r="I96" s="96">
        <v>4100</v>
      </c>
      <c r="J96" s="96">
        <v>31201</v>
      </c>
      <c r="K96" s="90">
        <v>1</v>
      </c>
    </row>
    <row r="97" spans="1:11" ht="21" x14ac:dyDescent="0.25">
      <c r="A97" s="91" t="s">
        <v>224</v>
      </c>
      <c r="B97" s="97">
        <v>0.73313657407407407</v>
      </c>
      <c r="C97" s="98">
        <v>7.58</v>
      </c>
      <c r="D97" s="93">
        <v>1.2</v>
      </c>
      <c r="E97" s="93">
        <v>7.49</v>
      </c>
      <c r="F97" s="93">
        <v>7.58</v>
      </c>
      <c r="G97" s="93">
        <v>7.68</v>
      </c>
      <c r="H97" s="93">
        <v>7.5</v>
      </c>
      <c r="I97" s="99">
        <v>443278</v>
      </c>
      <c r="J97" s="99">
        <v>3367554</v>
      </c>
      <c r="K97" s="93">
        <v>156</v>
      </c>
    </row>
    <row r="98" spans="1:11" ht="21" x14ac:dyDescent="0.25">
      <c r="A98" s="88" t="s">
        <v>225</v>
      </c>
      <c r="B98" s="94">
        <v>0.73313657407407407</v>
      </c>
      <c r="C98" s="95">
        <v>12.25</v>
      </c>
      <c r="D98" s="90">
        <v>0</v>
      </c>
      <c r="E98" s="90">
        <v>12.25</v>
      </c>
      <c r="F98" s="90">
        <v>12.3</v>
      </c>
      <c r="G98" s="90">
        <v>12.4</v>
      </c>
      <c r="H98" s="90">
        <v>11.9</v>
      </c>
      <c r="I98" s="96">
        <v>985350</v>
      </c>
      <c r="J98" s="96">
        <v>12003184</v>
      </c>
      <c r="K98" s="90">
        <v>557</v>
      </c>
    </row>
    <row r="99" spans="1:11" ht="21" x14ac:dyDescent="0.25">
      <c r="A99" s="91" t="s">
        <v>226</v>
      </c>
      <c r="B99" s="97">
        <v>0.70981481481481479</v>
      </c>
      <c r="C99" s="98">
        <v>12</v>
      </c>
      <c r="D99" s="93">
        <v>-0.83</v>
      </c>
      <c r="E99" s="93">
        <v>12.1</v>
      </c>
      <c r="F99" s="93">
        <v>12</v>
      </c>
      <c r="G99" s="93">
        <v>12</v>
      </c>
      <c r="H99" s="93">
        <v>12</v>
      </c>
      <c r="I99" s="99">
        <v>2000</v>
      </c>
      <c r="J99" s="99">
        <v>24000</v>
      </c>
      <c r="K99" s="93">
        <v>1</v>
      </c>
    </row>
    <row r="100" spans="1:11" ht="21" x14ac:dyDescent="0.25">
      <c r="A100" s="88" t="s">
        <v>227</v>
      </c>
      <c r="B100" s="94">
        <v>0.73317129629629629</v>
      </c>
      <c r="C100" s="95">
        <v>12.25</v>
      </c>
      <c r="D100" s="90">
        <v>2.5099999999999998</v>
      </c>
      <c r="E100" s="90">
        <v>11.95</v>
      </c>
      <c r="F100" s="90">
        <v>12.3</v>
      </c>
      <c r="G100" s="90">
        <v>12.3</v>
      </c>
      <c r="H100" s="90">
        <v>12.25</v>
      </c>
      <c r="I100" s="96">
        <v>4000</v>
      </c>
      <c r="J100" s="96">
        <v>49100</v>
      </c>
      <c r="K100" s="90">
        <v>3</v>
      </c>
    </row>
    <row r="101" spans="1:11" ht="21" x14ac:dyDescent="0.25">
      <c r="A101" s="91" t="s">
        <v>228</v>
      </c>
      <c r="B101" s="97">
        <v>0.73317129629629629</v>
      </c>
      <c r="C101" s="98">
        <v>44.9</v>
      </c>
      <c r="D101" s="93">
        <v>2.0499999999999998</v>
      </c>
      <c r="E101" s="93">
        <v>44</v>
      </c>
      <c r="F101" s="93">
        <v>44.65</v>
      </c>
      <c r="G101" s="93">
        <v>44.9</v>
      </c>
      <c r="H101" s="93">
        <v>44.65</v>
      </c>
      <c r="I101" s="93">
        <v>155</v>
      </c>
      <c r="J101" s="99">
        <v>6933</v>
      </c>
      <c r="K101" s="93">
        <v>2</v>
      </c>
    </row>
    <row r="102" spans="1:11" ht="21" x14ac:dyDescent="0.25">
      <c r="A102" s="88" t="s">
        <v>229</v>
      </c>
      <c r="B102" s="94">
        <v>0.73313657407407407</v>
      </c>
      <c r="C102" s="95">
        <v>45.5</v>
      </c>
      <c r="D102" s="90">
        <v>1.56</v>
      </c>
      <c r="E102" s="90">
        <v>44.8</v>
      </c>
      <c r="F102" s="90">
        <v>44.7</v>
      </c>
      <c r="G102" s="90">
        <v>45.5</v>
      </c>
      <c r="H102" s="90">
        <v>44.7</v>
      </c>
      <c r="I102" s="96">
        <v>22538</v>
      </c>
      <c r="J102" s="96">
        <v>1017449</v>
      </c>
      <c r="K102" s="90">
        <v>62</v>
      </c>
    </row>
    <row r="103" spans="1:11" ht="21" x14ac:dyDescent="0.25">
      <c r="A103" s="91" t="s">
        <v>230</v>
      </c>
      <c r="B103" s="97">
        <v>0.73313657407407407</v>
      </c>
      <c r="C103" s="98">
        <v>38</v>
      </c>
      <c r="D103" s="93">
        <v>0</v>
      </c>
      <c r="E103" s="93">
        <v>38</v>
      </c>
      <c r="F103" s="93">
        <v>38.700000000000003</v>
      </c>
      <c r="G103" s="93">
        <v>39.450000000000003</v>
      </c>
      <c r="H103" s="93">
        <v>38</v>
      </c>
      <c r="I103" s="99">
        <v>28554</v>
      </c>
      <c r="J103" s="99">
        <v>1109838</v>
      </c>
      <c r="K103" s="93">
        <v>85</v>
      </c>
    </row>
    <row r="104" spans="1:11" ht="21" x14ac:dyDescent="0.25">
      <c r="A104" s="88" t="s">
        <v>231</v>
      </c>
      <c r="B104" s="94">
        <v>0.73310185185185184</v>
      </c>
      <c r="C104" s="95">
        <v>179.9</v>
      </c>
      <c r="D104" s="90">
        <v>4.59</v>
      </c>
      <c r="E104" s="90">
        <v>172</v>
      </c>
      <c r="F104" s="90">
        <v>179.9</v>
      </c>
      <c r="G104" s="90">
        <v>179.9</v>
      </c>
      <c r="H104" s="90">
        <v>179.9</v>
      </c>
      <c r="I104" s="90">
        <v>60</v>
      </c>
      <c r="J104" s="96">
        <v>10794</v>
      </c>
      <c r="K104" s="90">
        <v>1</v>
      </c>
    </row>
    <row r="105" spans="1:11" ht="21" x14ac:dyDescent="0.25">
      <c r="A105" s="91" t="s">
        <v>232</v>
      </c>
      <c r="B105" s="97">
        <v>0.66712962962962974</v>
      </c>
      <c r="C105" s="98">
        <v>182.5</v>
      </c>
      <c r="D105" s="93">
        <v>2.5</v>
      </c>
      <c r="E105" s="93">
        <v>178.05</v>
      </c>
      <c r="F105" s="93">
        <v>179</v>
      </c>
      <c r="G105" s="93">
        <v>182.5</v>
      </c>
      <c r="H105" s="93">
        <v>179</v>
      </c>
      <c r="I105" s="99">
        <v>8144</v>
      </c>
      <c r="J105" s="99">
        <v>1477091</v>
      </c>
      <c r="K105" s="93">
        <v>12</v>
      </c>
    </row>
    <row r="106" spans="1:11" ht="21" x14ac:dyDescent="0.25">
      <c r="A106" s="88" t="s">
        <v>233</v>
      </c>
      <c r="B106" s="94">
        <v>0.73313657407407407</v>
      </c>
      <c r="C106" s="95">
        <v>182</v>
      </c>
      <c r="D106" s="90">
        <v>1.22</v>
      </c>
      <c r="E106" s="90">
        <v>179.8</v>
      </c>
      <c r="F106" s="90">
        <v>180</v>
      </c>
      <c r="G106" s="90">
        <v>185</v>
      </c>
      <c r="H106" s="90">
        <v>179.2</v>
      </c>
      <c r="I106" s="96">
        <v>239495</v>
      </c>
      <c r="J106" s="96">
        <v>43538087</v>
      </c>
      <c r="K106" s="90">
        <v>253</v>
      </c>
    </row>
    <row r="107" spans="1:11" ht="21" x14ac:dyDescent="0.25">
      <c r="A107" s="91" t="s">
        <v>234</v>
      </c>
      <c r="B107" s="97">
        <v>0.73313657407407407</v>
      </c>
      <c r="C107" s="98">
        <v>8.73</v>
      </c>
      <c r="D107" s="93">
        <v>0</v>
      </c>
      <c r="E107" s="93">
        <v>8.73</v>
      </c>
      <c r="F107" s="93">
        <v>8.5</v>
      </c>
      <c r="G107" s="93">
        <v>8.75</v>
      </c>
      <c r="H107" s="93">
        <v>8.5</v>
      </c>
      <c r="I107" s="99">
        <v>86058</v>
      </c>
      <c r="J107" s="99">
        <v>751533</v>
      </c>
      <c r="K107" s="93">
        <v>47</v>
      </c>
    </row>
    <row r="108" spans="1:11" ht="21" x14ac:dyDescent="0.25">
      <c r="A108" s="88" t="s">
        <v>235</v>
      </c>
      <c r="B108" s="94">
        <v>0.73317129629629629</v>
      </c>
      <c r="C108" s="95">
        <v>25.35</v>
      </c>
      <c r="D108" s="90">
        <v>8.8000000000000007</v>
      </c>
      <c r="E108" s="90">
        <v>23.3</v>
      </c>
      <c r="F108" s="90">
        <v>25.35</v>
      </c>
      <c r="G108" s="90">
        <v>25.35</v>
      </c>
      <c r="H108" s="90">
        <v>25.35</v>
      </c>
      <c r="I108" s="90">
        <v>300</v>
      </c>
      <c r="J108" s="96">
        <v>7605</v>
      </c>
      <c r="K108" s="90">
        <v>1</v>
      </c>
    </row>
    <row r="109" spans="1:11" ht="21" x14ac:dyDescent="0.25">
      <c r="A109" s="91" t="s">
        <v>236</v>
      </c>
      <c r="B109" s="97">
        <v>0.73313657407407407</v>
      </c>
      <c r="C109" s="98">
        <v>25.8</v>
      </c>
      <c r="D109" s="93">
        <v>7.28</v>
      </c>
      <c r="E109" s="93">
        <v>24.05</v>
      </c>
      <c r="F109" s="93">
        <v>24.1</v>
      </c>
      <c r="G109" s="93">
        <v>25.85</v>
      </c>
      <c r="H109" s="93">
        <v>24.1</v>
      </c>
      <c r="I109" s="99">
        <v>232573</v>
      </c>
      <c r="J109" s="99">
        <v>5902747</v>
      </c>
      <c r="K109" s="93">
        <v>304</v>
      </c>
    </row>
    <row r="110" spans="1:11" ht="21" x14ac:dyDescent="0.25">
      <c r="A110" s="88" t="s">
        <v>237</v>
      </c>
      <c r="B110" s="94">
        <v>0.73313657407407407</v>
      </c>
      <c r="C110" s="95">
        <v>74.25</v>
      </c>
      <c r="D110" s="90">
        <v>3.13</v>
      </c>
      <c r="E110" s="90">
        <v>72</v>
      </c>
      <c r="F110" s="90">
        <v>71</v>
      </c>
      <c r="G110" s="90">
        <v>75</v>
      </c>
      <c r="H110" s="90">
        <v>70.3</v>
      </c>
      <c r="I110" s="96">
        <v>67123</v>
      </c>
      <c r="J110" s="96">
        <v>4983257</v>
      </c>
      <c r="K110" s="90">
        <v>147</v>
      </c>
    </row>
    <row r="111" spans="1:11" ht="21" x14ac:dyDescent="0.25">
      <c r="A111" s="91" t="s">
        <v>238</v>
      </c>
      <c r="B111" s="97">
        <v>0.66700231481481476</v>
      </c>
      <c r="C111" s="98">
        <v>74</v>
      </c>
      <c r="D111" s="93">
        <v>0</v>
      </c>
      <c r="E111" s="93">
        <v>74</v>
      </c>
      <c r="F111" s="93">
        <v>74</v>
      </c>
      <c r="G111" s="93">
        <v>74</v>
      </c>
      <c r="H111" s="93">
        <v>74</v>
      </c>
      <c r="I111" s="99">
        <v>1000</v>
      </c>
      <c r="J111" s="99">
        <v>74000</v>
      </c>
      <c r="K111" s="93">
        <v>1</v>
      </c>
    </row>
    <row r="112" spans="1:11" ht="21" x14ac:dyDescent="0.25">
      <c r="A112" s="88" t="s">
        <v>239</v>
      </c>
      <c r="B112" s="94">
        <v>0.73313657407407407</v>
      </c>
      <c r="C112" s="95">
        <v>1.78</v>
      </c>
      <c r="D112" s="90">
        <v>3.49</v>
      </c>
      <c r="E112" s="90">
        <v>1.72</v>
      </c>
      <c r="F112" s="90">
        <v>1.73</v>
      </c>
      <c r="G112" s="90">
        <v>1.8</v>
      </c>
      <c r="H112" s="90">
        <v>1.72</v>
      </c>
      <c r="I112" s="96">
        <v>670996</v>
      </c>
      <c r="J112" s="96">
        <v>1189275</v>
      </c>
      <c r="K112" s="90">
        <v>124</v>
      </c>
    </row>
    <row r="113" spans="1:11" ht="21" x14ac:dyDescent="0.25">
      <c r="A113" s="91" t="s">
        <v>240</v>
      </c>
      <c r="B113" s="97">
        <v>0.73313657407407407</v>
      </c>
      <c r="C113" s="98">
        <v>14.25</v>
      </c>
      <c r="D113" s="93">
        <v>2.52</v>
      </c>
      <c r="E113" s="93">
        <v>13.9</v>
      </c>
      <c r="F113" s="93">
        <v>14</v>
      </c>
      <c r="G113" s="93">
        <v>14.85</v>
      </c>
      <c r="H113" s="93">
        <v>13.9</v>
      </c>
      <c r="I113" s="99">
        <v>1095610</v>
      </c>
      <c r="J113" s="99">
        <v>15806254</v>
      </c>
      <c r="K113" s="93">
        <v>849</v>
      </c>
    </row>
    <row r="114" spans="1:11" ht="21" x14ac:dyDescent="0.25">
      <c r="A114" s="88" t="s">
        <v>241</v>
      </c>
      <c r="B114" s="94">
        <v>0.73317129629629629</v>
      </c>
      <c r="C114" s="95">
        <v>14.2</v>
      </c>
      <c r="D114" s="90">
        <v>7.17</v>
      </c>
      <c r="E114" s="90">
        <v>13.25</v>
      </c>
      <c r="F114" s="90">
        <v>14</v>
      </c>
      <c r="G114" s="90">
        <v>14.7</v>
      </c>
      <c r="H114" s="90">
        <v>14</v>
      </c>
      <c r="I114" s="96">
        <v>8450</v>
      </c>
      <c r="J114" s="96">
        <v>120896</v>
      </c>
      <c r="K114" s="90">
        <v>8</v>
      </c>
    </row>
    <row r="115" spans="1:11" ht="21" x14ac:dyDescent="0.25">
      <c r="A115" s="91" t="s">
        <v>242</v>
      </c>
      <c r="B115" s="97">
        <v>0.73317129629629629</v>
      </c>
      <c r="C115" s="98">
        <v>14</v>
      </c>
      <c r="D115" s="93">
        <v>10.24</v>
      </c>
      <c r="E115" s="93">
        <v>12.7</v>
      </c>
      <c r="F115" s="93">
        <v>14</v>
      </c>
      <c r="G115" s="93">
        <v>14</v>
      </c>
      <c r="H115" s="93">
        <v>14</v>
      </c>
      <c r="I115" s="93">
        <v>800</v>
      </c>
      <c r="J115" s="99">
        <v>11200</v>
      </c>
      <c r="K115" s="93">
        <v>1</v>
      </c>
    </row>
    <row r="116" spans="1:11" ht="21" x14ac:dyDescent="0.25">
      <c r="A116" s="88" t="s">
        <v>243</v>
      </c>
      <c r="B116" s="94">
        <v>0.73313657407407407</v>
      </c>
      <c r="C116" s="95">
        <v>31.9</v>
      </c>
      <c r="D116" s="90">
        <v>0</v>
      </c>
      <c r="E116" s="90">
        <v>31.9</v>
      </c>
      <c r="F116" s="90">
        <v>31.9</v>
      </c>
      <c r="G116" s="90">
        <v>32.200000000000003</v>
      </c>
      <c r="H116" s="90">
        <v>31.5</v>
      </c>
      <c r="I116" s="96">
        <v>48977</v>
      </c>
      <c r="J116" s="96">
        <v>1557728</v>
      </c>
      <c r="K116" s="90">
        <v>81</v>
      </c>
    </row>
    <row r="117" spans="1:11" ht="21" x14ac:dyDescent="0.25">
      <c r="A117" s="91" t="s">
        <v>244</v>
      </c>
      <c r="B117" s="97">
        <v>0.73313657407407407</v>
      </c>
      <c r="C117" s="98">
        <v>15.6</v>
      </c>
      <c r="D117" s="93">
        <v>2.2999999999999998</v>
      </c>
      <c r="E117" s="93">
        <v>15.25</v>
      </c>
      <c r="F117" s="93">
        <v>15.1</v>
      </c>
      <c r="G117" s="93">
        <v>16.3</v>
      </c>
      <c r="H117" s="93">
        <v>15.1</v>
      </c>
      <c r="I117" s="99">
        <v>22285</v>
      </c>
      <c r="J117" s="99">
        <v>351614</v>
      </c>
      <c r="K117" s="93">
        <v>32</v>
      </c>
    </row>
    <row r="118" spans="1:11" x14ac:dyDescent="0.25">
      <c r="A118" s="88" t="s">
        <v>245</v>
      </c>
      <c r="B118" s="94">
        <v>0.73315972222222225</v>
      </c>
      <c r="C118" s="95">
        <v>408</v>
      </c>
      <c r="D118" s="90">
        <v>2</v>
      </c>
      <c r="E118" s="90">
        <v>400</v>
      </c>
      <c r="F118" s="90">
        <v>400</v>
      </c>
      <c r="G118" s="90">
        <v>412.5</v>
      </c>
      <c r="H118" s="90">
        <v>397</v>
      </c>
      <c r="I118" s="96">
        <v>22125</v>
      </c>
      <c r="J118" s="96">
        <v>9031098</v>
      </c>
      <c r="K118" s="90">
        <v>143</v>
      </c>
    </row>
    <row r="119" spans="1:11" ht="21" x14ac:dyDescent="0.25">
      <c r="A119" s="91" t="s">
        <v>246</v>
      </c>
      <c r="B119" s="97">
        <v>0.73315972222222225</v>
      </c>
      <c r="C119" s="98">
        <v>402</v>
      </c>
      <c r="D119" s="93">
        <v>-0.5</v>
      </c>
      <c r="E119" s="93">
        <v>404</v>
      </c>
      <c r="F119" s="93">
        <v>402</v>
      </c>
      <c r="G119" s="93">
        <v>402</v>
      </c>
      <c r="H119" s="93">
        <v>402</v>
      </c>
      <c r="I119" s="93">
        <v>11</v>
      </c>
      <c r="J119" s="99">
        <v>4422</v>
      </c>
      <c r="K119" s="93">
        <v>1</v>
      </c>
    </row>
    <row r="120" spans="1:11" ht="21" x14ac:dyDescent="0.25">
      <c r="A120" s="88" t="s">
        <v>247</v>
      </c>
      <c r="B120" s="94">
        <v>0.73313657407407407</v>
      </c>
      <c r="C120" s="95">
        <v>9.6999999999999993</v>
      </c>
      <c r="D120" s="90">
        <v>-2.02</v>
      </c>
      <c r="E120" s="90">
        <v>9.9</v>
      </c>
      <c r="F120" s="90">
        <v>9.6</v>
      </c>
      <c r="G120" s="90">
        <v>9.8000000000000007</v>
      </c>
      <c r="H120" s="90">
        <v>9.6</v>
      </c>
      <c r="I120" s="96">
        <v>3600</v>
      </c>
      <c r="J120" s="96">
        <v>34780</v>
      </c>
      <c r="K120" s="90">
        <v>4</v>
      </c>
    </row>
    <row r="121" spans="1:11" ht="21" x14ac:dyDescent="0.25">
      <c r="A121" s="91" t="s">
        <v>248</v>
      </c>
      <c r="B121" s="97">
        <v>0.66699074074074083</v>
      </c>
      <c r="C121" s="98">
        <v>36.5</v>
      </c>
      <c r="D121" s="93">
        <v>-1.08</v>
      </c>
      <c r="E121" s="93">
        <v>36.9</v>
      </c>
      <c r="F121" s="93">
        <v>36.5</v>
      </c>
      <c r="G121" s="93">
        <v>36.5</v>
      </c>
      <c r="H121" s="93">
        <v>36.5</v>
      </c>
      <c r="I121" s="99">
        <v>1120</v>
      </c>
      <c r="J121" s="99">
        <v>40880</v>
      </c>
      <c r="K121" s="93">
        <v>3</v>
      </c>
    </row>
    <row r="122" spans="1:11" ht="21" x14ac:dyDescent="0.25">
      <c r="A122" s="88" t="s">
        <v>249</v>
      </c>
      <c r="B122" s="94">
        <v>0.73317129629629629</v>
      </c>
      <c r="C122" s="95">
        <v>36.9</v>
      </c>
      <c r="D122" s="90">
        <v>-0.94</v>
      </c>
      <c r="E122" s="90">
        <v>37.25</v>
      </c>
      <c r="F122" s="90">
        <v>36.9</v>
      </c>
      <c r="G122" s="90">
        <v>36.9</v>
      </c>
      <c r="H122" s="90">
        <v>36.9</v>
      </c>
      <c r="I122" s="90">
        <v>157</v>
      </c>
      <c r="J122" s="96">
        <v>5793</v>
      </c>
      <c r="K122" s="90">
        <v>1</v>
      </c>
    </row>
    <row r="123" spans="1:11" ht="21" x14ac:dyDescent="0.25">
      <c r="A123" s="91" t="s">
        <v>250</v>
      </c>
      <c r="B123" s="97">
        <v>0.73313657407407407</v>
      </c>
      <c r="C123" s="98">
        <v>38</v>
      </c>
      <c r="D123" s="93">
        <v>2.7</v>
      </c>
      <c r="E123" s="93">
        <v>37</v>
      </c>
      <c r="F123" s="93">
        <v>36.9</v>
      </c>
      <c r="G123" s="93">
        <v>38</v>
      </c>
      <c r="H123" s="93">
        <v>36.75</v>
      </c>
      <c r="I123" s="99">
        <v>12428</v>
      </c>
      <c r="J123" s="99">
        <v>463840</v>
      </c>
      <c r="K123" s="93">
        <v>33</v>
      </c>
    </row>
    <row r="124" spans="1:11" ht="21" x14ac:dyDescent="0.25">
      <c r="A124" s="88" t="s">
        <v>251</v>
      </c>
      <c r="B124" s="94">
        <v>0.73313657407407407</v>
      </c>
      <c r="C124" s="95">
        <v>88</v>
      </c>
      <c r="D124" s="90">
        <v>0</v>
      </c>
      <c r="E124" s="90">
        <v>88</v>
      </c>
      <c r="F124" s="90">
        <v>85</v>
      </c>
      <c r="G124" s="90">
        <v>88</v>
      </c>
      <c r="H124" s="90">
        <v>85</v>
      </c>
      <c r="I124" s="96">
        <v>1992</v>
      </c>
      <c r="J124" s="96">
        <v>170124</v>
      </c>
      <c r="K124" s="90">
        <v>12</v>
      </c>
    </row>
    <row r="125" spans="1:11" ht="21" x14ac:dyDescent="0.25">
      <c r="A125" s="91" t="s">
        <v>252</v>
      </c>
      <c r="B125" s="97">
        <v>0.73313657407407407</v>
      </c>
      <c r="C125" s="98">
        <v>10.95</v>
      </c>
      <c r="D125" s="93">
        <v>2.34</v>
      </c>
      <c r="E125" s="93">
        <v>10.7</v>
      </c>
      <c r="F125" s="93">
        <v>10.95</v>
      </c>
      <c r="G125" s="93">
        <v>11.2</v>
      </c>
      <c r="H125" s="93">
        <v>10.75</v>
      </c>
      <c r="I125" s="99">
        <v>82099</v>
      </c>
      <c r="J125" s="99">
        <v>897341</v>
      </c>
      <c r="K125" s="93">
        <v>74</v>
      </c>
    </row>
    <row r="126" spans="1:11" ht="21" x14ac:dyDescent="0.25">
      <c r="A126" s="88" t="s">
        <v>253</v>
      </c>
      <c r="B126" s="94">
        <v>0.7096527777777778</v>
      </c>
      <c r="C126" s="95">
        <v>10.6</v>
      </c>
      <c r="D126" s="90">
        <v>-0.94</v>
      </c>
      <c r="E126" s="90">
        <v>10.7</v>
      </c>
      <c r="F126" s="90">
        <v>10.6</v>
      </c>
      <c r="G126" s="90">
        <v>10.6</v>
      </c>
      <c r="H126" s="90">
        <v>10.6</v>
      </c>
      <c r="I126" s="96">
        <v>3536</v>
      </c>
      <c r="J126" s="96">
        <v>37482</v>
      </c>
      <c r="K126" s="90">
        <v>2</v>
      </c>
    </row>
    <row r="127" spans="1:11" x14ac:dyDescent="0.25">
      <c r="A127" s="91" t="s">
        <v>254</v>
      </c>
      <c r="B127" s="97">
        <v>0.73313657407407407</v>
      </c>
      <c r="C127" s="98">
        <v>7.8</v>
      </c>
      <c r="D127" s="93">
        <v>4</v>
      </c>
      <c r="E127" s="93">
        <v>7.5</v>
      </c>
      <c r="F127" s="93">
        <v>7.5</v>
      </c>
      <c r="G127" s="93">
        <v>7.82</v>
      </c>
      <c r="H127" s="93">
        <v>7.46</v>
      </c>
      <c r="I127" s="99">
        <v>220629</v>
      </c>
      <c r="J127" s="99">
        <v>1671625</v>
      </c>
      <c r="K127" s="93">
        <v>112</v>
      </c>
    </row>
    <row r="128" spans="1:11" x14ac:dyDescent="0.25">
      <c r="A128" s="88" t="s">
        <v>255</v>
      </c>
      <c r="B128" s="94">
        <v>0.66714120370370367</v>
      </c>
      <c r="C128" s="95">
        <v>7.4</v>
      </c>
      <c r="D128" s="90">
        <v>5.71</v>
      </c>
      <c r="E128" s="90">
        <v>7</v>
      </c>
      <c r="F128" s="90">
        <v>7.4</v>
      </c>
      <c r="G128" s="90">
        <v>7.4</v>
      </c>
      <c r="H128" s="90">
        <v>7.4</v>
      </c>
      <c r="I128" s="96">
        <v>5000</v>
      </c>
      <c r="J128" s="96">
        <v>37000</v>
      </c>
      <c r="K128" s="90">
        <v>1</v>
      </c>
    </row>
    <row r="129" spans="1:11" ht="21" x14ac:dyDescent="0.25">
      <c r="A129" s="91" t="s">
        <v>256</v>
      </c>
      <c r="B129" s="97">
        <v>0.73313657407407407</v>
      </c>
      <c r="C129" s="98">
        <v>8.48</v>
      </c>
      <c r="D129" s="93">
        <v>4.6900000000000004</v>
      </c>
      <c r="E129" s="93">
        <v>8.1</v>
      </c>
      <c r="F129" s="93">
        <v>8.1999999999999993</v>
      </c>
      <c r="G129" s="93">
        <v>8.5</v>
      </c>
      <c r="H129" s="93">
        <v>8.19</v>
      </c>
      <c r="I129" s="99">
        <v>275058</v>
      </c>
      <c r="J129" s="99">
        <v>2311477</v>
      </c>
      <c r="K129" s="93">
        <v>142</v>
      </c>
    </row>
    <row r="130" spans="1:11" ht="21" x14ac:dyDescent="0.25">
      <c r="A130" s="88" t="s">
        <v>257</v>
      </c>
      <c r="B130" s="94">
        <v>0.73313657407407407</v>
      </c>
      <c r="C130" s="95">
        <v>48.7</v>
      </c>
      <c r="D130" s="90">
        <v>-0.51</v>
      </c>
      <c r="E130" s="90">
        <v>48.95</v>
      </c>
      <c r="F130" s="90">
        <v>48.6</v>
      </c>
      <c r="G130" s="90">
        <v>48.7</v>
      </c>
      <c r="H130" s="90">
        <v>48.6</v>
      </c>
      <c r="I130" s="96">
        <v>7124</v>
      </c>
      <c r="J130" s="96">
        <v>346820</v>
      </c>
      <c r="K130" s="90">
        <v>24</v>
      </c>
    </row>
    <row r="131" spans="1:11" ht="21" x14ac:dyDescent="0.25">
      <c r="A131" s="91" t="s">
        <v>258</v>
      </c>
      <c r="B131" s="97">
        <v>0.73313657407407407</v>
      </c>
      <c r="C131" s="98">
        <v>49.9</v>
      </c>
      <c r="D131" s="93">
        <v>0</v>
      </c>
      <c r="E131" s="93">
        <v>49.9</v>
      </c>
      <c r="F131" s="93">
        <v>48.5</v>
      </c>
      <c r="G131" s="93">
        <v>50.5</v>
      </c>
      <c r="H131" s="93">
        <v>48.5</v>
      </c>
      <c r="I131" s="99">
        <v>11664</v>
      </c>
      <c r="J131" s="99">
        <v>585572</v>
      </c>
      <c r="K131" s="93">
        <v>53</v>
      </c>
    </row>
    <row r="132" spans="1:11" ht="21" x14ac:dyDescent="0.25">
      <c r="A132" s="88" t="s">
        <v>259</v>
      </c>
      <c r="B132" s="94">
        <v>0.73313657407407407</v>
      </c>
      <c r="C132" s="95">
        <v>48</v>
      </c>
      <c r="D132" s="90">
        <v>1.59</v>
      </c>
      <c r="E132" s="90">
        <v>47.25</v>
      </c>
      <c r="F132" s="90">
        <v>47</v>
      </c>
      <c r="G132" s="90">
        <v>48.5</v>
      </c>
      <c r="H132" s="90">
        <v>47</v>
      </c>
      <c r="I132" s="96">
        <v>14127</v>
      </c>
      <c r="J132" s="96">
        <v>673581</v>
      </c>
      <c r="K132" s="90">
        <v>41</v>
      </c>
    </row>
    <row r="133" spans="1:11" ht="21" x14ac:dyDescent="0.25">
      <c r="A133" s="91" t="s">
        <v>260</v>
      </c>
      <c r="B133" s="97">
        <v>0.73313657407407407</v>
      </c>
      <c r="C133" s="98">
        <v>36</v>
      </c>
      <c r="D133" s="93">
        <v>2.86</v>
      </c>
      <c r="E133" s="93">
        <v>35</v>
      </c>
      <c r="F133" s="93">
        <v>36</v>
      </c>
      <c r="G133" s="93">
        <v>36</v>
      </c>
      <c r="H133" s="93">
        <v>36</v>
      </c>
      <c r="I133" s="93">
        <v>222</v>
      </c>
      <c r="J133" s="99">
        <v>7992</v>
      </c>
      <c r="K133" s="93">
        <v>1</v>
      </c>
    </row>
    <row r="134" spans="1:11" ht="21" x14ac:dyDescent="0.25">
      <c r="A134" s="88" t="s">
        <v>261</v>
      </c>
      <c r="B134" s="94">
        <v>0.73313657407407407</v>
      </c>
      <c r="C134" s="95">
        <v>7.2</v>
      </c>
      <c r="D134" s="90">
        <v>1.41</v>
      </c>
      <c r="E134" s="90">
        <v>7.1</v>
      </c>
      <c r="F134" s="90">
        <v>7.2</v>
      </c>
      <c r="G134" s="90">
        <v>7.3</v>
      </c>
      <c r="H134" s="90">
        <v>7.01</v>
      </c>
      <c r="I134" s="96">
        <v>163401</v>
      </c>
      <c r="J134" s="96">
        <v>1165865</v>
      </c>
      <c r="K134" s="90">
        <v>79</v>
      </c>
    </row>
    <row r="135" spans="1:11" ht="21" x14ac:dyDescent="0.25">
      <c r="A135" s="91" t="s">
        <v>262</v>
      </c>
      <c r="B135" s="97">
        <v>0.70968749999999992</v>
      </c>
      <c r="C135" s="98">
        <v>7.15</v>
      </c>
      <c r="D135" s="93">
        <v>10</v>
      </c>
      <c r="E135" s="93">
        <v>6.5</v>
      </c>
      <c r="F135" s="93">
        <v>7.15</v>
      </c>
      <c r="G135" s="93">
        <v>7.15</v>
      </c>
      <c r="H135" s="93">
        <v>7.15</v>
      </c>
      <c r="I135" s="99">
        <v>5000</v>
      </c>
      <c r="J135" s="99">
        <v>35750</v>
      </c>
      <c r="K135" s="93">
        <v>1</v>
      </c>
    </row>
    <row r="136" spans="1:11" ht="21" x14ac:dyDescent="0.25">
      <c r="A136" s="88" t="s">
        <v>263</v>
      </c>
      <c r="B136" s="94">
        <v>0.73317129629629629</v>
      </c>
      <c r="C136" s="95">
        <v>7.1</v>
      </c>
      <c r="D136" s="90">
        <v>-2.0699999999999998</v>
      </c>
      <c r="E136" s="90">
        <v>7.25</v>
      </c>
      <c r="F136" s="90">
        <v>7.2</v>
      </c>
      <c r="G136" s="90">
        <v>7.2</v>
      </c>
      <c r="H136" s="90">
        <v>7.1</v>
      </c>
      <c r="I136" s="96">
        <v>6700</v>
      </c>
      <c r="J136" s="96">
        <v>48110</v>
      </c>
      <c r="K136" s="90">
        <v>3</v>
      </c>
    </row>
    <row r="137" spans="1:11" ht="21" x14ac:dyDescent="0.25">
      <c r="A137" s="91" t="s">
        <v>264</v>
      </c>
      <c r="B137" s="97">
        <v>0.73313657407407407</v>
      </c>
      <c r="C137" s="98">
        <v>15.5</v>
      </c>
      <c r="D137" s="93">
        <v>2.31</v>
      </c>
      <c r="E137" s="93">
        <v>15.15</v>
      </c>
      <c r="F137" s="93">
        <v>15</v>
      </c>
      <c r="G137" s="93">
        <v>15.5</v>
      </c>
      <c r="H137" s="93">
        <v>15</v>
      </c>
      <c r="I137" s="99">
        <v>2232</v>
      </c>
      <c r="J137" s="99">
        <v>33835</v>
      </c>
      <c r="K137" s="93">
        <v>5</v>
      </c>
    </row>
    <row r="138" spans="1:11" x14ac:dyDescent="0.25">
      <c r="A138" s="88" t="s">
        <v>265</v>
      </c>
      <c r="B138" s="94">
        <v>0.73313657407407407</v>
      </c>
      <c r="C138" s="95">
        <v>11.3</v>
      </c>
      <c r="D138" s="90">
        <v>-1.31</v>
      </c>
      <c r="E138" s="90">
        <v>11.45</v>
      </c>
      <c r="F138" s="90">
        <v>11.5</v>
      </c>
      <c r="G138" s="90">
        <v>11.55</v>
      </c>
      <c r="H138" s="90">
        <v>11.3</v>
      </c>
      <c r="I138" s="96">
        <v>56709</v>
      </c>
      <c r="J138" s="96">
        <v>649961</v>
      </c>
      <c r="K138" s="90">
        <v>39</v>
      </c>
    </row>
    <row r="139" spans="1:11" ht="21" x14ac:dyDescent="0.25">
      <c r="A139" s="91" t="s">
        <v>266</v>
      </c>
      <c r="B139" s="97">
        <v>0.73313657407407407</v>
      </c>
      <c r="C139" s="98">
        <v>43.7</v>
      </c>
      <c r="D139" s="93">
        <v>0.57999999999999996</v>
      </c>
      <c r="E139" s="93">
        <v>43.45</v>
      </c>
      <c r="F139" s="93">
        <v>43.2</v>
      </c>
      <c r="G139" s="93">
        <v>44.3</v>
      </c>
      <c r="H139" s="93">
        <v>43.2</v>
      </c>
      <c r="I139" s="99">
        <v>205546</v>
      </c>
      <c r="J139" s="99">
        <v>9011117</v>
      </c>
      <c r="K139" s="93">
        <v>146</v>
      </c>
    </row>
    <row r="140" spans="1:11" ht="21" x14ac:dyDescent="0.25">
      <c r="A140" s="88" t="s">
        <v>267</v>
      </c>
      <c r="B140" s="94">
        <v>0.73313657407407407</v>
      </c>
      <c r="C140" s="95">
        <v>15.8</v>
      </c>
      <c r="D140" s="90">
        <v>1.94</v>
      </c>
      <c r="E140" s="90">
        <v>15.5</v>
      </c>
      <c r="F140" s="90">
        <v>15.55</v>
      </c>
      <c r="G140" s="90">
        <v>16.350000000000001</v>
      </c>
      <c r="H140" s="90">
        <v>15</v>
      </c>
      <c r="I140" s="96">
        <v>236872</v>
      </c>
      <c r="J140" s="96">
        <v>3784599</v>
      </c>
      <c r="K140" s="90">
        <v>257</v>
      </c>
    </row>
    <row r="141" spans="1:11" ht="21" x14ac:dyDescent="0.25">
      <c r="A141" s="91" t="s">
        <v>268</v>
      </c>
      <c r="B141" s="97">
        <v>0.70973379629629629</v>
      </c>
      <c r="C141" s="98">
        <v>6.95</v>
      </c>
      <c r="D141" s="93">
        <v>1.46</v>
      </c>
      <c r="E141" s="93">
        <v>6.85</v>
      </c>
      <c r="F141" s="93">
        <v>6.95</v>
      </c>
      <c r="G141" s="93">
        <v>6.95</v>
      </c>
      <c r="H141" s="93">
        <v>6.95</v>
      </c>
      <c r="I141" s="99">
        <v>8500</v>
      </c>
      <c r="J141" s="99">
        <v>59075</v>
      </c>
      <c r="K141" s="93">
        <v>1</v>
      </c>
    </row>
    <row r="142" spans="1:11" ht="21" x14ac:dyDescent="0.25">
      <c r="A142" s="88" t="s">
        <v>269</v>
      </c>
      <c r="B142" s="94">
        <v>0.73313657407407407</v>
      </c>
      <c r="C142" s="95">
        <v>7</v>
      </c>
      <c r="D142" s="90">
        <v>0.14000000000000001</v>
      </c>
      <c r="E142" s="90">
        <v>6.99</v>
      </c>
      <c r="F142" s="90">
        <v>7.23</v>
      </c>
      <c r="G142" s="90">
        <v>7.23</v>
      </c>
      <c r="H142" s="90">
        <v>6.85</v>
      </c>
      <c r="I142" s="96">
        <v>202544</v>
      </c>
      <c r="J142" s="96">
        <v>1429465</v>
      </c>
      <c r="K142" s="90">
        <v>124</v>
      </c>
    </row>
    <row r="143" spans="1:11" ht="21" x14ac:dyDescent="0.25">
      <c r="A143" s="91" t="s">
        <v>270</v>
      </c>
      <c r="B143" s="97">
        <v>0.73313657407407407</v>
      </c>
      <c r="C143" s="98">
        <v>29.2</v>
      </c>
      <c r="D143" s="93">
        <v>-0.17</v>
      </c>
      <c r="E143" s="93">
        <v>29.25</v>
      </c>
      <c r="F143" s="93">
        <v>29.25</v>
      </c>
      <c r="G143" s="93">
        <v>29.85</v>
      </c>
      <c r="H143" s="93">
        <v>28.5</v>
      </c>
      <c r="I143" s="99">
        <v>257305</v>
      </c>
      <c r="J143" s="99">
        <v>7513562</v>
      </c>
      <c r="K143" s="93">
        <v>156</v>
      </c>
    </row>
    <row r="144" spans="1:11" ht="21" x14ac:dyDescent="0.25">
      <c r="A144" s="88" t="s">
        <v>271</v>
      </c>
      <c r="B144" s="94">
        <v>0.73317129629629629</v>
      </c>
      <c r="C144" s="95">
        <v>28.75</v>
      </c>
      <c r="D144" s="90">
        <v>-4.17</v>
      </c>
      <c r="E144" s="90">
        <v>30</v>
      </c>
      <c r="F144" s="90">
        <v>28.75</v>
      </c>
      <c r="G144" s="90">
        <v>28.75</v>
      </c>
      <c r="H144" s="90">
        <v>28.75</v>
      </c>
      <c r="I144" s="90">
        <v>500</v>
      </c>
      <c r="J144" s="96">
        <v>14375</v>
      </c>
      <c r="K144" s="90">
        <v>2</v>
      </c>
    </row>
    <row r="145" spans="1:11" ht="21" x14ac:dyDescent="0.25">
      <c r="A145" s="91" t="s">
        <v>272</v>
      </c>
      <c r="B145" s="97">
        <v>0.73313657407407407</v>
      </c>
      <c r="C145" s="98">
        <v>192</v>
      </c>
      <c r="D145" s="93">
        <v>-0.52</v>
      </c>
      <c r="E145" s="93">
        <v>193</v>
      </c>
      <c r="F145" s="93">
        <v>193</v>
      </c>
      <c r="G145" s="93">
        <v>193</v>
      </c>
      <c r="H145" s="93">
        <v>190.05</v>
      </c>
      <c r="I145" s="99">
        <v>6333</v>
      </c>
      <c r="J145" s="99">
        <v>1210387</v>
      </c>
      <c r="K145" s="93">
        <v>56</v>
      </c>
    </row>
    <row r="146" spans="1:11" ht="21" x14ac:dyDescent="0.25">
      <c r="A146" s="88" t="s">
        <v>273</v>
      </c>
      <c r="B146" s="94">
        <v>0.73313657407407407</v>
      </c>
      <c r="C146" s="95">
        <v>59</v>
      </c>
      <c r="D146" s="90">
        <v>3.51</v>
      </c>
      <c r="E146" s="90">
        <v>57</v>
      </c>
      <c r="F146" s="90">
        <v>57.2</v>
      </c>
      <c r="G146" s="90">
        <v>59.4</v>
      </c>
      <c r="H146" s="90">
        <v>56</v>
      </c>
      <c r="I146" s="96">
        <v>24187</v>
      </c>
      <c r="J146" s="96">
        <v>1400212</v>
      </c>
      <c r="K146" s="90">
        <v>91</v>
      </c>
    </row>
    <row r="147" spans="1:11" ht="21" x14ac:dyDescent="0.25">
      <c r="A147" s="91" t="s">
        <v>274</v>
      </c>
      <c r="B147" s="97">
        <v>0.63991898148148152</v>
      </c>
      <c r="C147" s="100">
        <v>1390</v>
      </c>
      <c r="D147" s="93">
        <v>8.17</v>
      </c>
      <c r="E147" s="92">
        <v>1285</v>
      </c>
      <c r="F147" s="92">
        <v>1390</v>
      </c>
      <c r="G147" s="92">
        <v>1390</v>
      </c>
      <c r="H147" s="92">
        <v>1390</v>
      </c>
      <c r="I147" s="93">
        <v>200</v>
      </c>
      <c r="J147" s="99">
        <v>278000</v>
      </c>
      <c r="K147" s="93">
        <v>1</v>
      </c>
    </row>
    <row r="148" spans="1:11" ht="21" x14ac:dyDescent="0.25">
      <c r="A148" s="88" t="s">
        <v>275</v>
      </c>
      <c r="B148" s="94">
        <v>0.73313657407407407</v>
      </c>
      <c r="C148" s="95">
        <v>34.65</v>
      </c>
      <c r="D148" s="90">
        <v>3.43</v>
      </c>
      <c r="E148" s="90">
        <v>33.5</v>
      </c>
      <c r="F148" s="90">
        <v>33.5</v>
      </c>
      <c r="G148" s="90">
        <v>34.799999999999997</v>
      </c>
      <c r="H148" s="90">
        <v>33</v>
      </c>
      <c r="I148" s="96">
        <v>125947</v>
      </c>
      <c r="J148" s="96">
        <v>4264672</v>
      </c>
      <c r="K148" s="90">
        <v>179</v>
      </c>
    </row>
    <row r="149" spans="1:11" ht="21" x14ac:dyDescent="0.25">
      <c r="A149" s="91" t="s">
        <v>276</v>
      </c>
      <c r="B149" s="97">
        <v>0.73317129629629629</v>
      </c>
      <c r="C149" s="98">
        <v>33.950000000000003</v>
      </c>
      <c r="D149" s="93">
        <v>5.1100000000000003</v>
      </c>
      <c r="E149" s="93">
        <v>32.299999999999997</v>
      </c>
      <c r="F149" s="93">
        <v>32.9</v>
      </c>
      <c r="G149" s="93">
        <v>33.950000000000003</v>
      </c>
      <c r="H149" s="93">
        <v>32.9</v>
      </c>
      <c r="I149" s="99">
        <v>3400</v>
      </c>
      <c r="J149" s="99">
        <v>115010</v>
      </c>
      <c r="K149" s="93">
        <v>3</v>
      </c>
    </row>
    <row r="150" spans="1:11" ht="21" x14ac:dyDescent="0.25">
      <c r="A150" s="88" t="s">
        <v>277</v>
      </c>
      <c r="B150" s="94">
        <v>0.73313657407407407</v>
      </c>
      <c r="C150" s="95">
        <v>26.5</v>
      </c>
      <c r="D150" s="90">
        <v>0</v>
      </c>
      <c r="E150" s="90">
        <v>26.5</v>
      </c>
      <c r="F150" s="90">
        <v>26.5</v>
      </c>
      <c r="G150" s="90">
        <v>26.5</v>
      </c>
      <c r="H150" s="90">
        <v>26.5</v>
      </c>
      <c r="I150" s="90">
        <v>700</v>
      </c>
      <c r="J150" s="96">
        <v>18550</v>
      </c>
      <c r="K150" s="90">
        <v>2</v>
      </c>
    </row>
    <row r="151" spans="1:11" ht="21" x14ac:dyDescent="0.25">
      <c r="A151" s="91" t="s">
        <v>278</v>
      </c>
      <c r="B151" s="97">
        <v>0.73313657407407407</v>
      </c>
      <c r="C151" s="98">
        <v>12.9</v>
      </c>
      <c r="D151" s="93">
        <v>6.17</v>
      </c>
      <c r="E151" s="93">
        <v>12.15</v>
      </c>
      <c r="F151" s="93">
        <v>12.25</v>
      </c>
      <c r="G151" s="93">
        <v>12.95</v>
      </c>
      <c r="H151" s="93">
        <v>12.25</v>
      </c>
      <c r="I151" s="99">
        <v>58007</v>
      </c>
      <c r="J151" s="99">
        <v>724980</v>
      </c>
      <c r="K151" s="93">
        <v>58</v>
      </c>
    </row>
    <row r="152" spans="1:11" ht="21" x14ac:dyDescent="0.25">
      <c r="A152" s="88" t="s">
        <v>279</v>
      </c>
      <c r="B152" s="94">
        <v>0.73313657407407407</v>
      </c>
      <c r="C152" s="95">
        <v>22.15</v>
      </c>
      <c r="D152" s="90">
        <v>3.02</v>
      </c>
      <c r="E152" s="90">
        <v>21.5</v>
      </c>
      <c r="F152" s="90">
        <v>21.6</v>
      </c>
      <c r="G152" s="90">
        <v>22.4</v>
      </c>
      <c r="H152" s="90">
        <v>21.6</v>
      </c>
      <c r="I152" s="96">
        <v>56565</v>
      </c>
      <c r="J152" s="96">
        <v>1243278</v>
      </c>
      <c r="K152" s="90">
        <v>57</v>
      </c>
    </row>
    <row r="153" spans="1:11" x14ac:dyDescent="0.25">
      <c r="A153" s="91" t="s">
        <v>280</v>
      </c>
      <c r="B153" s="97">
        <v>0.73313657407407407</v>
      </c>
      <c r="C153" s="98">
        <v>14.55</v>
      </c>
      <c r="D153" s="93">
        <v>-0.68</v>
      </c>
      <c r="E153" s="93">
        <v>14.65</v>
      </c>
      <c r="F153" s="93">
        <v>14.2</v>
      </c>
      <c r="G153" s="93">
        <v>14.75</v>
      </c>
      <c r="H153" s="93">
        <v>14</v>
      </c>
      <c r="I153" s="99">
        <v>2030457</v>
      </c>
      <c r="J153" s="99">
        <v>29279229</v>
      </c>
      <c r="K153" s="93">
        <v>723</v>
      </c>
    </row>
    <row r="154" spans="1:11" x14ac:dyDescent="0.25">
      <c r="A154" s="88" t="s">
        <v>281</v>
      </c>
      <c r="B154" s="94">
        <v>0.73312499999999992</v>
      </c>
      <c r="C154" s="95">
        <v>14.25</v>
      </c>
      <c r="D154" s="90">
        <v>-3.06</v>
      </c>
      <c r="E154" s="90">
        <v>14.7</v>
      </c>
      <c r="F154" s="90">
        <v>14.55</v>
      </c>
      <c r="G154" s="90">
        <v>14.55</v>
      </c>
      <c r="H154" s="90">
        <v>14.25</v>
      </c>
      <c r="I154" s="96">
        <v>10800</v>
      </c>
      <c r="J154" s="96">
        <v>154434</v>
      </c>
      <c r="K154" s="90">
        <v>12</v>
      </c>
    </row>
    <row r="155" spans="1:11" ht="21" x14ac:dyDescent="0.25">
      <c r="A155" s="91" t="s">
        <v>282</v>
      </c>
      <c r="B155" s="97">
        <v>0.73312499999999992</v>
      </c>
      <c r="C155" s="98">
        <v>14.4</v>
      </c>
      <c r="D155" s="93">
        <v>-2.04</v>
      </c>
      <c r="E155" s="93">
        <v>14.7</v>
      </c>
      <c r="F155" s="93">
        <v>15</v>
      </c>
      <c r="G155" s="93">
        <v>15</v>
      </c>
      <c r="H155" s="93">
        <v>14.4</v>
      </c>
      <c r="I155" s="99">
        <v>3988</v>
      </c>
      <c r="J155" s="99">
        <v>57832</v>
      </c>
      <c r="K155" s="93">
        <v>4</v>
      </c>
    </row>
    <row r="156" spans="1:11" ht="21" x14ac:dyDescent="0.25">
      <c r="A156" s="88" t="s">
        <v>283</v>
      </c>
      <c r="B156" s="94">
        <v>0.73313657407407407</v>
      </c>
      <c r="C156" s="95">
        <v>8</v>
      </c>
      <c r="D156" s="90">
        <v>0</v>
      </c>
      <c r="E156" s="90">
        <v>8</v>
      </c>
      <c r="F156" s="90">
        <v>8</v>
      </c>
      <c r="G156" s="90">
        <v>8.1999999999999993</v>
      </c>
      <c r="H156" s="90">
        <v>7.8</v>
      </c>
      <c r="I156" s="96">
        <v>12420</v>
      </c>
      <c r="J156" s="96">
        <v>99238</v>
      </c>
      <c r="K156" s="90">
        <v>18</v>
      </c>
    </row>
    <row r="157" spans="1:11" ht="21" x14ac:dyDescent="0.25">
      <c r="A157" s="91" t="s">
        <v>284</v>
      </c>
      <c r="B157" s="97">
        <v>0.73313657407407407</v>
      </c>
      <c r="C157" s="98">
        <v>5.2</v>
      </c>
      <c r="D157" s="93">
        <v>-3.7</v>
      </c>
      <c r="E157" s="93">
        <v>5.4</v>
      </c>
      <c r="F157" s="93">
        <v>5.45</v>
      </c>
      <c r="G157" s="93">
        <v>5.55</v>
      </c>
      <c r="H157" s="93">
        <v>5.2</v>
      </c>
      <c r="I157" s="99">
        <v>94809</v>
      </c>
      <c r="J157" s="99">
        <v>509566</v>
      </c>
      <c r="K157" s="93">
        <v>51</v>
      </c>
    </row>
    <row r="158" spans="1:11" x14ac:dyDescent="0.25">
      <c r="A158" s="88" t="s">
        <v>285</v>
      </c>
      <c r="B158" s="94">
        <v>0.73313657407407407</v>
      </c>
      <c r="C158" s="95">
        <v>316</v>
      </c>
      <c r="D158" s="90">
        <v>1.94</v>
      </c>
      <c r="E158" s="90">
        <v>310</v>
      </c>
      <c r="F158" s="90">
        <v>320</v>
      </c>
      <c r="G158" s="90">
        <v>320</v>
      </c>
      <c r="H158" s="90">
        <v>316</v>
      </c>
      <c r="I158" s="90">
        <v>140</v>
      </c>
      <c r="J158" s="96">
        <v>44384</v>
      </c>
      <c r="K158" s="90">
        <v>7</v>
      </c>
    </row>
    <row r="159" spans="1:11" ht="21" x14ac:dyDescent="0.25">
      <c r="A159" s="91" t="s">
        <v>286</v>
      </c>
      <c r="B159" s="97">
        <v>0.73314814814814822</v>
      </c>
      <c r="C159" s="98">
        <v>60</v>
      </c>
      <c r="D159" s="93">
        <v>0.84</v>
      </c>
      <c r="E159" s="93">
        <v>59.5</v>
      </c>
      <c r="F159" s="93">
        <v>60</v>
      </c>
      <c r="G159" s="93">
        <v>60.2</v>
      </c>
      <c r="H159" s="93">
        <v>60</v>
      </c>
      <c r="I159" s="99">
        <v>3876</v>
      </c>
      <c r="J159" s="99">
        <v>232640</v>
      </c>
      <c r="K159" s="93">
        <v>16</v>
      </c>
    </row>
    <row r="160" spans="1:11" ht="21" x14ac:dyDescent="0.25">
      <c r="A160" s="88" t="s">
        <v>287</v>
      </c>
      <c r="B160" s="94">
        <v>0.73314814814814822</v>
      </c>
      <c r="C160" s="95">
        <v>6.75</v>
      </c>
      <c r="D160" s="90">
        <v>0.75</v>
      </c>
      <c r="E160" s="90">
        <v>6.7</v>
      </c>
      <c r="F160" s="90">
        <v>6.69</v>
      </c>
      <c r="G160" s="90">
        <v>6.9</v>
      </c>
      <c r="H160" s="90">
        <v>6.69</v>
      </c>
      <c r="I160" s="96">
        <v>53945</v>
      </c>
      <c r="J160" s="96">
        <v>364858</v>
      </c>
      <c r="K160" s="90">
        <v>33</v>
      </c>
    </row>
    <row r="161" spans="1:11" ht="21" x14ac:dyDescent="0.25">
      <c r="A161" s="91" t="s">
        <v>288</v>
      </c>
      <c r="B161" s="97">
        <v>0.73314814814814822</v>
      </c>
      <c r="C161" s="98">
        <v>3.82</v>
      </c>
      <c r="D161" s="93">
        <v>3.52</v>
      </c>
      <c r="E161" s="93">
        <v>3.69</v>
      </c>
      <c r="F161" s="93">
        <v>3.72</v>
      </c>
      <c r="G161" s="93">
        <v>3.85</v>
      </c>
      <c r="H161" s="93">
        <v>3.72</v>
      </c>
      <c r="I161" s="99">
        <v>225091</v>
      </c>
      <c r="J161" s="99">
        <v>855492</v>
      </c>
      <c r="K161" s="93">
        <v>89</v>
      </c>
    </row>
    <row r="162" spans="1:11" x14ac:dyDescent="0.25">
      <c r="A162" s="88" t="s">
        <v>289</v>
      </c>
      <c r="B162" s="94">
        <v>0.73314814814814822</v>
      </c>
      <c r="C162" s="95">
        <v>119</v>
      </c>
      <c r="D162" s="90">
        <v>0</v>
      </c>
      <c r="E162" s="90">
        <v>119</v>
      </c>
      <c r="F162" s="90">
        <v>120</v>
      </c>
      <c r="G162" s="90">
        <v>120</v>
      </c>
      <c r="H162" s="90">
        <v>118.8</v>
      </c>
      <c r="I162" s="96">
        <v>1920</v>
      </c>
      <c r="J162" s="96">
        <v>228974</v>
      </c>
      <c r="K162" s="90">
        <v>9</v>
      </c>
    </row>
    <row r="163" spans="1:11" ht="21" x14ac:dyDescent="0.25">
      <c r="A163" s="91" t="s">
        <v>290</v>
      </c>
      <c r="B163" s="97">
        <v>0.73314814814814822</v>
      </c>
      <c r="C163" s="98">
        <v>85.75</v>
      </c>
      <c r="D163" s="93">
        <v>3.56</v>
      </c>
      <c r="E163" s="93">
        <v>82.8</v>
      </c>
      <c r="F163" s="93">
        <v>83</v>
      </c>
      <c r="G163" s="93">
        <v>86.65</v>
      </c>
      <c r="H163" s="93">
        <v>83</v>
      </c>
      <c r="I163" s="99">
        <v>144197</v>
      </c>
      <c r="J163" s="99">
        <v>12288975</v>
      </c>
      <c r="K163" s="93">
        <v>219</v>
      </c>
    </row>
    <row r="164" spans="1:11" ht="21" x14ac:dyDescent="0.25">
      <c r="A164" s="88" t="s">
        <v>291</v>
      </c>
      <c r="B164" s="94">
        <v>0.73317129629629629</v>
      </c>
      <c r="C164" s="95">
        <v>84.5</v>
      </c>
      <c r="D164" s="90">
        <v>2.42</v>
      </c>
      <c r="E164" s="90">
        <v>82.5</v>
      </c>
      <c r="F164" s="90">
        <v>84.5</v>
      </c>
      <c r="G164" s="90">
        <v>84.5</v>
      </c>
      <c r="H164" s="90">
        <v>84.5</v>
      </c>
      <c r="I164" s="90">
        <v>42</v>
      </c>
      <c r="J164" s="96">
        <v>3549</v>
      </c>
      <c r="K164" s="90">
        <v>1</v>
      </c>
    </row>
    <row r="165" spans="1:11" x14ac:dyDescent="0.25">
      <c r="A165" s="91" t="s">
        <v>292</v>
      </c>
      <c r="B165" s="97">
        <v>0.73314814814814822</v>
      </c>
      <c r="C165" s="98">
        <v>189.6</v>
      </c>
      <c r="D165" s="93">
        <v>0.8</v>
      </c>
      <c r="E165" s="93">
        <v>188.1</v>
      </c>
      <c r="F165" s="93">
        <v>186</v>
      </c>
      <c r="G165" s="93">
        <v>189.6</v>
      </c>
      <c r="H165" s="93">
        <v>186</v>
      </c>
      <c r="I165" s="99">
        <v>1513</v>
      </c>
      <c r="J165" s="99">
        <v>281465</v>
      </c>
      <c r="K165" s="93">
        <v>4</v>
      </c>
    </row>
    <row r="166" spans="1:11" ht="21" x14ac:dyDescent="0.25">
      <c r="A166" s="88" t="s">
        <v>293</v>
      </c>
      <c r="B166" s="94">
        <v>0.73314814814814822</v>
      </c>
      <c r="C166" s="95">
        <v>14.05</v>
      </c>
      <c r="D166" s="90">
        <v>0.36</v>
      </c>
      <c r="E166" s="90">
        <v>14</v>
      </c>
      <c r="F166" s="90">
        <v>13.5</v>
      </c>
      <c r="G166" s="90">
        <v>14.15</v>
      </c>
      <c r="H166" s="90">
        <v>13.5</v>
      </c>
      <c r="I166" s="96">
        <v>16170</v>
      </c>
      <c r="J166" s="96">
        <v>226177</v>
      </c>
      <c r="K166" s="90">
        <v>30</v>
      </c>
    </row>
    <row r="167" spans="1:11" ht="21" x14ac:dyDescent="0.25">
      <c r="A167" s="91" t="s">
        <v>294</v>
      </c>
      <c r="B167" s="97">
        <v>0.66719907407407408</v>
      </c>
      <c r="C167" s="98">
        <v>3.9</v>
      </c>
      <c r="D167" s="93">
        <v>-1.52</v>
      </c>
      <c r="E167" s="93">
        <v>3.96</v>
      </c>
      <c r="F167" s="93">
        <v>3.9</v>
      </c>
      <c r="G167" s="93">
        <v>3.9</v>
      </c>
      <c r="H167" s="93">
        <v>3.9</v>
      </c>
      <c r="I167" s="99">
        <v>1070</v>
      </c>
      <c r="J167" s="99">
        <v>4173</v>
      </c>
      <c r="K167" s="93">
        <v>2</v>
      </c>
    </row>
    <row r="168" spans="1:11" ht="21" x14ac:dyDescent="0.25">
      <c r="A168" s="88" t="s">
        <v>295</v>
      </c>
      <c r="B168" s="94">
        <v>0.73313657407407407</v>
      </c>
      <c r="C168" s="95">
        <v>3.88</v>
      </c>
      <c r="D168" s="90">
        <v>-0.51</v>
      </c>
      <c r="E168" s="90">
        <v>3.9</v>
      </c>
      <c r="F168" s="90">
        <v>3.91</v>
      </c>
      <c r="G168" s="90">
        <v>3.92</v>
      </c>
      <c r="H168" s="90">
        <v>3.86</v>
      </c>
      <c r="I168" s="96">
        <v>1947431</v>
      </c>
      <c r="J168" s="96">
        <v>7560024</v>
      </c>
      <c r="K168" s="90">
        <v>211</v>
      </c>
    </row>
    <row r="169" spans="1:11" x14ac:dyDescent="0.25">
      <c r="A169" s="84"/>
      <c r="B169"/>
      <c r="C169"/>
      <c r="D169"/>
      <c r="E169"/>
      <c r="F169"/>
      <c r="G169"/>
      <c r="H169"/>
      <c r="I169"/>
      <c r="J169"/>
      <c r="K169"/>
    </row>
    <row r="170" spans="1:11" x14ac:dyDescent="0.25">
      <c r="A170"/>
      <c r="B170"/>
      <c r="C170"/>
      <c r="D170"/>
      <c r="E170"/>
      <c r="F170"/>
      <c r="G170"/>
      <c r="H170"/>
      <c r="I170"/>
      <c r="J170"/>
      <c r="K170"/>
    </row>
    <row r="171" spans="1:11" x14ac:dyDescent="0.25">
      <c r="A171" s="85" t="s">
        <v>296</v>
      </c>
      <c r="B171"/>
      <c r="C171"/>
      <c r="D171"/>
      <c r="E171"/>
      <c r="F171"/>
      <c r="G171"/>
      <c r="H171"/>
      <c r="I171"/>
      <c r="J171"/>
      <c r="K171"/>
    </row>
    <row r="172" spans="1:11" x14ac:dyDescent="0.25">
      <c r="A172" s="84"/>
      <c r="B172"/>
      <c r="C172"/>
      <c r="D172"/>
      <c r="E172"/>
      <c r="F172"/>
      <c r="G172"/>
      <c r="H172"/>
      <c r="I172"/>
      <c r="J172"/>
      <c r="K172"/>
    </row>
    <row r="173" spans="1:11" x14ac:dyDescent="0.25">
      <c r="A173"/>
      <c r="B173"/>
      <c r="C173"/>
      <c r="D173"/>
      <c r="E173"/>
      <c r="F173"/>
      <c r="G173"/>
      <c r="H173"/>
      <c r="I173"/>
      <c r="J173"/>
      <c r="K173"/>
    </row>
    <row r="174" spans="1:11" ht="21" x14ac:dyDescent="0.25">
      <c r="A174" s="87" t="s">
        <v>145</v>
      </c>
      <c r="B174" s="87" t="s">
        <v>146</v>
      </c>
      <c r="C174" s="87" t="s">
        <v>133</v>
      </c>
      <c r="D174" s="87" t="s">
        <v>134</v>
      </c>
      <c r="E174" s="87" t="s">
        <v>135</v>
      </c>
      <c r="F174" s="87" t="s">
        <v>136</v>
      </c>
      <c r="G174" s="87" t="s">
        <v>137</v>
      </c>
      <c r="H174" s="87" t="s">
        <v>138</v>
      </c>
      <c r="I174" s="87" t="s">
        <v>147</v>
      </c>
      <c r="J174" s="87" t="s">
        <v>148</v>
      </c>
      <c r="K174" s="87" t="s">
        <v>149</v>
      </c>
    </row>
    <row r="175" spans="1:11" ht="21" x14ac:dyDescent="0.25">
      <c r="A175" s="88" t="s">
        <v>297</v>
      </c>
      <c r="B175" s="94">
        <v>0.73313657407407407</v>
      </c>
      <c r="C175" s="95">
        <v>268.3</v>
      </c>
      <c r="D175" s="90">
        <v>1.25</v>
      </c>
      <c r="E175" s="90">
        <v>265</v>
      </c>
      <c r="F175" s="90">
        <v>260</v>
      </c>
      <c r="G175" s="90">
        <v>270</v>
      </c>
      <c r="H175" s="90">
        <v>260</v>
      </c>
      <c r="I175" s="90">
        <v>870</v>
      </c>
      <c r="J175" s="96">
        <v>230684</v>
      </c>
      <c r="K175" s="90">
        <v>15</v>
      </c>
    </row>
    <row r="176" spans="1:11" x14ac:dyDescent="0.25">
      <c r="A176" s="91" t="s">
        <v>298</v>
      </c>
      <c r="B176" s="97">
        <v>0.73313657407407407</v>
      </c>
      <c r="C176" s="98">
        <v>215</v>
      </c>
      <c r="D176" s="93">
        <v>1.9</v>
      </c>
      <c r="E176" s="93">
        <v>211</v>
      </c>
      <c r="F176" s="93">
        <v>215</v>
      </c>
      <c r="G176" s="93">
        <v>215</v>
      </c>
      <c r="H176" s="93">
        <v>215</v>
      </c>
      <c r="I176" s="93">
        <v>32</v>
      </c>
      <c r="J176" s="99">
        <v>6880</v>
      </c>
      <c r="K176" s="93">
        <v>1</v>
      </c>
    </row>
    <row r="177" spans="1:11" x14ac:dyDescent="0.25">
      <c r="A177" s="88" t="s">
        <v>299</v>
      </c>
      <c r="B177" s="94">
        <v>0.73313657407407407</v>
      </c>
      <c r="C177" s="95">
        <v>193.5</v>
      </c>
      <c r="D177" s="90">
        <v>0.91</v>
      </c>
      <c r="E177" s="90">
        <v>191.75</v>
      </c>
      <c r="F177" s="90">
        <v>193.5</v>
      </c>
      <c r="G177" s="90">
        <v>193.5</v>
      </c>
      <c r="H177" s="90">
        <v>193.5</v>
      </c>
      <c r="I177" s="96">
        <v>8000</v>
      </c>
      <c r="J177" s="96">
        <v>1548000</v>
      </c>
      <c r="K177" s="90">
        <v>1</v>
      </c>
    </row>
    <row r="178" spans="1:11" x14ac:dyDescent="0.25">
      <c r="A178" s="91" t="s">
        <v>300</v>
      </c>
      <c r="B178" s="97">
        <v>0.73313657407407407</v>
      </c>
      <c r="C178" s="98">
        <v>42.3</v>
      </c>
      <c r="D178" s="93">
        <v>-0.47</v>
      </c>
      <c r="E178" s="93">
        <v>42.5</v>
      </c>
      <c r="F178" s="93">
        <v>42.7</v>
      </c>
      <c r="G178" s="93">
        <v>42.7</v>
      </c>
      <c r="H178" s="93">
        <v>42.3</v>
      </c>
      <c r="I178" s="93">
        <v>120</v>
      </c>
      <c r="J178" s="99">
        <v>5088</v>
      </c>
      <c r="K178" s="93">
        <v>2</v>
      </c>
    </row>
    <row r="179" spans="1:11" ht="21" x14ac:dyDescent="0.25">
      <c r="A179" s="88" t="s">
        <v>301</v>
      </c>
      <c r="B179" s="94">
        <v>0.73313657407407407</v>
      </c>
      <c r="C179" s="95">
        <v>579</v>
      </c>
      <c r="D179" s="90">
        <v>0</v>
      </c>
      <c r="E179" s="90">
        <v>579</v>
      </c>
      <c r="F179" s="90">
        <v>579</v>
      </c>
      <c r="G179" s="90">
        <v>579</v>
      </c>
      <c r="H179" s="90">
        <v>579</v>
      </c>
      <c r="I179" s="90">
        <v>58</v>
      </c>
      <c r="J179" s="96">
        <v>33582</v>
      </c>
      <c r="K179" s="90">
        <v>1</v>
      </c>
    </row>
    <row r="180" spans="1:11" x14ac:dyDescent="0.25">
      <c r="A180" s="91" t="s">
        <v>302</v>
      </c>
      <c r="B180" s="97">
        <v>0.73313657407407407</v>
      </c>
      <c r="C180" s="98">
        <v>70</v>
      </c>
      <c r="D180" s="93">
        <v>-1.36</v>
      </c>
      <c r="E180" s="93">
        <v>70.966999999999999</v>
      </c>
      <c r="F180" s="93">
        <v>70</v>
      </c>
      <c r="G180" s="93">
        <v>70</v>
      </c>
      <c r="H180" s="93">
        <v>70</v>
      </c>
      <c r="I180" s="93">
        <v>75</v>
      </c>
      <c r="J180" s="99">
        <v>5250</v>
      </c>
      <c r="K180" s="93">
        <v>1</v>
      </c>
    </row>
    <row r="181" spans="1:11" x14ac:dyDescent="0.25">
      <c r="A181" s="88" t="s">
        <v>303</v>
      </c>
      <c r="B181" s="94">
        <v>0.73313657407407407</v>
      </c>
      <c r="C181" s="95">
        <v>156.6</v>
      </c>
      <c r="D181" s="90">
        <v>-1.51</v>
      </c>
      <c r="E181" s="90">
        <v>159</v>
      </c>
      <c r="F181" s="90">
        <v>159</v>
      </c>
      <c r="G181" s="90">
        <v>159</v>
      </c>
      <c r="H181" s="90">
        <v>156.6</v>
      </c>
      <c r="I181" s="90">
        <v>100</v>
      </c>
      <c r="J181" s="96">
        <v>15804</v>
      </c>
      <c r="K181" s="90">
        <v>2</v>
      </c>
    </row>
    <row r="182" spans="1:11" x14ac:dyDescent="0.25">
      <c r="A182" s="91" t="s">
        <v>304</v>
      </c>
      <c r="B182" s="97">
        <v>0.73313657407407407</v>
      </c>
      <c r="C182" s="98">
        <v>660.25</v>
      </c>
      <c r="D182" s="93">
        <v>0</v>
      </c>
      <c r="E182" s="93">
        <v>660.25</v>
      </c>
      <c r="F182" s="93">
        <v>660.25</v>
      </c>
      <c r="G182" s="93">
        <v>660.25</v>
      </c>
      <c r="H182" s="93">
        <v>660.25</v>
      </c>
      <c r="I182" s="93">
        <v>12</v>
      </c>
      <c r="J182" s="99">
        <v>7923</v>
      </c>
      <c r="K182" s="93">
        <v>1</v>
      </c>
    </row>
    <row r="183" spans="1:11" ht="21" x14ac:dyDescent="0.25">
      <c r="A183" s="88" t="s">
        <v>305</v>
      </c>
      <c r="B183" s="94">
        <v>0.73313657407407407</v>
      </c>
      <c r="C183" s="101">
        <v>2270</v>
      </c>
      <c r="D183" s="90">
        <v>-0.87</v>
      </c>
      <c r="E183" s="89">
        <v>2290</v>
      </c>
      <c r="F183" s="89">
        <v>2290</v>
      </c>
      <c r="G183" s="89">
        <v>2290</v>
      </c>
      <c r="H183" s="89">
        <v>2250</v>
      </c>
      <c r="I183" s="90">
        <v>350</v>
      </c>
      <c r="J183" s="96">
        <v>792569</v>
      </c>
      <c r="K183" s="90">
        <v>28</v>
      </c>
    </row>
    <row r="184" spans="1:11" ht="21" x14ac:dyDescent="0.25">
      <c r="A184" s="91" t="s">
        <v>306</v>
      </c>
      <c r="B184" s="97">
        <v>0.73313657407407407</v>
      </c>
      <c r="C184" s="98">
        <v>258.39999999999998</v>
      </c>
      <c r="D184" s="93">
        <v>0.33</v>
      </c>
      <c r="E184" s="93">
        <v>257.55</v>
      </c>
      <c r="F184" s="93">
        <v>257.55</v>
      </c>
      <c r="G184" s="93">
        <v>258.85000000000002</v>
      </c>
      <c r="H184" s="93">
        <v>257.55</v>
      </c>
      <c r="I184" s="93">
        <v>200</v>
      </c>
      <c r="J184" s="99">
        <v>51666</v>
      </c>
      <c r="K184" s="93">
        <v>4</v>
      </c>
    </row>
    <row r="185" spans="1:11" ht="21" x14ac:dyDescent="0.25">
      <c r="A185" s="88" t="s">
        <v>307</v>
      </c>
      <c r="B185" s="94">
        <v>0.73313657407407407</v>
      </c>
      <c r="C185" s="95">
        <v>36.5</v>
      </c>
      <c r="D185" s="90">
        <v>-0.82</v>
      </c>
      <c r="E185" s="90">
        <v>36.799999999999997</v>
      </c>
      <c r="F185" s="90">
        <v>36.799999999999997</v>
      </c>
      <c r="G185" s="90">
        <v>36.799999999999997</v>
      </c>
      <c r="H185" s="90">
        <v>36.200000000000003</v>
      </c>
      <c r="I185" s="96">
        <v>3716</v>
      </c>
      <c r="J185" s="96">
        <v>135971</v>
      </c>
      <c r="K185" s="90">
        <v>10</v>
      </c>
    </row>
    <row r="186" spans="1:11" x14ac:dyDescent="0.25">
      <c r="A186" s="91" t="s">
        <v>308</v>
      </c>
      <c r="B186" s="97">
        <v>0.5189583333333333</v>
      </c>
      <c r="C186" s="98">
        <v>960</v>
      </c>
      <c r="D186" s="93">
        <v>40.58</v>
      </c>
      <c r="E186" s="93">
        <v>682.9</v>
      </c>
      <c r="F186" s="93">
        <v>960</v>
      </c>
      <c r="G186" s="93">
        <v>960</v>
      </c>
      <c r="H186" s="93">
        <v>960</v>
      </c>
      <c r="I186" s="93">
        <v>100</v>
      </c>
      <c r="J186" s="99">
        <v>96000</v>
      </c>
      <c r="K186" s="93">
        <v>1</v>
      </c>
    </row>
    <row r="187" spans="1:11" ht="21" x14ac:dyDescent="0.25">
      <c r="A187" s="88" t="s">
        <v>309</v>
      </c>
      <c r="B187" s="94">
        <v>0.50722222222222224</v>
      </c>
      <c r="C187" s="95">
        <v>82.8</v>
      </c>
      <c r="D187" s="90">
        <v>-6.97</v>
      </c>
      <c r="E187" s="90">
        <v>89</v>
      </c>
      <c r="F187" s="90">
        <v>82.8</v>
      </c>
      <c r="G187" s="90">
        <v>82.8</v>
      </c>
      <c r="H187" s="90">
        <v>82.8</v>
      </c>
      <c r="I187" s="96">
        <v>7447</v>
      </c>
      <c r="J187" s="96">
        <v>616612</v>
      </c>
      <c r="K187" s="90">
        <v>1</v>
      </c>
    </row>
    <row r="188" spans="1:11" ht="21" x14ac:dyDescent="0.25">
      <c r="A188" s="91" t="s">
        <v>310</v>
      </c>
      <c r="B188" s="97">
        <v>0.73313657407407407</v>
      </c>
      <c r="C188" s="98">
        <v>88.2</v>
      </c>
      <c r="D188" s="93">
        <v>0.63</v>
      </c>
      <c r="E188" s="93">
        <v>87.65</v>
      </c>
      <c r="F188" s="93">
        <v>88.8</v>
      </c>
      <c r="G188" s="93">
        <v>88.8</v>
      </c>
      <c r="H188" s="93">
        <v>86.75</v>
      </c>
      <c r="I188" s="99">
        <v>118650</v>
      </c>
      <c r="J188" s="99">
        <v>10380062</v>
      </c>
      <c r="K188" s="93">
        <v>160</v>
      </c>
    </row>
    <row r="189" spans="1:11" ht="21" x14ac:dyDescent="0.25">
      <c r="A189" s="88" t="s">
        <v>311</v>
      </c>
      <c r="B189" s="94">
        <v>0.52974537037037039</v>
      </c>
      <c r="C189" s="95">
        <v>87.65</v>
      </c>
      <c r="D189" s="90">
        <v>-0.62</v>
      </c>
      <c r="E189" s="90">
        <v>88.2</v>
      </c>
      <c r="F189" s="90">
        <v>88</v>
      </c>
      <c r="G189" s="90">
        <v>88</v>
      </c>
      <c r="H189" s="90">
        <v>87.5</v>
      </c>
      <c r="I189" s="90">
        <v>142</v>
      </c>
      <c r="J189" s="96">
        <v>12446</v>
      </c>
      <c r="K189" s="90">
        <v>2</v>
      </c>
    </row>
    <row r="190" spans="1:11" x14ac:dyDescent="0.25">
      <c r="A190"/>
      <c r="B190"/>
      <c r="C190"/>
      <c r="D190"/>
      <c r="E190"/>
      <c r="F190"/>
      <c r="G190"/>
      <c r="H190"/>
      <c r="I190"/>
      <c r="J190"/>
      <c r="K190"/>
    </row>
    <row r="191" spans="1:11" x14ac:dyDescent="0.25">
      <c r="A191" s="85" t="s">
        <v>312</v>
      </c>
      <c r="B191"/>
      <c r="C191"/>
      <c r="D191"/>
      <c r="E191"/>
      <c r="F191"/>
      <c r="G191"/>
      <c r="H191"/>
      <c r="I191"/>
      <c r="J191"/>
      <c r="K191"/>
    </row>
    <row r="192" spans="1:11" x14ac:dyDescent="0.25">
      <c r="A192" s="84"/>
      <c r="B192"/>
      <c r="C192"/>
      <c r="D192"/>
      <c r="E192"/>
      <c r="F192"/>
      <c r="G192"/>
      <c r="H192"/>
      <c r="I192"/>
      <c r="J192"/>
      <c r="K192"/>
    </row>
    <row r="193" spans="1:11" x14ac:dyDescent="0.25">
      <c r="A193"/>
      <c r="B193"/>
      <c r="C193"/>
      <c r="D193"/>
      <c r="E193"/>
      <c r="F193"/>
      <c r="G193"/>
      <c r="H193"/>
      <c r="I193"/>
      <c r="J193"/>
      <c r="K193"/>
    </row>
    <row r="194" spans="1:11" ht="21" x14ac:dyDescent="0.25">
      <c r="A194" s="87" t="s">
        <v>145</v>
      </c>
      <c r="B194" s="87" t="s">
        <v>146</v>
      </c>
      <c r="C194" s="87" t="s">
        <v>133</v>
      </c>
      <c r="D194" s="87" t="s">
        <v>134</v>
      </c>
      <c r="E194" s="87" t="s">
        <v>135</v>
      </c>
      <c r="F194" s="87" t="s">
        <v>136</v>
      </c>
      <c r="G194" s="87" t="s">
        <v>137</v>
      </c>
      <c r="H194" s="87" t="s">
        <v>138</v>
      </c>
      <c r="I194" s="87" t="s">
        <v>147</v>
      </c>
      <c r="J194" s="87" t="s">
        <v>148</v>
      </c>
      <c r="K194" s="87" t="s">
        <v>149</v>
      </c>
    </row>
    <row r="195" spans="1:11" x14ac:dyDescent="0.25">
      <c r="A195"/>
      <c r="B195"/>
      <c r="C195"/>
      <c r="D195"/>
      <c r="E195"/>
      <c r="F195"/>
      <c r="G195"/>
      <c r="H195"/>
      <c r="I195"/>
      <c r="J195"/>
      <c r="K195"/>
    </row>
    <row r="196" spans="1:11" x14ac:dyDescent="0.25">
      <c r="A196" s="85" t="s">
        <v>313</v>
      </c>
      <c r="B196"/>
      <c r="C196"/>
      <c r="D196"/>
      <c r="E196"/>
      <c r="F196"/>
      <c r="G196"/>
      <c r="H196"/>
      <c r="I196"/>
      <c r="J196"/>
      <c r="K196"/>
    </row>
    <row r="197" spans="1:11" x14ac:dyDescent="0.25">
      <c r="A197" s="84"/>
      <c r="B197"/>
      <c r="C197"/>
      <c r="D197"/>
      <c r="E197"/>
      <c r="F197"/>
      <c r="G197"/>
      <c r="H197"/>
      <c r="I197"/>
      <c r="J197"/>
      <c r="K197"/>
    </row>
    <row r="198" spans="1:11" x14ac:dyDescent="0.25">
      <c r="A198"/>
      <c r="B198"/>
      <c r="C198"/>
      <c r="D198"/>
      <c r="E198"/>
      <c r="F198"/>
      <c r="G198"/>
      <c r="H198"/>
      <c r="I198"/>
      <c r="J198"/>
      <c r="K198"/>
    </row>
    <row r="199" spans="1:11" ht="21" x14ac:dyDescent="0.25">
      <c r="A199" s="87" t="s">
        <v>145</v>
      </c>
      <c r="B199" s="87" t="s">
        <v>146</v>
      </c>
      <c r="C199" s="87" t="s">
        <v>133</v>
      </c>
      <c r="D199" s="87" t="s">
        <v>134</v>
      </c>
      <c r="E199" s="87" t="s">
        <v>135</v>
      </c>
      <c r="F199" s="87" t="s">
        <v>136</v>
      </c>
      <c r="G199" s="87" t="s">
        <v>137</v>
      </c>
      <c r="H199" s="87" t="s">
        <v>138</v>
      </c>
      <c r="I199" s="87" t="s">
        <v>147</v>
      </c>
      <c r="J199" s="87" t="s">
        <v>148</v>
      </c>
      <c r="K199" s="87" t="s">
        <v>149</v>
      </c>
    </row>
    <row r="200" spans="1:11" x14ac:dyDescent="0.25">
      <c r="A200"/>
      <c r="B200"/>
      <c r="C200"/>
      <c r="D200"/>
      <c r="E200"/>
      <c r="F200"/>
      <c r="G200"/>
      <c r="H200"/>
      <c r="I200"/>
      <c r="J200"/>
      <c r="K200"/>
    </row>
    <row r="201" spans="1:11" x14ac:dyDescent="0.25">
      <c r="A201" s="85" t="s">
        <v>314</v>
      </c>
      <c r="B201"/>
      <c r="C201"/>
      <c r="D201"/>
      <c r="E201"/>
      <c r="F201"/>
      <c r="G201"/>
      <c r="H201"/>
      <c r="I201"/>
      <c r="J201"/>
      <c r="K201"/>
    </row>
    <row r="202" spans="1:11" x14ac:dyDescent="0.25">
      <c r="A202" s="84"/>
      <c r="B202"/>
      <c r="C202"/>
      <c r="D202"/>
      <c r="E202"/>
      <c r="F202"/>
      <c r="G202"/>
      <c r="H202"/>
      <c r="I202"/>
      <c r="J202"/>
      <c r="K202"/>
    </row>
    <row r="203" spans="1:11" x14ac:dyDescent="0.25">
      <c r="A203"/>
      <c r="B203"/>
      <c r="C203"/>
      <c r="D203"/>
      <c r="E203"/>
      <c r="F203"/>
      <c r="G203"/>
      <c r="H203"/>
      <c r="I203"/>
      <c r="J203"/>
      <c r="K203"/>
    </row>
    <row r="204" spans="1:11" ht="21" x14ac:dyDescent="0.25">
      <c r="A204" s="87" t="s">
        <v>145</v>
      </c>
      <c r="B204" s="87" t="s">
        <v>146</v>
      </c>
      <c r="C204" s="87" t="s">
        <v>133</v>
      </c>
      <c r="D204" s="87" t="s">
        <v>134</v>
      </c>
      <c r="E204" s="87" t="s">
        <v>135</v>
      </c>
      <c r="F204" s="87" t="s">
        <v>136</v>
      </c>
      <c r="G204" s="87" t="s">
        <v>137</v>
      </c>
      <c r="H204" s="87" t="s">
        <v>138</v>
      </c>
      <c r="I204" s="87" t="s">
        <v>147</v>
      </c>
      <c r="J204" s="87" t="s">
        <v>148</v>
      </c>
      <c r="K204" s="87" t="s">
        <v>149</v>
      </c>
    </row>
    <row r="205" spans="1:11" ht="21" x14ac:dyDescent="0.25">
      <c r="A205" s="88" t="s">
        <v>315</v>
      </c>
      <c r="B205" s="94">
        <v>0.7330902777777778</v>
      </c>
      <c r="C205" s="101">
        <v>1835</v>
      </c>
      <c r="D205" s="90">
        <v>-0.28999999999999998</v>
      </c>
      <c r="E205" s="89">
        <v>1840.4</v>
      </c>
      <c r="F205" s="89">
        <v>1843</v>
      </c>
      <c r="G205" s="89">
        <v>1844</v>
      </c>
      <c r="H205" s="89">
        <v>1835</v>
      </c>
      <c r="I205" s="96">
        <v>107000</v>
      </c>
      <c r="J205" s="96">
        <v>1967290</v>
      </c>
      <c r="K205" s="90">
        <v>6</v>
      </c>
    </row>
    <row r="206" spans="1:11" ht="21" x14ac:dyDescent="0.25">
      <c r="A206" s="91" t="s">
        <v>316</v>
      </c>
      <c r="B206" s="97">
        <v>0.73314814814814822</v>
      </c>
      <c r="C206" s="100">
        <v>1840</v>
      </c>
      <c r="D206" s="93">
        <v>-0.65</v>
      </c>
      <c r="E206" s="92">
        <v>1852</v>
      </c>
      <c r="F206" s="92">
        <v>1840</v>
      </c>
      <c r="G206" s="92">
        <v>1850</v>
      </c>
      <c r="H206" s="92">
        <v>1840</v>
      </c>
      <c r="I206" s="99">
        <v>461000</v>
      </c>
      <c r="J206" s="99">
        <v>8507756</v>
      </c>
      <c r="K206" s="93">
        <v>25</v>
      </c>
    </row>
    <row r="207" spans="1:11" ht="21" x14ac:dyDescent="0.25">
      <c r="A207" s="88" t="s">
        <v>317</v>
      </c>
      <c r="B207" s="94">
        <v>0.73314814814814822</v>
      </c>
      <c r="C207" s="95">
        <v>106.248</v>
      </c>
      <c r="D207" s="90">
        <v>0.42</v>
      </c>
      <c r="E207" s="90">
        <v>105.8</v>
      </c>
      <c r="F207" s="90">
        <v>106.25</v>
      </c>
      <c r="G207" s="90">
        <v>106.3</v>
      </c>
      <c r="H207" s="90">
        <v>105.95</v>
      </c>
      <c r="I207" s="96">
        <v>151000</v>
      </c>
      <c r="J207" s="96">
        <v>160304</v>
      </c>
      <c r="K207" s="90">
        <v>20</v>
      </c>
    </row>
    <row r="208" spans="1:11" ht="21" x14ac:dyDescent="0.25">
      <c r="A208" s="91" t="s">
        <v>318</v>
      </c>
      <c r="B208" s="97">
        <v>0.73314814814814822</v>
      </c>
      <c r="C208" s="100">
        <v>1900</v>
      </c>
      <c r="D208" s="93">
        <v>-0.78</v>
      </c>
      <c r="E208" s="92">
        <v>1915</v>
      </c>
      <c r="F208" s="92">
        <v>1915</v>
      </c>
      <c r="G208" s="92">
        <v>1915</v>
      </c>
      <c r="H208" s="92">
        <v>1896</v>
      </c>
      <c r="I208" s="99">
        <v>259000</v>
      </c>
      <c r="J208" s="99">
        <v>4926311</v>
      </c>
      <c r="K208" s="93">
        <v>37</v>
      </c>
    </row>
    <row r="209" spans="1:11" ht="21" x14ac:dyDescent="0.25">
      <c r="A209" s="88" t="s">
        <v>319</v>
      </c>
      <c r="B209" s="94">
        <v>0.66700231481481476</v>
      </c>
      <c r="C209" s="101">
        <v>1905</v>
      </c>
      <c r="D209" s="90">
        <v>-0.26</v>
      </c>
      <c r="E209" s="89">
        <v>1910</v>
      </c>
      <c r="F209" s="89">
        <v>1905</v>
      </c>
      <c r="G209" s="89">
        <v>1905</v>
      </c>
      <c r="H209" s="89">
        <v>1905</v>
      </c>
      <c r="I209" s="96">
        <v>9000</v>
      </c>
      <c r="J209" s="96">
        <v>171450</v>
      </c>
      <c r="K209" s="90">
        <v>2</v>
      </c>
    </row>
    <row r="210" spans="1:11" ht="21" x14ac:dyDescent="0.25">
      <c r="A210" s="91" t="s">
        <v>320</v>
      </c>
      <c r="B210" s="97">
        <v>0.73314814814814822</v>
      </c>
      <c r="C210" s="98">
        <v>109.75</v>
      </c>
      <c r="D210" s="93">
        <v>0.32</v>
      </c>
      <c r="E210" s="93">
        <v>109.4</v>
      </c>
      <c r="F210" s="93">
        <v>109.9</v>
      </c>
      <c r="G210" s="93">
        <v>109.9</v>
      </c>
      <c r="H210" s="93">
        <v>109.1</v>
      </c>
      <c r="I210" s="99">
        <v>158000</v>
      </c>
      <c r="J210" s="99">
        <v>172898</v>
      </c>
      <c r="K210" s="93">
        <v>19</v>
      </c>
    </row>
    <row r="211" spans="1:11" ht="21" x14ac:dyDescent="0.25">
      <c r="A211" s="88" t="s">
        <v>321</v>
      </c>
      <c r="B211" s="94">
        <v>0.66689814814814818</v>
      </c>
      <c r="C211" s="95">
        <v>108.9</v>
      </c>
      <c r="D211" s="90">
        <v>-0.55000000000000004</v>
      </c>
      <c r="E211" s="90">
        <v>109.5</v>
      </c>
      <c r="F211" s="90">
        <v>108.9</v>
      </c>
      <c r="G211" s="90">
        <v>108.9</v>
      </c>
      <c r="H211" s="90">
        <v>108.9</v>
      </c>
      <c r="I211" s="96">
        <v>9000</v>
      </c>
      <c r="J211" s="96">
        <v>9801</v>
      </c>
      <c r="K211" s="90">
        <v>1</v>
      </c>
    </row>
    <row r="212" spans="1:11" ht="21" x14ac:dyDescent="0.25">
      <c r="A212" s="91" t="s">
        <v>322</v>
      </c>
      <c r="B212" s="97">
        <v>0.73314814814814822</v>
      </c>
      <c r="C212" s="100">
        <v>1889</v>
      </c>
      <c r="D212" s="93">
        <v>-0.57999999999999996</v>
      </c>
      <c r="E212" s="92">
        <v>1900</v>
      </c>
      <c r="F212" s="92">
        <v>1880</v>
      </c>
      <c r="G212" s="92">
        <v>1920</v>
      </c>
      <c r="H212" s="92">
        <v>1880</v>
      </c>
      <c r="I212" s="99">
        <v>201955</v>
      </c>
      <c r="J212" s="99">
        <v>3824785</v>
      </c>
      <c r="K212" s="93">
        <v>28</v>
      </c>
    </row>
    <row r="213" spans="1:11" ht="21" x14ac:dyDescent="0.25">
      <c r="A213" s="88" t="s">
        <v>323</v>
      </c>
      <c r="B213" s="94">
        <v>0.73314814814814822</v>
      </c>
      <c r="C213" s="95">
        <v>108.5</v>
      </c>
      <c r="D213" s="90">
        <v>0.19</v>
      </c>
      <c r="E213" s="90">
        <v>108.3</v>
      </c>
      <c r="F213" s="90">
        <v>108.5</v>
      </c>
      <c r="G213" s="90">
        <v>109.5</v>
      </c>
      <c r="H213" s="90">
        <v>108.5</v>
      </c>
      <c r="I213" s="96">
        <v>298453</v>
      </c>
      <c r="J213" s="96">
        <v>324423</v>
      </c>
      <c r="K213" s="90">
        <v>20</v>
      </c>
    </row>
    <row r="214" spans="1:11" ht="21" x14ac:dyDescent="0.25">
      <c r="A214" s="91" t="s">
        <v>324</v>
      </c>
      <c r="B214" s="97">
        <v>0.7330902777777778</v>
      </c>
      <c r="C214" s="98">
        <v>108.5</v>
      </c>
      <c r="D214" s="93">
        <v>0.19</v>
      </c>
      <c r="E214" s="93">
        <v>108.3</v>
      </c>
      <c r="F214" s="93">
        <v>108.5</v>
      </c>
      <c r="G214" s="93">
        <v>108.5</v>
      </c>
      <c r="H214" s="93">
        <v>108.5</v>
      </c>
      <c r="I214" s="99">
        <v>20000</v>
      </c>
      <c r="J214" s="99">
        <v>21700</v>
      </c>
      <c r="K214" s="93">
        <v>1</v>
      </c>
    </row>
    <row r="215" spans="1:11" ht="21" x14ac:dyDescent="0.25">
      <c r="A215" s="88" t="s">
        <v>325</v>
      </c>
      <c r="B215" s="94">
        <v>0.73314814814814822</v>
      </c>
      <c r="C215" s="101">
        <v>2006</v>
      </c>
      <c r="D215" s="90">
        <v>-0.5</v>
      </c>
      <c r="E215" s="89">
        <v>2016</v>
      </c>
      <c r="F215" s="89">
        <v>2006</v>
      </c>
      <c r="G215" s="89">
        <v>2006</v>
      </c>
      <c r="H215" s="89">
        <v>2006</v>
      </c>
      <c r="I215" s="96">
        <v>150000</v>
      </c>
      <c r="J215" s="96">
        <v>3009000</v>
      </c>
      <c r="K215" s="90">
        <v>1</v>
      </c>
    </row>
    <row r="216" spans="1:11" ht="21" x14ac:dyDescent="0.25">
      <c r="A216" s="91" t="s">
        <v>326</v>
      </c>
      <c r="B216" s="97">
        <v>0.73310185185185184</v>
      </c>
      <c r="C216" s="100">
        <v>1985</v>
      </c>
      <c r="D216" s="93">
        <v>0.25</v>
      </c>
      <c r="E216" s="92">
        <v>1980</v>
      </c>
      <c r="F216" s="92">
        <v>1984</v>
      </c>
      <c r="G216" s="92">
        <v>1985</v>
      </c>
      <c r="H216" s="92">
        <v>1984</v>
      </c>
      <c r="I216" s="99">
        <v>1030</v>
      </c>
      <c r="J216" s="99">
        <v>20435</v>
      </c>
      <c r="K216" s="93">
        <v>2</v>
      </c>
    </row>
    <row r="217" spans="1:11" ht="21" x14ac:dyDescent="0.25">
      <c r="A217" s="88" t="s">
        <v>327</v>
      </c>
      <c r="B217" s="94">
        <v>0.73314814814814822</v>
      </c>
      <c r="C217" s="101">
        <v>1985</v>
      </c>
      <c r="D217" s="90">
        <v>-0.4</v>
      </c>
      <c r="E217" s="89">
        <v>1993</v>
      </c>
      <c r="F217" s="89">
        <v>1989</v>
      </c>
      <c r="G217" s="89">
        <v>1995</v>
      </c>
      <c r="H217" s="89">
        <v>1980</v>
      </c>
      <c r="I217" s="96">
        <v>1442500</v>
      </c>
      <c r="J217" s="96">
        <v>28662136</v>
      </c>
      <c r="K217" s="90">
        <v>96</v>
      </c>
    </row>
    <row r="218" spans="1:11" ht="21" x14ac:dyDescent="0.25">
      <c r="A218" s="91" t="s">
        <v>328</v>
      </c>
      <c r="B218" s="97">
        <v>0.73314814814814822</v>
      </c>
      <c r="C218" s="98">
        <v>114.2</v>
      </c>
      <c r="D218" s="93">
        <v>0.4</v>
      </c>
      <c r="E218" s="93">
        <v>113.75</v>
      </c>
      <c r="F218" s="93">
        <v>114</v>
      </c>
      <c r="G218" s="93">
        <v>114.3</v>
      </c>
      <c r="H218" s="93">
        <v>113.9</v>
      </c>
      <c r="I218" s="99">
        <v>2015684</v>
      </c>
      <c r="J218" s="99">
        <v>2301627</v>
      </c>
      <c r="K218" s="93">
        <v>50</v>
      </c>
    </row>
    <row r="219" spans="1:11" ht="21" x14ac:dyDescent="0.25">
      <c r="A219" s="88" t="s">
        <v>329</v>
      </c>
      <c r="B219" s="94">
        <v>0.73314814814814822</v>
      </c>
      <c r="C219" s="101">
        <v>1982</v>
      </c>
      <c r="D219" s="90">
        <v>-0.3</v>
      </c>
      <c r="E219" s="89">
        <v>1988</v>
      </c>
      <c r="F219" s="89">
        <v>1982</v>
      </c>
      <c r="G219" s="89">
        <v>1982</v>
      </c>
      <c r="H219" s="89">
        <v>1982</v>
      </c>
      <c r="I219" s="96">
        <v>1000000</v>
      </c>
      <c r="J219" s="96">
        <v>19820000</v>
      </c>
      <c r="K219" s="90">
        <v>1</v>
      </c>
    </row>
    <row r="220" spans="1:11" ht="21" x14ac:dyDescent="0.25">
      <c r="A220" s="91" t="s">
        <v>330</v>
      </c>
      <c r="B220" s="97">
        <v>0.73314814814814822</v>
      </c>
      <c r="C220" s="98">
        <v>113.9</v>
      </c>
      <c r="D220" s="93">
        <v>0.35</v>
      </c>
      <c r="E220" s="93">
        <v>113.5</v>
      </c>
      <c r="F220" s="93">
        <v>113.9</v>
      </c>
      <c r="G220" s="93">
        <v>113.9</v>
      </c>
      <c r="H220" s="93">
        <v>113.9</v>
      </c>
      <c r="I220" s="99">
        <v>150000</v>
      </c>
      <c r="J220" s="99">
        <v>170850</v>
      </c>
      <c r="K220" s="93">
        <v>1</v>
      </c>
    </row>
    <row r="221" spans="1:11" ht="21" x14ac:dyDescent="0.25">
      <c r="A221" s="88" t="s">
        <v>331</v>
      </c>
      <c r="B221" s="94">
        <v>0.73312499999999992</v>
      </c>
      <c r="C221" s="101">
        <v>1766</v>
      </c>
      <c r="D221" s="90">
        <v>0.06</v>
      </c>
      <c r="E221" s="89">
        <v>1765</v>
      </c>
      <c r="F221" s="89">
        <v>1766</v>
      </c>
      <c r="G221" s="89">
        <v>1766</v>
      </c>
      <c r="H221" s="89">
        <v>1762</v>
      </c>
      <c r="I221" s="96">
        <v>85000</v>
      </c>
      <c r="J221" s="96">
        <v>1499240</v>
      </c>
      <c r="K221" s="90">
        <v>10</v>
      </c>
    </row>
    <row r="222" spans="1:11" ht="21" x14ac:dyDescent="0.25">
      <c r="A222" s="91" t="s">
        <v>332</v>
      </c>
      <c r="B222" s="97">
        <v>0.73314814814814822</v>
      </c>
      <c r="C222" s="100">
        <v>1777.25</v>
      </c>
      <c r="D222" s="93">
        <v>0.18</v>
      </c>
      <c r="E222" s="92">
        <v>1774</v>
      </c>
      <c r="F222" s="92">
        <v>1770</v>
      </c>
      <c r="G222" s="92">
        <v>1799</v>
      </c>
      <c r="H222" s="92">
        <v>1766</v>
      </c>
      <c r="I222" s="99">
        <v>877000</v>
      </c>
      <c r="J222" s="99">
        <v>15517226</v>
      </c>
      <c r="K222" s="93">
        <v>69</v>
      </c>
    </row>
    <row r="223" spans="1:11" ht="21" x14ac:dyDescent="0.25">
      <c r="A223" s="88" t="s">
        <v>333</v>
      </c>
      <c r="B223" s="94">
        <v>0.73314814814814822</v>
      </c>
      <c r="C223" s="95">
        <v>102.2</v>
      </c>
      <c r="D223" s="90">
        <v>1.04</v>
      </c>
      <c r="E223" s="90">
        <v>101.15</v>
      </c>
      <c r="F223" s="90">
        <v>101.4</v>
      </c>
      <c r="G223" s="90">
        <v>102.5</v>
      </c>
      <c r="H223" s="90">
        <v>101</v>
      </c>
      <c r="I223" s="96">
        <v>908000</v>
      </c>
      <c r="J223" s="96">
        <v>925681</v>
      </c>
      <c r="K223" s="90">
        <v>51</v>
      </c>
    </row>
    <row r="224" spans="1:11" ht="21" x14ac:dyDescent="0.25">
      <c r="A224" s="91" t="s">
        <v>334</v>
      </c>
      <c r="B224" s="97">
        <v>0.73314814814814822</v>
      </c>
      <c r="C224" s="100">
        <v>1720</v>
      </c>
      <c r="D224" s="93">
        <v>0</v>
      </c>
      <c r="E224" s="92">
        <v>1720</v>
      </c>
      <c r="F224" s="92">
        <v>1700</v>
      </c>
      <c r="G224" s="92">
        <v>1730</v>
      </c>
      <c r="H224" s="92">
        <v>1700</v>
      </c>
      <c r="I224" s="99">
        <v>26292</v>
      </c>
      <c r="J224" s="99">
        <v>453005</v>
      </c>
      <c r="K224" s="93">
        <v>18</v>
      </c>
    </row>
    <row r="225" spans="1:11" ht="21" x14ac:dyDescent="0.25">
      <c r="A225" s="88" t="s">
        <v>335</v>
      </c>
      <c r="B225" s="94">
        <v>0.73314814814814822</v>
      </c>
      <c r="C225" s="95">
        <v>105</v>
      </c>
      <c r="D225" s="90">
        <v>0</v>
      </c>
      <c r="E225" s="90">
        <v>105</v>
      </c>
      <c r="F225" s="90">
        <v>104.8</v>
      </c>
      <c r="G225" s="90">
        <v>106</v>
      </c>
      <c r="H225" s="90">
        <v>104.8</v>
      </c>
      <c r="I225" s="96">
        <v>2199544</v>
      </c>
      <c r="J225" s="96">
        <v>2305480</v>
      </c>
      <c r="K225" s="90">
        <v>5</v>
      </c>
    </row>
    <row r="226" spans="1:11" ht="21" x14ac:dyDescent="0.25">
      <c r="A226" s="91" t="s">
        <v>336</v>
      </c>
      <c r="B226" s="97">
        <v>0.73314814814814822</v>
      </c>
      <c r="C226" s="98">
        <v>102.5</v>
      </c>
      <c r="D226" s="93">
        <v>0.49</v>
      </c>
      <c r="E226" s="93">
        <v>102</v>
      </c>
      <c r="F226" s="93">
        <v>102</v>
      </c>
      <c r="G226" s="93">
        <v>102.5</v>
      </c>
      <c r="H226" s="93">
        <v>102</v>
      </c>
      <c r="I226" s="99">
        <v>36808</v>
      </c>
      <c r="J226" s="99">
        <v>37669</v>
      </c>
      <c r="K226" s="93">
        <v>3</v>
      </c>
    </row>
    <row r="227" spans="1:11" ht="21" x14ac:dyDescent="0.25">
      <c r="A227" s="88" t="s">
        <v>337</v>
      </c>
      <c r="B227" s="94">
        <v>0.7330902777777778</v>
      </c>
      <c r="C227" s="101">
        <v>1912.3</v>
      </c>
      <c r="D227" s="90">
        <v>-0.92</v>
      </c>
      <c r="E227" s="89">
        <v>1930</v>
      </c>
      <c r="F227" s="89">
        <v>1912.3</v>
      </c>
      <c r="G227" s="89">
        <v>1912.3</v>
      </c>
      <c r="H227" s="89">
        <v>1912.3</v>
      </c>
      <c r="I227" s="96">
        <v>16550</v>
      </c>
      <c r="J227" s="96">
        <v>316486</v>
      </c>
      <c r="K227" s="90">
        <v>1</v>
      </c>
    </row>
    <row r="228" spans="1:11" ht="21" x14ac:dyDescent="0.25">
      <c r="A228" s="91" t="s">
        <v>338</v>
      </c>
      <c r="B228" s="97">
        <v>0.73314814814814822</v>
      </c>
      <c r="C228" s="100">
        <v>1910.01</v>
      </c>
      <c r="D228" s="93">
        <v>-1.04</v>
      </c>
      <c r="E228" s="92">
        <v>1930</v>
      </c>
      <c r="F228" s="92">
        <v>1930</v>
      </c>
      <c r="G228" s="92">
        <v>1930</v>
      </c>
      <c r="H228" s="92">
        <v>1900</v>
      </c>
      <c r="I228" s="99">
        <v>89597</v>
      </c>
      <c r="J228" s="99">
        <v>1714850</v>
      </c>
      <c r="K228" s="93">
        <v>29</v>
      </c>
    </row>
    <row r="229" spans="1:11" ht="21" x14ac:dyDescent="0.25">
      <c r="A229" s="88" t="s">
        <v>339</v>
      </c>
      <c r="B229" s="94">
        <v>0.73314814814814822</v>
      </c>
      <c r="C229" s="95">
        <v>110.5</v>
      </c>
      <c r="D229" s="90">
        <v>0.27</v>
      </c>
      <c r="E229" s="90">
        <v>110.2</v>
      </c>
      <c r="F229" s="90">
        <v>110.5</v>
      </c>
      <c r="G229" s="90">
        <v>110.5</v>
      </c>
      <c r="H229" s="90">
        <v>109.9</v>
      </c>
      <c r="I229" s="96">
        <v>2042412</v>
      </c>
      <c r="J229" s="96">
        <v>2250764</v>
      </c>
      <c r="K229" s="90">
        <v>16</v>
      </c>
    </row>
    <row r="230" spans="1:11" ht="21" x14ac:dyDescent="0.25">
      <c r="A230" s="91" t="s">
        <v>340</v>
      </c>
      <c r="B230" s="97">
        <v>0.73314814814814822</v>
      </c>
      <c r="C230" s="98">
        <v>105.5</v>
      </c>
      <c r="D230" s="93">
        <v>-1.4</v>
      </c>
      <c r="E230" s="93">
        <v>107</v>
      </c>
      <c r="F230" s="93">
        <v>105.95</v>
      </c>
      <c r="G230" s="93">
        <v>105.95</v>
      </c>
      <c r="H230" s="93">
        <v>105.5</v>
      </c>
      <c r="I230" s="99">
        <v>15968</v>
      </c>
      <c r="J230" s="99">
        <v>16891</v>
      </c>
      <c r="K230" s="93">
        <v>2</v>
      </c>
    </row>
    <row r="231" spans="1:11" ht="21" x14ac:dyDescent="0.25">
      <c r="A231" s="88" t="s">
        <v>341</v>
      </c>
      <c r="B231" s="94">
        <v>0.70968749999999992</v>
      </c>
      <c r="C231" s="101">
        <v>1991</v>
      </c>
      <c r="D231" s="90">
        <v>-0.95</v>
      </c>
      <c r="E231" s="89">
        <v>2010</v>
      </c>
      <c r="F231" s="89">
        <v>1991</v>
      </c>
      <c r="G231" s="89">
        <v>1991</v>
      </c>
      <c r="H231" s="89">
        <v>1991</v>
      </c>
      <c r="I231" s="96">
        <v>100000</v>
      </c>
      <c r="J231" s="96">
        <v>1991000</v>
      </c>
      <c r="K231" s="90">
        <v>1</v>
      </c>
    </row>
    <row r="232" spans="1:11" ht="21" x14ac:dyDescent="0.25">
      <c r="A232" s="91" t="s">
        <v>342</v>
      </c>
      <c r="B232" s="97">
        <v>0.7330902777777778</v>
      </c>
      <c r="C232" s="100">
        <v>1985</v>
      </c>
      <c r="D232" s="93">
        <v>-1.05</v>
      </c>
      <c r="E232" s="92">
        <v>2006</v>
      </c>
      <c r="F232" s="92">
        <v>1990</v>
      </c>
      <c r="G232" s="92">
        <v>1995</v>
      </c>
      <c r="H232" s="92">
        <v>1985</v>
      </c>
      <c r="I232" s="99">
        <v>567700</v>
      </c>
      <c r="J232" s="99">
        <v>11302251</v>
      </c>
      <c r="K232" s="93">
        <v>25</v>
      </c>
    </row>
    <row r="233" spans="1:11" ht="21" x14ac:dyDescent="0.25">
      <c r="A233" s="88" t="s">
        <v>343</v>
      </c>
      <c r="B233" s="94">
        <v>0.73314814814814822</v>
      </c>
      <c r="C233" s="101">
        <v>1994</v>
      </c>
      <c r="D233" s="90">
        <v>-0.69</v>
      </c>
      <c r="E233" s="89">
        <v>2007.9</v>
      </c>
      <c r="F233" s="89">
        <v>2000</v>
      </c>
      <c r="G233" s="89">
        <v>2000</v>
      </c>
      <c r="H233" s="89">
        <v>1988</v>
      </c>
      <c r="I233" s="96">
        <v>4774494</v>
      </c>
      <c r="J233" s="96">
        <v>95206384</v>
      </c>
      <c r="K233" s="90">
        <v>234</v>
      </c>
    </row>
    <row r="234" spans="1:11" ht="21" x14ac:dyDescent="0.25">
      <c r="A234" s="91" t="s">
        <v>344</v>
      </c>
      <c r="B234" s="97">
        <v>0.70984953703703713</v>
      </c>
      <c r="C234" s="98">
        <v>114.75</v>
      </c>
      <c r="D234" s="93">
        <v>0.13</v>
      </c>
      <c r="E234" s="93">
        <v>114.6</v>
      </c>
      <c r="F234" s="93">
        <v>114.75</v>
      </c>
      <c r="G234" s="93">
        <v>114.75</v>
      </c>
      <c r="H234" s="93">
        <v>114.75</v>
      </c>
      <c r="I234" s="99">
        <v>250000</v>
      </c>
      <c r="J234" s="99">
        <v>286875</v>
      </c>
      <c r="K234" s="93">
        <v>1</v>
      </c>
    </row>
    <row r="235" spans="1:11" ht="21" x14ac:dyDescent="0.25">
      <c r="A235" s="88" t="s">
        <v>345</v>
      </c>
      <c r="B235" s="94">
        <v>0.73314814814814822</v>
      </c>
      <c r="C235" s="95">
        <v>114.84</v>
      </c>
      <c r="D235" s="90">
        <v>0.21</v>
      </c>
      <c r="E235" s="90">
        <v>114.6</v>
      </c>
      <c r="F235" s="90">
        <v>114.75</v>
      </c>
      <c r="G235" s="90">
        <v>115</v>
      </c>
      <c r="H235" s="90">
        <v>114.55</v>
      </c>
      <c r="I235" s="96">
        <v>4071395</v>
      </c>
      <c r="J235" s="96">
        <v>4674556</v>
      </c>
      <c r="K235" s="90">
        <v>105</v>
      </c>
    </row>
    <row r="236" spans="1:11" ht="21" x14ac:dyDescent="0.25">
      <c r="A236" s="91" t="s">
        <v>346</v>
      </c>
      <c r="B236" s="97">
        <v>0.66702546296296295</v>
      </c>
      <c r="C236" s="98">
        <v>114.75</v>
      </c>
      <c r="D236" s="93">
        <v>0.26</v>
      </c>
      <c r="E236" s="93">
        <v>114.45</v>
      </c>
      <c r="F236" s="93">
        <v>114.75</v>
      </c>
      <c r="G236" s="93">
        <v>114.75</v>
      </c>
      <c r="H236" s="93">
        <v>114.75</v>
      </c>
      <c r="I236" s="99">
        <v>150000</v>
      </c>
      <c r="J236" s="99">
        <v>172125</v>
      </c>
      <c r="K236" s="93">
        <v>2</v>
      </c>
    </row>
    <row r="237" spans="1:11" ht="21" x14ac:dyDescent="0.25">
      <c r="A237" s="88" t="s">
        <v>347</v>
      </c>
      <c r="B237" s="94">
        <v>0.71034722222222213</v>
      </c>
      <c r="C237" s="101">
        <v>2076</v>
      </c>
      <c r="D237" s="90">
        <v>-0.14000000000000001</v>
      </c>
      <c r="E237" s="89">
        <v>2079</v>
      </c>
      <c r="F237" s="89">
        <v>2073</v>
      </c>
      <c r="G237" s="89">
        <v>2080</v>
      </c>
      <c r="H237" s="89">
        <v>2072</v>
      </c>
      <c r="I237" s="96">
        <v>2478221</v>
      </c>
      <c r="J237" s="96">
        <v>51407802</v>
      </c>
      <c r="K237" s="90">
        <v>22</v>
      </c>
    </row>
    <row r="238" spans="1:11" ht="21" x14ac:dyDescent="0.25">
      <c r="A238" s="91" t="s">
        <v>348</v>
      </c>
      <c r="B238" s="97">
        <v>0.66876157407407411</v>
      </c>
      <c r="C238" s="100">
        <v>2070</v>
      </c>
      <c r="D238" s="93">
        <v>-0.57999999999999996</v>
      </c>
      <c r="E238" s="92">
        <v>2082</v>
      </c>
      <c r="F238" s="92">
        <v>2063</v>
      </c>
      <c r="G238" s="92">
        <v>2072</v>
      </c>
      <c r="H238" s="92">
        <v>2063</v>
      </c>
      <c r="I238" s="99">
        <v>9767272</v>
      </c>
      <c r="J238" s="99">
        <v>202105986</v>
      </c>
      <c r="K238" s="93">
        <v>289</v>
      </c>
    </row>
    <row r="239" spans="1:11" ht="21" x14ac:dyDescent="0.25">
      <c r="A239" s="88" t="s">
        <v>349</v>
      </c>
      <c r="B239" s="94">
        <v>0.73314814814814822</v>
      </c>
      <c r="C239" s="101">
        <v>2077.9989999999998</v>
      </c>
      <c r="D239" s="90">
        <v>-0.17</v>
      </c>
      <c r="E239" s="89">
        <v>2081.5</v>
      </c>
      <c r="F239" s="89">
        <v>2060</v>
      </c>
      <c r="G239" s="89">
        <v>2078</v>
      </c>
      <c r="H239" s="89">
        <v>2060</v>
      </c>
      <c r="I239" s="96">
        <v>26595500</v>
      </c>
      <c r="J239" s="96">
        <v>551630781</v>
      </c>
      <c r="K239" s="90">
        <v>604</v>
      </c>
    </row>
    <row r="240" spans="1:11" ht="21" x14ac:dyDescent="0.25">
      <c r="A240" s="91" t="s">
        <v>350</v>
      </c>
      <c r="B240" s="97">
        <v>0.66703703703703709</v>
      </c>
      <c r="C240" s="98">
        <v>119.4</v>
      </c>
      <c r="D240" s="93">
        <v>0.59</v>
      </c>
      <c r="E240" s="93">
        <v>118.7</v>
      </c>
      <c r="F240" s="93">
        <v>119</v>
      </c>
      <c r="G240" s="93">
        <v>119.55</v>
      </c>
      <c r="H240" s="93">
        <v>119</v>
      </c>
      <c r="I240" s="99">
        <v>2273236</v>
      </c>
      <c r="J240" s="99">
        <v>2712614</v>
      </c>
      <c r="K240" s="93">
        <v>62</v>
      </c>
    </row>
    <row r="241" spans="1:11" ht="21" x14ac:dyDescent="0.25">
      <c r="A241" s="88" t="s">
        <v>351</v>
      </c>
      <c r="B241" s="94">
        <v>0.73314814814814822</v>
      </c>
      <c r="C241" s="95">
        <v>119.6</v>
      </c>
      <c r="D241" s="90">
        <v>0.76</v>
      </c>
      <c r="E241" s="90">
        <v>118.7</v>
      </c>
      <c r="F241" s="90">
        <v>119.1</v>
      </c>
      <c r="G241" s="90">
        <v>119.6</v>
      </c>
      <c r="H241" s="90">
        <v>118.9</v>
      </c>
      <c r="I241" s="96">
        <v>4199345</v>
      </c>
      <c r="J241" s="96">
        <v>5014572</v>
      </c>
      <c r="K241" s="90">
        <v>77</v>
      </c>
    </row>
    <row r="242" spans="1:11" ht="21" x14ac:dyDescent="0.25">
      <c r="A242" s="91" t="s">
        <v>352</v>
      </c>
      <c r="B242" s="97">
        <v>0.66984953703703709</v>
      </c>
      <c r="C242" s="98">
        <v>119.599</v>
      </c>
      <c r="D242" s="93">
        <v>0.61</v>
      </c>
      <c r="E242" s="93">
        <v>118.87</v>
      </c>
      <c r="F242" s="93">
        <v>119.1</v>
      </c>
      <c r="G242" s="93">
        <v>119.6</v>
      </c>
      <c r="H242" s="93">
        <v>119.1</v>
      </c>
      <c r="I242" s="99">
        <v>2758050</v>
      </c>
      <c r="J242" s="99">
        <v>3289807</v>
      </c>
      <c r="K242" s="93">
        <v>128</v>
      </c>
    </row>
    <row r="243" spans="1:11" ht="21" x14ac:dyDescent="0.25">
      <c r="A243" s="88" t="s">
        <v>353</v>
      </c>
      <c r="B243" s="94">
        <v>0.73314814814814822</v>
      </c>
      <c r="C243" s="95">
        <v>119.438</v>
      </c>
      <c r="D243" s="90">
        <v>0.5</v>
      </c>
      <c r="E243" s="90">
        <v>118.85</v>
      </c>
      <c r="F243" s="90">
        <v>119.15</v>
      </c>
      <c r="G243" s="90">
        <v>119.6</v>
      </c>
      <c r="H243" s="90">
        <v>118.8</v>
      </c>
      <c r="I243" s="96">
        <v>8142540</v>
      </c>
      <c r="J243" s="96">
        <v>9717876</v>
      </c>
      <c r="K243" s="90">
        <v>306</v>
      </c>
    </row>
    <row r="244" spans="1:11" ht="21" x14ac:dyDescent="0.25">
      <c r="A244" s="91" t="s">
        <v>354</v>
      </c>
      <c r="B244" s="97">
        <v>0.71034722222222213</v>
      </c>
      <c r="C244" s="98">
        <v>119.6</v>
      </c>
      <c r="D244" s="93">
        <v>0.8</v>
      </c>
      <c r="E244" s="93">
        <v>118.65</v>
      </c>
      <c r="F244" s="93">
        <v>119.22</v>
      </c>
      <c r="G244" s="93">
        <v>119.6</v>
      </c>
      <c r="H244" s="93">
        <v>119.22</v>
      </c>
      <c r="I244" s="99">
        <v>102236</v>
      </c>
      <c r="J244" s="99">
        <v>122188</v>
      </c>
      <c r="K244" s="93">
        <v>5</v>
      </c>
    </row>
    <row r="245" spans="1:11" ht="21" x14ac:dyDescent="0.25">
      <c r="A245" s="88" t="s">
        <v>355</v>
      </c>
      <c r="B245" s="94">
        <v>0.71031250000000001</v>
      </c>
      <c r="C245" s="95">
        <v>82.05</v>
      </c>
      <c r="D245" s="90">
        <v>0</v>
      </c>
      <c r="E245" s="90">
        <v>0</v>
      </c>
      <c r="F245" s="90">
        <v>82.05</v>
      </c>
      <c r="G245" s="90">
        <v>82.05</v>
      </c>
      <c r="H245" s="90">
        <v>82.05</v>
      </c>
      <c r="I245" s="96">
        <v>2000</v>
      </c>
      <c r="J245" s="96">
        <v>1641</v>
      </c>
      <c r="K245" s="90">
        <v>1</v>
      </c>
    </row>
    <row r="246" spans="1:11" ht="21" x14ac:dyDescent="0.25">
      <c r="A246" s="91" t="s">
        <v>356</v>
      </c>
      <c r="B246" s="97">
        <v>0.73314814814814822</v>
      </c>
      <c r="C246" s="98">
        <v>430</v>
      </c>
      <c r="D246" s="93">
        <v>-1.6</v>
      </c>
      <c r="E246" s="93">
        <v>437</v>
      </c>
      <c r="F246" s="93">
        <v>430</v>
      </c>
      <c r="G246" s="93">
        <v>430</v>
      </c>
      <c r="H246" s="93">
        <v>430</v>
      </c>
      <c r="I246" s="99">
        <v>7000</v>
      </c>
      <c r="J246" s="99">
        <v>30100</v>
      </c>
      <c r="K246" s="93">
        <v>2</v>
      </c>
    </row>
    <row r="247" spans="1:11" ht="21" x14ac:dyDescent="0.25">
      <c r="A247" s="88" t="s">
        <v>357</v>
      </c>
      <c r="B247" s="94">
        <v>0.73314814814814822</v>
      </c>
      <c r="C247" s="101">
        <v>1165</v>
      </c>
      <c r="D247" s="90">
        <v>-0.85</v>
      </c>
      <c r="E247" s="89">
        <v>1175</v>
      </c>
      <c r="F247" s="89">
        <v>1178</v>
      </c>
      <c r="G247" s="89">
        <v>1178</v>
      </c>
      <c r="H247" s="89">
        <v>1160</v>
      </c>
      <c r="I247" s="96">
        <v>1090000</v>
      </c>
      <c r="J247" s="96">
        <v>12646220</v>
      </c>
      <c r="K247" s="90">
        <v>25</v>
      </c>
    </row>
    <row r="248" spans="1:11" ht="21" x14ac:dyDescent="0.25">
      <c r="A248" s="91" t="s">
        <v>358</v>
      </c>
      <c r="B248" s="97">
        <v>0.73314814814814822</v>
      </c>
      <c r="C248" s="100">
        <v>1390</v>
      </c>
      <c r="D248" s="93">
        <v>-0.36</v>
      </c>
      <c r="E248" s="92">
        <v>1395</v>
      </c>
      <c r="F248" s="92">
        <v>1410</v>
      </c>
      <c r="G248" s="92">
        <v>1410</v>
      </c>
      <c r="H248" s="92">
        <v>1390</v>
      </c>
      <c r="I248" s="99">
        <v>44000</v>
      </c>
      <c r="J248" s="99">
        <v>613511</v>
      </c>
      <c r="K248" s="93">
        <v>8</v>
      </c>
    </row>
    <row r="249" spans="1:11" ht="21" x14ac:dyDescent="0.25">
      <c r="A249" s="88" t="s">
        <v>359</v>
      </c>
      <c r="B249" s="94">
        <v>0.71013888888888888</v>
      </c>
      <c r="C249" s="95">
        <v>97.5</v>
      </c>
      <c r="D249" s="90">
        <v>1.93</v>
      </c>
      <c r="E249" s="90">
        <v>95.659000000000006</v>
      </c>
      <c r="F249" s="90">
        <v>97.5</v>
      </c>
      <c r="G249" s="90">
        <v>97.5</v>
      </c>
      <c r="H249" s="90">
        <v>97.5</v>
      </c>
      <c r="I249" s="96">
        <v>1450192</v>
      </c>
      <c r="J249" s="96">
        <v>1413937</v>
      </c>
      <c r="K249" s="90">
        <v>1</v>
      </c>
    </row>
    <row r="250" spans="1:11" ht="21" x14ac:dyDescent="0.25">
      <c r="A250" s="91" t="s">
        <v>360</v>
      </c>
      <c r="B250" s="97">
        <v>0.73314814814814822</v>
      </c>
      <c r="C250" s="100">
        <v>1451</v>
      </c>
      <c r="D250" s="93">
        <v>-0.62</v>
      </c>
      <c r="E250" s="92">
        <v>1460</v>
      </c>
      <c r="F250" s="92">
        <v>1460</v>
      </c>
      <c r="G250" s="92">
        <v>1460</v>
      </c>
      <c r="H250" s="92">
        <v>1450</v>
      </c>
      <c r="I250" s="99">
        <v>6855</v>
      </c>
      <c r="J250" s="99">
        <v>99703</v>
      </c>
      <c r="K250" s="93">
        <v>8</v>
      </c>
    </row>
    <row r="251" spans="1:11" ht="21" x14ac:dyDescent="0.25">
      <c r="A251" s="88" t="s">
        <v>361</v>
      </c>
      <c r="B251" s="94">
        <v>0.73314814814814822</v>
      </c>
      <c r="C251" s="95">
        <v>83.8</v>
      </c>
      <c r="D251" s="90">
        <v>1.58</v>
      </c>
      <c r="E251" s="90">
        <v>82.5</v>
      </c>
      <c r="F251" s="90">
        <v>83.8</v>
      </c>
      <c r="G251" s="90">
        <v>83.8</v>
      </c>
      <c r="H251" s="90">
        <v>83.8</v>
      </c>
      <c r="I251" s="96">
        <v>5911</v>
      </c>
      <c r="J251" s="96">
        <v>4953</v>
      </c>
      <c r="K251" s="90">
        <v>5</v>
      </c>
    </row>
    <row r="252" spans="1:11" ht="21" x14ac:dyDescent="0.25">
      <c r="A252" s="91" t="s">
        <v>362</v>
      </c>
      <c r="B252" s="97">
        <v>0.73314814814814822</v>
      </c>
      <c r="C252" s="100">
        <v>1775</v>
      </c>
      <c r="D252" s="93">
        <v>0.06</v>
      </c>
      <c r="E252" s="92">
        <v>1774</v>
      </c>
      <c r="F252" s="92">
        <v>1775</v>
      </c>
      <c r="G252" s="92">
        <v>1775</v>
      </c>
      <c r="H252" s="92">
        <v>1775</v>
      </c>
      <c r="I252" s="99">
        <v>13270</v>
      </c>
      <c r="J252" s="99">
        <v>235543</v>
      </c>
      <c r="K252" s="93">
        <v>7</v>
      </c>
    </row>
    <row r="253" spans="1:11" ht="21" x14ac:dyDescent="0.25">
      <c r="A253" s="88" t="s">
        <v>363</v>
      </c>
      <c r="B253" s="94">
        <v>0.71021990740740737</v>
      </c>
      <c r="C253" s="101">
        <v>1900</v>
      </c>
      <c r="D253" s="90">
        <v>3.27</v>
      </c>
      <c r="E253" s="89">
        <v>1839.818</v>
      </c>
      <c r="F253" s="89">
        <v>1900</v>
      </c>
      <c r="G253" s="89">
        <v>1900</v>
      </c>
      <c r="H253" s="89">
        <v>1900</v>
      </c>
      <c r="I253" s="96">
        <v>150000</v>
      </c>
      <c r="J253" s="96">
        <v>2850000</v>
      </c>
      <c r="K253" s="90">
        <v>1</v>
      </c>
    </row>
    <row r="254" spans="1:11" ht="21" x14ac:dyDescent="0.25">
      <c r="A254" s="91" t="s">
        <v>364</v>
      </c>
      <c r="B254" s="97">
        <v>0.7330902777777778</v>
      </c>
      <c r="C254" s="100">
        <v>1875</v>
      </c>
      <c r="D254" s="93">
        <v>-0.27</v>
      </c>
      <c r="E254" s="92">
        <v>1880</v>
      </c>
      <c r="F254" s="92">
        <v>1875</v>
      </c>
      <c r="G254" s="92">
        <v>1875</v>
      </c>
      <c r="H254" s="92">
        <v>1875</v>
      </c>
      <c r="I254" s="99">
        <v>5492</v>
      </c>
      <c r="J254" s="99">
        <v>102975</v>
      </c>
      <c r="K254" s="93">
        <v>2</v>
      </c>
    </row>
    <row r="255" spans="1:11" ht="21" x14ac:dyDescent="0.25">
      <c r="A255" s="88" t="s">
        <v>365</v>
      </c>
      <c r="B255" s="94">
        <v>0.73314814814814822</v>
      </c>
      <c r="C255" s="101">
        <v>1882</v>
      </c>
      <c r="D255" s="90">
        <v>-0.42</v>
      </c>
      <c r="E255" s="89">
        <v>1890</v>
      </c>
      <c r="F255" s="89">
        <v>1890</v>
      </c>
      <c r="G255" s="89">
        <v>1890</v>
      </c>
      <c r="H255" s="89">
        <v>1882</v>
      </c>
      <c r="I255" s="96">
        <v>21393</v>
      </c>
      <c r="J255" s="96">
        <v>403505</v>
      </c>
      <c r="K255" s="90">
        <v>10</v>
      </c>
    </row>
    <row r="256" spans="1:11" ht="21" x14ac:dyDescent="0.25">
      <c r="A256" s="91" t="s">
        <v>366</v>
      </c>
      <c r="B256" s="97">
        <v>0.73314814814814822</v>
      </c>
      <c r="C256" s="98">
        <v>108.25</v>
      </c>
      <c r="D256" s="93">
        <v>0.42</v>
      </c>
      <c r="E256" s="93">
        <v>107.8</v>
      </c>
      <c r="F256" s="93">
        <v>109</v>
      </c>
      <c r="G256" s="93">
        <v>109</v>
      </c>
      <c r="H256" s="93">
        <v>108.25</v>
      </c>
      <c r="I256" s="99">
        <v>167435</v>
      </c>
      <c r="J256" s="99">
        <v>181265</v>
      </c>
      <c r="K256" s="93">
        <v>11</v>
      </c>
    </row>
    <row r="257" spans="1:11" ht="21" x14ac:dyDescent="0.25">
      <c r="A257" s="88" t="s">
        <v>367</v>
      </c>
      <c r="B257" s="94">
        <v>0.73314814814814822</v>
      </c>
      <c r="C257" s="95">
        <v>530</v>
      </c>
      <c r="D257" s="90">
        <v>-1.49</v>
      </c>
      <c r="E257" s="90">
        <v>538</v>
      </c>
      <c r="F257" s="90">
        <v>530</v>
      </c>
      <c r="G257" s="90">
        <v>530</v>
      </c>
      <c r="H257" s="90">
        <v>530</v>
      </c>
      <c r="I257" s="96">
        <v>2000</v>
      </c>
      <c r="J257" s="96">
        <v>10600</v>
      </c>
      <c r="K257" s="90">
        <v>1</v>
      </c>
    </row>
    <row r="258" spans="1:11" ht="21" x14ac:dyDescent="0.25">
      <c r="A258" s="91" t="s">
        <v>368</v>
      </c>
      <c r="B258" s="97">
        <v>0.66699074074074083</v>
      </c>
      <c r="C258" s="98">
        <v>532</v>
      </c>
      <c r="D258" s="93">
        <v>0</v>
      </c>
      <c r="E258" s="93">
        <v>532</v>
      </c>
      <c r="F258" s="93">
        <v>532</v>
      </c>
      <c r="G258" s="93">
        <v>532</v>
      </c>
      <c r="H258" s="93">
        <v>532</v>
      </c>
      <c r="I258" s="99">
        <v>236000</v>
      </c>
      <c r="J258" s="99">
        <v>1255520</v>
      </c>
      <c r="K258" s="93">
        <v>3</v>
      </c>
    </row>
    <row r="259" spans="1:11" ht="21" x14ac:dyDescent="0.25">
      <c r="A259" s="88" t="s">
        <v>369</v>
      </c>
      <c r="B259" s="94">
        <v>0.73314814814814822</v>
      </c>
      <c r="C259" s="101">
        <v>2775</v>
      </c>
      <c r="D259" s="90">
        <v>-0.18</v>
      </c>
      <c r="E259" s="89">
        <v>2780</v>
      </c>
      <c r="F259" s="89">
        <v>2770</v>
      </c>
      <c r="G259" s="89">
        <v>2775</v>
      </c>
      <c r="H259" s="89">
        <v>2765</v>
      </c>
      <c r="I259" s="96">
        <v>27025</v>
      </c>
      <c r="J259" s="96">
        <v>748731</v>
      </c>
      <c r="K259" s="90">
        <v>13</v>
      </c>
    </row>
    <row r="260" spans="1:11" ht="21" x14ac:dyDescent="0.25">
      <c r="A260" s="91" t="s">
        <v>370</v>
      </c>
      <c r="B260" s="97">
        <v>0.73314814814814822</v>
      </c>
      <c r="C260" s="98">
        <v>161</v>
      </c>
      <c r="D260" s="93">
        <v>1.8</v>
      </c>
      <c r="E260" s="93">
        <v>158.15</v>
      </c>
      <c r="F260" s="93">
        <v>160</v>
      </c>
      <c r="G260" s="93">
        <v>161</v>
      </c>
      <c r="H260" s="93">
        <v>160</v>
      </c>
      <c r="I260" s="99">
        <v>4860</v>
      </c>
      <c r="J260" s="99">
        <v>7795</v>
      </c>
      <c r="K260" s="93">
        <v>3</v>
      </c>
    </row>
    <row r="261" spans="1:11" ht="21" x14ac:dyDescent="0.25">
      <c r="A261" s="88" t="s">
        <v>371</v>
      </c>
      <c r="B261" s="94">
        <v>0.66700231481481476</v>
      </c>
      <c r="C261" s="101">
        <v>2863</v>
      </c>
      <c r="D261" s="90">
        <v>-0.24</v>
      </c>
      <c r="E261" s="89">
        <v>2870</v>
      </c>
      <c r="F261" s="89">
        <v>2860</v>
      </c>
      <c r="G261" s="89">
        <v>2874</v>
      </c>
      <c r="H261" s="89">
        <v>2860</v>
      </c>
      <c r="I261" s="96">
        <v>201137</v>
      </c>
      <c r="J261" s="96">
        <v>5769612</v>
      </c>
      <c r="K261" s="90">
        <v>40</v>
      </c>
    </row>
    <row r="262" spans="1:11" ht="21" x14ac:dyDescent="0.25">
      <c r="A262" s="91" t="s">
        <v>372</v>
      </c>
      <c r="B262" s="97">
        <v>0.73314814814814822</v>
      </c>
      <c r="C262" s="100">
        <v>2877</v>
      </c>
      <c r="D262" s="93">
        <v>-0.04</v>
      </c>
      <c r="E262" s="92">
        <v>2878</v>
      </c>
      <c r="F262" s="92">
        <v>2874</v>
      </c>
      <c r="G262" s="92">
        <v>2888</v>
      </c>
      <c r="H262" s="92">
        <v>2865</v>
      </c>
      <c r="I262" s="99">
        <v>2702624</v>
      </c>
      <c r="J262" s="99">
        <v>77649779</v>
      </c>
      <c r="K262" s="93">
        <v>190</v>
      </c>
    </row>
    <row r="263" spans="1:11" ht="21" x14ac:dyDescent="0.25">
      <c r="A263" s="88" t="s">
        <v>373</v>
      </c>
      <c r="B263" s="94">
        <v>0.73314814814814822</v>
      </c>
      <c r="C263" s="95">
        <v>165.45</v>
      </c>
      <c r="D263" s="90">
        <v>0.73</v>
      </c>
      <c r="E263" s="90">
        <v>164.25</v>
      </c>
      <c r="F263" s="90">
        <v>165.45</v>
      </c>
      <c r="G263" s="90">
        <v>165.45</v>
      </c>
      <c r="H263" s="90">
        <v>165.45</v>
      </c>
      <c r="I263" s="96">
        <v>8154</v>
      </c>
      <c r="J263" s="96">
        <v>13491</v>
      </c>
      <c r="K263" s="90">
        <v>1</v>
      </c>
    </row>
    <row r="264" spans="1:11" ht="21" x14ac:dyDescent="0.25">
      <c r="A264" s="91" t="s">
        <v>374</v>
      </c>
      <c r="B264" s="97">
        <v>0.6834027777777778</v>
      </c>
      <c r="C264" s="98">
        <v>165</v>
      </c>
      <c r="D264" s="93">
        <v>0.57999999999999996</v>
      </c>
      <c r="E264" s="93">
        <v>164.05</v>
      </c>
      <c r="F264" s="93">
        <v>164.5</v>
      </c>
      <c r="G264" s="93">
        <v>165.4</v>
      </c>
      <c r="H264" s="93">
        <v>164.5</v>
      </c>
      <c r="I264" s="99">
        <v>110292</v>
      </c>
      <c r="J264" s="99">
        <v>182151</v>
      </c>
      <c r="K264" s="93">
        <v>18</v>
      </c>
    </row>
    <row r="265" spans="1:11" ht="21" x14ac:dyDescent="0.25">
      <c r="A265" s="88" t="s">
        <v>375</v>
      </c>
      <c r="B265" s="94">
        <v>0.73314814814814822</v>
      </c>
      <c r="C265" s="95">
        <v>165.4</v>
      </c>
      <c r="D265" s="90">
        <v>0.49</v>
      </c>
      <c r="E265" s="90">
        <v>164.6</v>
      </c>
      <c r="F265" s="90">
        <v>165</v>
      </c>
      <c r="G265" s="90">
        <v>166</v>
      </c>
      <c r="H265" s="90">
        <v>165</v>
      </c>
      <c r="I265" s="96">
        <v>2075364</v>
      </c>
      <c r="J265" s="96">
        <v>3433254</v>
      </c>
      <c r="K265" s="90">
        <v>145</v>
      </c>
    </row>
    <row r="266" spans="1:11" ht="21" x14ac:dyDescent="0.25">
      <c r="A266" s="91" t="s">
        <v>376</v>
      </c>
      <c r="B266" s="97">
        <v>0.73314814814814822</v>
      </c>
      <c r="C266" s="98">
        <v>760</v>
      </c>
      <c r="D266" s="93">
        <v>0.2</v>
      </c>
      <c r="E266" s="93">
        <v>758.5</v>
      </c>
      <c r="F266" s="93">
        <v>760</v>
      </c>
      <c r="G266" s="93">
        <v>764</v>
      </c>
      <c r="H266" s="93">
        <v>759</v>
      </c>
      <c r="I266" s="99">
        <v>8198706</v>
      </c>
      <c r="J266" s="99">
        <v>62431395</v>
      </c>
      <c r="K266" s="93">
        <v>20</v>
      </c>
    </row>
    <row r="267" spans="1:11" ht="21" x14ac:dyDescent="0.25">
      <c r="A267" s="88" t="s">
        <v>377</v>
      </c>
      <c r="B267" s="94">
        <v>0.6670949074074074</v>
      </c>
      <c r="C267" s="95">
        <v>758</v>
      </c>
      <c r="D267" s="90">
        <v>0.4</v>
      </c>
      <c r="E267" s="90">
        <v>755</v>
      </c>
      <c r="F267" s="90">
        <v>758</v>
      </c>
      <c r="G267" s="90">
        <v>758</v>
      </c>
      <c r="H267" s="90">
        <v>758</v>
      </c>
      <c r="I267" s="96">
        <v>1300000</v>
      </c>
      <c r="J267" s="96">
        <v>9854000</v>
      </c>
      <c r="K267" s="90">
        <v>1</v>
      </c>
    </row>
    <row r="268" spans="1:11" ht="21" x14ac:dyDescent="0.25">
      <c r="A268" s="91" t="s">
        <v>378</v>
      </c>
      <c r="B268" s="97">
        <v>0.6670949074074074</v>
      </c>
      <c r="C268" s="100">
        <v>2899</v>
      </c>
      <c r="D268" s="93">
        <v>0.14000000000000001</v>
      </c>
      <c r="E268" s="92">
        <v>2895</v>
      </c>
      <c r="F268" s="92">
        <v>2875</v>
      </c>
      <c r="G268" s="92">
        <v>2899</v>
      </c>
      <c r="H268" s="92">
        <v>2870</v>
      </c>
      <c r="I268" s="99">
        <v>36179</v>
      </c>
      <c r="J268" s="99">
        <v>1038564</v>
      </c>
      <c r="K268" s="93">
        <v>6</v>
      </c>
    </row>
    <row r="269" spans="1:11" ht="21" x14ac:dyDescent="0.25">
      <c r="A269" s="88" t="s">
        <v>379</v>
      </c>
      <c r="B269" s="94">
        <v>0.73315972222222225</v>
      </c>
      <c r="C269" s="101">
        <v>2890</v>
      </c>
      <c r="D269" s="90">
        <v>-0.35</v>
      </c>
      <c r="E269" s="89">
        <v>2900</v>
      </c>
      <c r="F269" s="89">
        <v>2898</v>
      </c>
      <c r="G269" s="89">
        <v>2898</v>
      </c>
      <c r="H269" s="89">
        <v>2880</v>
      </c>
      <c r="I269" s="96">
        <v>35769</v>
      </c>
      <c r="J269" s="96">
        <v>1033286</v>
      </c>
      <c r="K269" s="90">
        <v>10</v>
      </c>
    </row>
    <row r="270" spans="1:11" ht="21" x14ac:dyDescent="0.25">
      <c r="A270" s="91" t="s">
        <v>380</v>
      </c>
      <c r="B270" s="97">
        <v>0.73315972222222225</v>
      </c>
      <c r="C270" s="98">
        <v>166.6</v>
      </c>
      <c r="D270" s="93">
        <v>0.67</v>
      </c>
      <c r="E270" s="93">
        <v>165.5</v>
      </c>
      <c r="F270" s="93">
        <v>165.75</v>
      </c>
      <c r="G270" s="93">
        <v>167</v>
      </c>
      <c r="H270" s="93">
        <v>165.65</v>
      </c>
      <c r="I270" s="99">
        <v>77016</v>
      </c>
      <c r="J270" s="99">
        <v>127834</v>
      </c>
      <c r="K270" s="93">
        <v>9</v>
      </c>
    </row>
    <row r="271" spans="1:11" ht="21" x14ac:dyDescent="0.25">
      <c r="A271" s="88" t="s">
        <v>381</v>
      </c>
      <c r="B271" s="94">
        <v>0.66688657407407403</v>
      </c>
      <c r="C271" s="95">
        <v>39.595999999999997</v>
      </c>
      <c r="D271" s="90">
        <v>-1.01</v>
      </c>
      <c r="E271" s="90">
        <v>40</v>
      </c>
      <c r="F271" s="90">
        <v>39.595999999999997</v>
      </c>
      <c r="G271" s="90">
        <v>39.595999999999997</v>
      </c>
      <c r="H271" s="90">
        <v>39.595999999999997</v>
      </c>
      <c r="I271" s="96">
        <v>1075</v>
      </c>
      <c r="J271" s="90">
        <v>426</v>
      </c>
      <c r="K271" s="90">
        <v>1</v>
      </c>
    </row>
    <row r="272" spans="1:11" ht="21" x14ac:dyDescent="0.25">
      <c r="A272" s="91" t="s">
        <v>382</v>
      </c>
      <c r="B272" s="97">
        <v>0.73315972222222225</v>
      </c>
      <c r="C272" s="98">
        <v>40.5</v>
      </c>
      <c r="D272" s="93">
        <v>0.37</v>
      </c>
      <c r="E272" s="93">
        <v>40.35</v>
      </c>
      <c r="F272" s="93">
        <v>40</v>
      </c>
      <c r="G272" s="93">
        <v>41</v>
      </c>
      <c r="H272" s="93">
        <v>40</v>
      </c>
      <c r="I272" s="99">
        <v>203575</v>
      </c>
      <c r="J272" s="99">
        <v>82930</v>
      </c>
      <c r="K272" s="93">
        <v>4</v>
      </c>
    </row>
    <row r="273" spans="1:11" ht="21" x14ac:dyDescent="0.25">
      <c r="A273" s="88" t="s">
        <v>383</v>
      </c>
      <c r="B273" s="94">
        <v>0.73315972222222225</v>
      </c>
      <c r="C273" s="101">
        <v>1215</v>
      </c>
      <c r="D273" s="90">
        <v>0.83</v>
      </c>
      <c r="E273" s="89">
        <v>1205</v>
      </c>
      <c r="F273" s="89">
        <v>1215</v>
      </c>
      <c r="G273" s="89">
        <v>1215</v>
      </c>
      <c r="H273" s="89">
        <v>1215</v>
      </c>
      <c r="I273" s="90">
        <v>572</v>
      </c>
      <c r="J273" s="96">
        <v>6950</v>
      </c>
      <c r="K273" s="90">
        <v>1</v>
      </c>
    </row>
    <row r="274" spans="1:11" ht="21" x14ac:dyDescent="0.25">
      <c r="A274" s="91" t="s">
        <v>384</v>
      </c>
      <c r="B274" s="97">
        <v>0.7330902777777778</v>
      </c>
      <c r="C274" s="100">
        <v>1210</v>
      </c>
      <c r="D274" s="93">
        <v>-1.22</v>
      </c>
      <c r="E274" s="92">
        <v>1225</v>
      </c>
      <c r="F274" s="92">
        <v>1210</v>
      </c>
      <c r="G274" s="92">
        <v>1210</v>
      </c>
      <c r="H274" s="92">
        <v>1210</v>
      </c>
      <c r="I274" s="99">
        <v>13000</v>
      </c>
      <c r="J274" s="99">
        <v>157300</v>
      </c>
      <c r="K274" s="93">
        <v>3</v>
      </c>
    </row>
    <row r="275" spans="1:11" ht="21" x14ac:dyDescent="0.25">
      <c r="A275" s="88" t="s">
        <v>385</v>
      </c>
      <c r="B275" s="94">
        <v>0.73315972222222225</v>
      </c>
      <c r="C275" s="101">
        <v>1220</v>
      </c>
      <c r="D275" s="90">
        <v>-0.49</v>
      </c>
      <c r="E275" s="89">
        <v>1226</v>
      </c>
      <c r="F275" s="89">
        <v>1224</v>
      </c>
      <c r="G275" s="89">
        <v>1224</v>
      </c>
      <c r="H275" s="89">
        <v>1215</v>
      </c>
      <c r="I275" s="96">
        <v>175944</v>
      </c>
      <c r="J275" s="96">
        <v>2141511</v>
      </c>
      <c r="K275" s="90">
        <v>30</v>
      </c>
    </row>
    <row r="276" spans="1:11" ht="21" x14ac:dyDescent="0.25">
      <c r="A276" s="91" t="s">
        <v>386</v>
      </c>
      <c r="B276" s="97">
        <v>0.73315972222222225</v>
      </c>
      <c r="C276" s="98">
        <v>70.209999999999994</v>
      </c>
      <c r="D276" s="93">
        <v>0.3</v>
      </c>
      <c r="E276" s="93">
        <v>70</v>
      </c>
      <c r="F276" s="93">
        <v>70</v>
      </c>
      <c r="G276" s="93">
        <v>70.209999999999994</v>
      </c>
      <c r="H276" s="93">
        <v>70</v>
      </c>
      <c r="I276" s="99">
        <v>109351</v>
      </c>
      <c r="J276" s="99">
        <v>76732</v>
      </c>
      <c r="K276" s="93">
        <v>10</v>
      </c>
    </row>
    <row r="277" spans="1:11" ht="21" x14ac:dyDescent="0.25">
      <c r="A277" s="88" t="s">
        <v>387</v>
      </c>
      <c r="B277" s="94">
        <v>0.73315972222222225</v>
      </c>
      <c r="C277" s="95">
        <v>342</v>
      </c>
      <c r="D277" s="90">
        <v>-0.87</v>
      </c>
      <c r="E277" s="90">
        <v>345</v>
      </c>
      <c r="F277" s="90">
        <v>347</v>
      </c>
      <c r="G277" s="90">
        <v>347</v>
      </c>
      <c r="H277" s="90">
        <v>337</v>
      </c>
      <c r="I277" s="96">
        <v>106367</v>
      </c>
      <c r="J277" s="96">
        <v>362486</v>
      </c>
      <c r="K277" s="90">
        <v>14</v>
      </c>
    </row>
    <row r="278" spans="1:11" ht="21" x14ac:dyDescent="0.25">
      <c r="A278" s="91" t="s">
        <v>388</v>
      </c>
      <c r="B278" s="97">
        <v>0.70982638888888883</v>
      </c>
      <c r="C278" s="98">
        <v>341.7</v>
      </c>
      <c r="D278" s="93">
        <v>-0.17</v>
      </c>
      <c r="E278" s="93">
        <v>342.28100000000001</v>
      </c>
      <c r="F278" s="93">
        <v>341.7</v>
      </c>
      <c r="G278" s="93">
        <v>341.7</v>
      </c>
      <c r="H278" s="93">
        <v>341.7</v>
      </c>
      <c r="I278" s="99">
        <v>24199</v>
      </c>
      <c r="J278" s="99">
        <v>82688</v>
      </c>
      <c r="K278" s="93">
        <v>1</v>
      </c>
    </row>
    <row r="279" spans="1:11" ht="21" x14ac:dyDescent="0.25">
      <c r="A279" s="88" t="s">
        <v>389</v>
      </c>
      <c r="B279" s="94">
        <v>0.73315972222222225</v>
      </c>
      <c r="C279" s="101">
        <v>1240</v>
      </c>
      <c r="D279" s="90">
        <v>0.32</v>
      </c>
      <c r="E279" s="89">
        <v>1236.0999999999999</v>
      </c>
      <c r="F279" s="89">
        <v>1235</v>
      </c>
      <c r="G279" s="89">
        <v>1240</v>
      </c>
      <c r="H279" s="89">
        <v>1235</v>
      </c>
      <c r="I279" s="96">
        <v>28211</v>
      </c>
      <c r="J279" s="96">
        <v>348744</v>
      </c>
      <c r="K279" s="90">
        <v>8</v>
      </c>
    </row>
    <row r="280" spans="1:11" ht="21" x14ac:dyDescent="0.25">
      <c r="A280" s="91" t="s">
        <v>390</v>
      </c>
      <c r="B280" s="97">
        <v>0.7330902777777778</v>
      </c>
      <c r="C280" s="100">
        <v>1235</v>
      </c>
      <c r="D280" s="93">
        <v>-2.6</v>
      </c>
      <c r="E280" s="92">
        <v>1268</v>
      </c>
      <c r="F280" s="92">
        <v>1235</v>
      </c>
      <c r="G280" s="92">
        <v>1235</v>
      </c>
      <c r="H280" s="92">
        <v>1235</v>
      </c>
      <c r="I280" s="99">
        <v>2180</v>
      </c>
      <c r="J280" s="99">
        <v>26923</v>
      </c>
      <c r="K280" s="93">
        <v>2</v>
      </c>
    </row>
    <row r="281" spans="1:11" ht="21" x14ac:dyDescent="0.25">
      <c r="A281" s="88" t="s">
        <v>391</v>
      </c>
      <c r="B281" s="94">
        <v>0.73315972222222225</v>
      </c>
      <c r="C281" s="95">
        <v>71.349999999999994</v>
      </c>
      <c r="D281" s="90">
        <v>0.85</v>
      </c>
      <c r="E281" s="90">
        <v>70.75</v>
      </c>
      <c r="F281" s="90">
        <v>71.349999999999994</v>
      </c>
      <c r="G281" s="90">
        <v>71.349999999999994</v>
      </c>
      <c r="H281" s="90">
        <v>71.25</v>
      </c>
      <c r="I281" s="96">
        <v>760169</v>
      </c>
      <c r="J281" s="96">
        <v>542373</v>
      </c>
      <c r="K281" s="90">
        <v>8</v>
      </c>
    </row>
    <row r="282" spans="1:11" ht="21" x14ac:dyDescent="0.25">
      <c r="A282" s="91" t="s">
        <v>392</v>
      </c>
      <c r="B282" s="97">
        <v>0.71024305555555556</v>
      </c>
      <c r="C282" s="98">
        <v>116.43</v>
      </c>
      <c r="D282" s="93">
        <v>0.37</v>
      </c>
      <c r="E282" s="93">
        <v>116</v>
      </c>
      <c r="F282" s="93">
        <v>116.43</v>
      </c>
      <c r="G282" s="93">
        <v>116.43</v>
      </c>
      <c r="H282" s="93">
        <v>116.43</v>
      </c>
      <c r="I282" s="99">
        <v>300000</v>
      </c>
      <c r="J282" s="99">
        <v>349290</v>
      </c>
      <c r="K282" s="93">
        <v>1</v>
      </c>
    </row>
    <row r="283" spans="1:11" ht="21" x14ac:dyDescent="0.25">
      <c r="A283" s="88" t="s">
        <v>393</v>
      </c>
      <c r="B283" s="94">
        <v>0.73314814814814822</v>
      </c>
      <c r="C283" s="101">
        <v>1857</v>
      </c>
      <c r="D283" s="90">
        <v>0.11</v>
      </c>
      <c r="E283" s="89">
        <v>1855</v>
      </c>
      <c r="F283" s="89">
        <v>1855</v>
      </c>
      <c r="G283" s="89">
        <v>1870</v>
      </c>
      <c r="H283" s="89">
        <v>1855</v>
      </c>
      <c r="I283" s="96">
        <v>26000</v>
      </c>
      <c r="J283" s="96">
        <v>483310</v>
      </c>
      <c r="K283" s="90">
        <v>6</v>
      </c>
    </row>
    <row r="284" spans="1:11" ht="21" x14ac:dyDescent="0.25">
      <c r="A284" s="91" t="s">
        <v>394</v>
      </c>
      <c r="B284" s="97">
        <v>0.73314814814814822</v>
      </c>
      <c r="C284" s="98">
        <v>103.5</v>
      </c>
      <c r="D284" s="93">
        <v>1.87</v>
      </c>
      <c r="E284" s="93">
        <v>101.6</v>
      </c>
      <c r="F284" s="93">
        <v>103.5</v>
      </c>
      <c r="G284" s="93">
        <v>103.5</v>
      </c>
      <c r="H284" s="93">
        <v>103.5</v>
      </c>
      <c r="I284" s="99">
        <v>14000000</v>
      </c>
      <c r="J284" s="99">
        <v>14490000</v>
      </c>
      <c r="K284" s="93">
        <v>1</v>
      </c>
    </row>
    <row r="285" spans="1:11" ht="21" x14ac:dyDescent="0.25">
      <c r="A285" s="88" t="s">
        <v>395</v>
      </c>
      <c r="B285" s="94">
        <v>0.73315972222222225</v>
      </c>
      <c r="C285" s="95">
        <v>77</v>
      </c>
      <c r="D285" s="90">
        <v>1.32</v>
      </c>
      <c r="E285" s="90">
        <v>76</v>
      </c>
      <c r="F285" s="90">
        <v>76.5</v>
      </c>
      <c r="G285" s="90">
        <v>77</v>
      </c>
      <c r="H285" s="90">
        <v>76.5</v>
      </c>
      <c r="I285" s="96">
        <v>828000</v>
      </c>
      <c r="J285" s="96">
        <v>637188</v>
      </c>
      <c r="K285" s="90">
        <v>4</v>
      </c>
    </row>
    <row r="286" spans="1:11" ht="21" x14ac:dyDescent="0.25">
      <c r="A286" s="91" t="s">
        <v>396</v>
      </c>
      <c r="B286" s="97">
        <v>0.73315972222222225</v>
      </c>
      <c r="C286" s="98">
        <v>500</v>
      </c>
      <c r="D286" s="93">
        <v>0</v>
      </c>
      <c r="E286" s="93">
        <v>500</v>
      </c>
      <c r="F286" s="93">
        <v>500</v>
      </c>
      <c r="G286" s="93">
        <v>500</v>
      </c>
      <c r="H286" s="93">
        <v>500</v>
      </c>
      <c r="I286" s="99">
        <v>24412</v>
      </c>
      <c r="J286" s="99">
        <v>122060</v>
      </c>
      <c r="K286" s="93">
        <v>3</v>
      </c>
    </row>
    <row r="287" spans="1:11" ht="21" x14ac:dyDescent="0.25">
      <c r="A287" s="88" t="s">
        <v>397</v>
      </c>
      <c r="B287" s="94">
        <v>0.7330902777777778</v>
      </c>
      <c r="C287" s="95">
        <v>395</v>
      </c>
      <c r="D287" s="90">
        <v>2.6</v>
      </c>
      <c r="E287" s="90">
        <v>385</v>
      </c>
      <c r="F287" s="90">
        <v>385</v>
      </c>
      <c r="G287" s="90">
        <v>395</v>
      </c>
      <c r="H287" s="90">
        <v>384</v>
      </c>
      <c r="I287" s="96">
        <v>97863</v>
      </c>
      <c r="J287" s="96">
        <v>379709</v>
      </c>
      <c r="K287" s="90">
        <v>3</v>
      </c>
    </row>
    <row r="288" spans="1:11" ht="21" x14ac:dyDescent="0.25">
      <c r="A288" s="91" t="s">
        <v>398</v>
      </c>
      <c r="B288" s="97">
        <v>0.73315972222222225</v>
      </c>
      <c r="C288" s="98">
        <v>386</v>
      </c>
      <c r="D288" s="93">
        <v>7.0000000000000007E-2</v>
      </c>
      <c r="E288" s="93">
        <v>385.75</v>
      </c>
      <c r="F288" s="93">
        <v>385</v>
      </c>
      <c r="G288" s="93">
        <v>390</v>
      </c>
      <c r="H288" s="93">
        <v>383</v>
      </c>
      <c r="I288" s="99">
        <v>9256146</v>
      </c>
      <c r="J288" s="99">
        <v>35724093</v>
      </c>
      <c r="K288" s="93">
        <v>24</v>
      </c>
    </row>
    <row r="289" spans="1:11" ht="21" x14ac:dyDescent="0.25">
      <c r="A289" s="88" t="s">
        <v>399</v>
      </c>
      <c r="B289" s="94">
        <v>0.7330902777777778</v>
      </c>
      <c r="C289" s="95">
        <v>171.75</v>
      </c>
      <c r="D289" s="90">
        <v>0.85</v>
      </c>
      <c r="E289" s="90">
        <v>170.3</v>
      </c>
      <c r="F289" s="90">
        <v>170</v>
      </c>
      <c r="G289" s="90">
        <v>171.75</v>
      </c>
      <c r="H289" s="90">
        <v>170</v>
      </c>
      <c r="I289" s="96">
        <v>1050589</v>
      </c>
      <c r="J289" s="96">
        <v>1790494</v>
      </c>
      <c r="K289" s="90">
        <v>13</v>
      </c>
    </row>
    <row r="290" spans="1:11" ht="21" x14ac:dyDescent="0.25">
      <c r="A290" s="91" t="s">
        <v>400</v>
      </c>
      <c r="B290" s="97">
        <v>0.73315972222222225</v>
      </c>
      <c r="C290" s="98">
        <v>171.5</v>
      </c>
      <c r="D290" s="93">
        <v>0.35</v>
      </c>
      <c r="E290" s="93">
        <v>170.9</v>
      </c>
      <c r="F290" s="93">
        <v>171</v>
      </c>
      <c r="G290" s="93">
        <v>171.9</v>
      </c>
      <c r="H290" s="93">
        <v>170.9</v>
      </c>
      <c r="I290" s="99">
        <v>2785127</v>
      </c>
      <c r="J290" s="99">
        <v>4769500</v>
      </c>
      <c r="K290" s="93">
        <v>89</v>
      </c>
    </row>
    <row r="291" spans="1:11" ht="21" x14ac:dyDescent="0.25">
      <c r="A291" s="88" t="s">
        <v>401</v>
      </c>
      <c r="B291" s="94">
        <v>0.73315972222222225</v>
      </c>
      <c r="C291" s="101">
        <v>1460</v>
      </c>
      <c r="D291" s="90">
        <v>0.69</v>
      </c>
      <c r="E291" s="89">
        <v>1450</v>
      </c>
      <c r="F291" s="89">
        <v>1462</v>
      </c>
      <c r="G291" s="89">
        <v>1462</v>
      </c>
      <c r="H291" s="89">
        <v>1455</v>
      </c>
      <c r="I291" s="96">
        <v>20000</v>
      </c>
      <c r="J291" s="96">
        <v>292002</v>
      </c>
      <c r="K291" s="90">
        <v>7</v>
      </c>
    </row>
    <row r="292" spans="1:11" ht="21" x14ac:dyDescent="0.25">
      <c r="A292" s="91" t="s">
        <v>402</v>
      </c>
      <c r="B292" s="97">
        <v>0.73315972222222225</v>
      </c>
      <c r="C292" s="98">
        <v>959.5</v>
      </c>
      <c r="D292" s="93">
        <v>-0.05</v>
      </c>
      <c r="E292" s="93">
        <v>960</v>
      </c>
      <c r="F292" s="93">
        <v>960</v>
      </c>
      <c r="G292" s="93">
        <v>960</v>
      </c>
      <c r="H292" s="93">
        <v>955</v>
      </c>
      <c r="I292" s="99">
        <v>498692</v>
      </c>
      <c r="J292" s="99">
        <v>4784280</v>
      </c>
      <c r="K292" s="93">
        <v>13</v>
      </c>
    </row>
    <row r="293" spans="1:11" ht="21" x14ac:dyDescent="0.25">
      <c r="A293" s="88" t="s">
        <v>403</v>
      </c>
      <c r="B293" s="94">
        <v>0.73315972222222225</v>
      </c>
      <c r="C293" s="95">
        <v>112.8</v>
      </c>
      <c r="D293" s="90">
        <v>0.18</v>
      </c>
      <c r="E293" s="90">
        <v>112.6</v>
      </c>
      <c r="F293" s="90">
        <v>112.8</v>
      </c>
      <c r="G293" s="90">
        <v>112.8</v>
      </c>
      <c r="H293" s="90">
        <v>112.8</v>
      </c>
      <c r="I293" s="96">
        <v>500000</v>
      </c>
      <c r="J293" s="96">
        <v>564000</v>
      </c>
      <c r="K293" s="90">
        <v>1</v>
      </c>
    </row>
    <row r="294" spans="1:11" ht="21" x14ac:dyDescent="0.25">
      <c r="A294" s="91" t="s">
        <v>404</v>
      </c>
      <c r="B294" s="97">
        <v>0.73315972222222225</v>
      </c>
      <c r="C294" s="98">
        <v>117.2</v>
      </c>
      <c r="D294" s="93">
        <v>0.17</v>
      </c>
      <c r="E294" s="93">
        <v>117</v>
      </c>
      <c r="F294" s="93">
        <v>117</v>
      </c>
      <c r="G294" s="93">
        <v>117.2</v>
      </c>
      <c r="H294" s="93">
        <v>116.55</v>
      </c>
      <c r="I294" s="99">
        <v>1539977</v>
      </c>
      <c r="J294" s="99">
        <v>1802926</v>
      </c>
      <c r="K294" s="93">
        <v>30</v>
      </c>
    </row>
    <row r="295" spans="1:11" ht="21" x14ac:dyDescent="0.25">
      <c r="A295" s="88" t="s">
        <v>405</v>
      </c>
      <c r="B295" s="94">
        <v>0.73314814814814822</v>
      </c>
      <c r="C295" s="95">
        <v>106.4</v>
      </c>
      <c r="D295" s="90">
        <v>0.85</v>
      </c>
      <c r="E295" s="90">
        <v>105.5</v>
      </c>
      <c r="F295" s="90">
        <v>105.75</v>
      </c>
      <c r="G295" s="90">
        <v>106.4</v>
      </c>
      <c r="H295" s="90">
        <v>105.75</v>
      </c>
      <c r="I295" s="96">
        <v>5343111</v>
      </c>
      <c r="J295" s="96">
        <v>5666738</v>
      </c>
      <c r="K295" s="90">
        <v>23</v>
      </c>
    </row>
    <row r="296" spans="1:11" ht="21" x14ac:dyDescent="0.25">
      <c r="A296" s="91" t="s">
        <v>406</v>
      </c>
      <c r="B296" s="97">
        <v>0.73315972222222225</v>
      </c>
      <c r="C296" s="98">
        <v>176.25</v>
      </c>
      <c r="D296" s="93">
        <v>-0.7</v>
      </c>
      <c r="E296" s="93">
        <v>177.5</v>
      </c>
      <c r="F296" s="93">
        <v>178</v>
      </c>
      <c r="G296" s="93">
        <v>179</v>
      </c>
      <c r="H296" s="93">
        <v>176.25</v>
      </c>
      <c r="I296" s="99">
        <v>2571510</v>
      </c>
      <c r="J296" s="99">
        <v>4541994</v>
      </c>
      <c r="K296" s="93">
        <v>39</v>
      </c>
    </row>
    <row r="297" spans="1:11" ht="21" x14ac:dyDescent="0.25">
      <c r="A297" s="88" t="s">
        <v>407</v>
      </c>
      <c r="B297" s="94">
        <v>0.71030092592592586</v>
      </c>
      <c r="C297" s="95">
        <v>222</v>
      </c>
      <c r="D297" s="90">
        <v>0</v>
      </c>
      <c r="E297" s="90">
        <v>222</v>
      </c>
      <c r="F297" s="90">
        <v>222</v>
      </c>
      <c r="G297" s="90">
        <v>222</v>
      </c>
      <c r="H297" s="90">
        <v>222</v>
      </c>
      <c r="I297" s="96">
        <v>45000</v>
      </c>
      <c r="J297" s="96">
        <v>99900</v>
      </c>
      <c r="K297" s="90">
        <v>4</v>
      </c>
    </row>
    <row r="298" spans="1:11" ht="21" x14ac:dyDescent="0.25">
      <c r="A298" s="91" t="s">
        <v>408</v>
      </c>
      <c r="B298" s="97">
        <v>0.73315972222222225</v>
      </c>
      <c r="C298" s="98">
        <v>12</v>
      </c>
      <c r="D298" s="93">
        <v>9.09</v>
      </c>
      <c r="E298" s="93">
        <v>11</v>
      </c>
      <c r="F298" s="93">
        <v>11</v>
      </c>
      <c r="G298" s="93">
        <v>12</v>
      </c>
      <c r="H298" s="93">
        <v>11</v>
      </c>
      <c r="I298" s="99">
        <v>1045905</v>
      </c>
      <c r="J298" s="99">
        <v>120167</v>
      </c>
      <c r="K298" s="93">
        <v>5</v>
      </c>
    </row>
    <row r="299" spans="1:11" ht="21" x14ac:dyDescent="0.25">
      <c r="A299" s="88" t="s">
        <v>409</v>
      </c>
      <c r="B299" s="94">
        <v>0.73315972222222225</v>
      </c>
      <c r="C299" s="95">
        <v>188</v>
      </c>
      <c r="D299" s="90">
        <v>-0.53</v>
      </c>
      <c r="E299" s="90">
        <v>189</v>
      </c>
      <c r="F299" s="90">
        <v>189</v>
      </c>
      <c r="G299" s="90">
        <v>189</v>
      </c>
      <c r="H299" s="90">
        <v>188</v>
      </c>
      <c r="I299" s="96">
        <v>694999</v>
      </c>
      <c r="J299" s="96">
        <v>1310486</v>
      </c>
      <c r="K299" s="90">
        <v>10</v>
      </c>
    </row>
    <row r="300" spans="1:11" ht="21" x14ac:dyDescent="0.25">
      <c r="A300" s="91" t="s">
        <v>410</v>
      </c>
      <c r="B300" s="97">
        <v>0.73315972222222225</v>
      </c>
      <c r="C300" s="98">
        <v>10.85</v>
      </c>
      <c r="D300" s="93">
        <v>0</v>
      </c>
      <c r="E300" s="93">
        <v>10.85</v>
      </c>
      <c r="F300" s="93">
        <v>10.85</v>
      </c>
      <c r="G300" s="93">
        <v>10.87</v>
      </c>
      <c r="H300" s="93">
        <v>10.85</v>
      </c>
      <c r="I300" s="99">
        <v>7343175</v>
      </c>
      <c r="J300" s="99">
        <v>797434</v>
      </c>
      <c r="K300" s="93">
        <v>12</v>
      </c>
    </row>
    <row r="301" spans="1:11" ht="21" x14ac:dyDescent="0.25">
      <c r="A301" s="88" t="s">
        <v>411</v>
      </c>
      <c r="B301" s="94">
        <v>0.73315972222222225</v>
      </c>
      <c r="C301" s="95">
        <v>188</v>
      </c>
      <c r="D301" s="90">
        <v>0.54</v>
      </c>
      <c r="E301" s="90">
        <v>187</v>
      </c>
      <c r="F301" s="90">
        <v>188</v>
      </c>
      <c r="G301" s="90">
        <v>188</v>
      </c>
      <c r="H301" s="90">
        <v>188</v>
      </c>
      <c r="I301" s="96">
        <v>119600</v>
      </c>
      <c r="J301" s="96">
        <v>224848</v>
      </c>
      <c r="K301" s="90">
        <v>1</v>
      </c>
    </row>
    <row r="302" spans="1:11" x14ac:dyDescent="0.25">
      <c r="A302"/>
      <c r="B302"/>
      <c r="C302"/>
      <c r="D302"/>
      <c r="E302"/>
      <c r="F302"/>
      <c r="G302"/>
      <c r="H302"/>
      <c r="I302"/>
      <c r="J302"/>
      <c r="K302"/>
    </row>
    <row r="303" spans="1:11" x14ac:dyDescent="0.25">
      <c r="A303" s="85" t="s">
        <v>412</v>
      </c>
      <c r="B303"/>
      <c r="C303"/>
      <c r="D303"/>
      <c r="E303"/>
      <c r="F303"/>
      <c r="G303"/>
      <c r="H303"/>
      <c r="I303"/>
      <c r="J303"/>
      <c r="K303"/>
    </row>
    <row r="304" spans="1:11" x14ac:dyDescent="0.25">
      <c r="A304" s="84"/>
      <c r="B304"/>
      <c r="C304"/>
      <c r="D304"/>
      <c r="E304"/>
      <c r="F304"/>
      <c r="G304"/>
      <c r="H304"/>
      <c r="I304"/>
      <c r="J304"/>
      <c r="K304"/>
    </row>
    <row r="305" spans="1:11" x14ac:dyDescent="0.25">
      <c r="A305"/>
      <c r="B305"/>
      <c r="C305"/>
      <c r="D305"/>
      <c r="E305"/>
      <c r="F305"/>
      <c r="G305"/>
      <c r="H305"/>
      <c r="I305"/>
      <c r="J305"/>
      <c r="K305"/>
    </row>
    <row r="306" spans="1:11" ht="21" x14ac:dyDescent="0.25">
      <c r="A306" s="87" t="s">
        <v>145</v>
      </c>
      <c r="B306" s="87" t="s">
        <v>146</v>
      </c>
      <c r="C306" s="87" t="s">
        <v>133</v>
      </c>
      <c r="D306" s="87" t="s">
        <v>134</v>
      </c>
      <c r="E306" s="87" t="s">
        <v>135</v>
      </c>
      <c r="F306" s="87" t="s">
        <v>136</v>
      </c>
      <c r="G306" s="87" t="s">
        <v>137</v>
      </c>
      <c r="H306" s="87" t="s">
        <v>138</v>
      </c>
      <c r="I306" s="87" t="s">
        <v>147</v>
      </c>
      <c r="J306" s="87" t="s">
        <v>148</v>
      </c>
      <c r="K306" s="87" t="s">
        <v>149</v>
      </c>
    </row>
    <row r="307" spans="1:11" ht="21" x14ac:dyDescent="0.25">
      <c r="A307" s="88" t="s">
        <v>413</v>
      </c>
      <c r="B307" s="94">
        <v>0.66689814814814818</v>
      </c>
      <c r="C307" s="95">
        <v>102.77</v>
      </c>
      <c r="D307" s="90">
        <v>0</v>
      </c>
      <c r="E307" s="90">
        <v>0</v>
      </c>
      <c r="F307" s="90">
        <v>102.77</v>
      </c>
      <c r="G307" s="90">
        <v>102.77</v>
      </c>
      <c r="H307" s="90">
        <v>102.77</v>
      </c>
      <c r="I307" s="96">
        <v>500000</v>
      </c>
      <c r="J307" s="96">
        <v>513850</v>
      </c>
      <c r="K307" s="90">
        <v>1</v>
      </c>
    </row>
    <row r="308" spans="1:11" ht="21" x14ac:dyDescent="0.25">
      <c r="A308" s="91" t="s">
        <v>414</v>
      </c>
      <c r="B308" s="97">
        <v>0.7330902777777778</v>
      </c>
      <c r="C308" s="98">
        <v>967.60500000000002</v>
      </c>
      <c r="D308" s="93">
        <v>0.11</v>
      </c>
      <c r="E308" s="93">
        <v>966.55</v>
      </c>
      <c r="F308" s="93">
        <v>966.702</v>
      </c>
      <c r="G308" s="93">
        <v>967.60500000000002</v>
      </c>
      <c r="H308" s="93">
        <v>966.5</v>
      </c>
      <c r="I308" s="99">
        <v>58450186</v>
      </c>
      <c r="J308" s="99">
        <v>56513212</v>
      </c>
      <c r="K308" s="93">
        <v>202</v>
      </c>
    </row>
    <row r="309" spans="1:11" ht="21" x14ac:dyDescent="0.25">
      <c r="A309" s="88" t="s">
        <v>415</v>
      </c>
      <c r="B309" s="94">
        <v>0.7330902777777778</v>
      </c>
      <c r="C309" s="95">
        <v>968.59100000000001</v>
      </c>
      <c r="D309" s="90">
        <v>0.09</v>
      </c>
      <c r="E309" s="90">
        <v>967.726</v>
      </c>
      <c r="F309" s="90">
        <v>968.70399999999995</v>
      </c>
      <c r="G309" s="90">
        <v>968.70399999999995</v>
      </c>
      <c r="H309" s="90">
        <v>968.59100000000001</v>
      </c>
      <c r="I309" s="96">
        <v>50023300</v>
      </c>
      <c r="J309" s="96">
        <v>48452121</v>
      </c>
      <c r="K309" s="90">
        <v>3</v>
      </c>
    </row>
    <row r="310" spans="1:11" ht="21" x14ac:dyDescent="0.25">
      <c r="A310" s="91" t="s">
        <v>416</v>
      </c>
      <c r="B310" s="97">
        <v>0.73314814814814822</v>
      </c>
      <c r="C310" s="98">
        <v>971</v>
      </c>
      <c r="D310" s="93">
        <v>0.21</v>
      </c>
      <c r="E310" s="93">
        <v>969</v>
      </c>
      <c r="F310" s="93">
        <v>970.5</v>
      </c>
      <c r="G310" s="93">
        <v>971</v>
      </c>
      <c r="H310" s="93">
        <v>969.93</v>
      </c>
      <c r="I310" s="99">
        <v>877850</v>
      </c>
      <c r="J310" s="99">
        <v>852107</v>
      </c>
      <c r="K310" s="93">
        <v>9</v>
      </c>
    </row>
    <row r="311" spans="1:11" ht="21" x14ac:dyDescent="0.25">
      <c r="A311" s="88" t="s">
        <v>417</v>
      </c>
      <c r="B311" s="94">
        <v>0.73312499999999992</v>
      </c>
      <c r="C311" s="95">
        <v>853.35</v>
      </c>
      <c r="D311" s="90">
        <v>0.04</v>
      </c>
      <c r="E311" s="90">
        <v>852.99300000000005</v>
      </c>
      <c r="F311" s="90">
        <v>855</v>
      </c>
      <c r="G311" s="90">
        <v>855</v>
      </c>
      <c r="H311" s="90">
        <v>853.31</v>
      </c>
      <c r="I311" s="96">
        <v>115076948</v>
      </c>
      <c r="J311" s="96">
        <v>98217322</v>
      </c>
      <c r="K311" s="90">
        <v>42</v>
      </c>
    </row>
    <row r="312" spans="1:11" ht="21" x14ac:dyDescent="0.25">
      <c r="A312" s="91" t="s">
        <v>418</v>
      </c>
      <c r="B312" s="97">
        <v>0.73312499999999992</v>
      </c>
      <c r="C312" s="98">
        <v>855.63300000000004</v>
      </c>
      <c r="D312" s="93">
        <v>-0.28000000000000003</v>
      </c>
      <c r="E312" s="93">
        <v>858</v>
      </c>
      <c r="F312" s="93">
        <v>855.63300000000004</v>
      </c>
      <c r="G312" s="93">
        <v>855.63300000000004</v>
      </c>
      <c r="H312" s="93">
        <v>855.63300000000004</v>
      </c>
      <c r="I312" s="99">
        <v>1250000</v>
      </c>
      <c r="J312" s="99">
        <v>1069541</v>
      </c>
      <c r="K312" s="93">
        <v>2</v>
      </c>
    </row>
    <row r="313" spans="1:11" ht="21" x14ac:dyDescent="0.25">
      <c r="A313" s="88" t="s">
        <v>419</v>
      </c>
      <c r="B313" s="94">
        <v>0.7330902777777778</v>
      </c>
      <c r="C313" s="95">
        <v>925.26499999999999</v>
      </c>
      <c r="D313" s="90">
        <v>0.11</v>
      </c>
      <c r="E313" s="90">
        <v>924.25</v>
      </c>
      <c r="F313" s="90">
        <v>926</v>
      </c>
      <c r="G313" s="90">
        <v>927</v>
      </c>
      <c r="H313" s="90">
        <v>924.5</v>
      </c>
      <c r="I313" s="96">
        <v>3376039</v>
      </c>
      <c r="J313" s="96">
        <v>3128218</v>
      </c>
      <c r="K313" s="90">
        <v>13</v>
      </c>
    </row>
    <row r="314" spans="1:11" ht="21" x14ac:dyDescent="0.25">
      <c r="A314" s="91" t="s">
        <v>420</v>
      </c>
      <c r="B314" s="97">
        <v>0.70973379629629629</v>
      </c>
      <c r="C314" s="98">
        <v>929</v>
      </c>
      <c r="D314" s="93">
        <v>0</v>
      </c>
      <c r="E314" s="93">
        <v>929</v>
      </c>
      <c r="F314" s="93">
        <v>929</v>
      </c>
      <c r="G314" s="93">
        <v>929</v>
      </c>
      <c r="H314" s="93">
        <v>929</v>
      </c>
      <c r="I314" s="99">
        <v>15000</v>
      </c>
      <c r="J314" s="99">
        <v>13935</v>
      </c>
      <c r="K314" s="93">
        <v>1</v>
      </c>
    </row>
    <row r="315" spans="1:11" ht="21" x14ac:dyDescent="0.25">
      <c r="A315" s="88" t="s">
        <v>421</v>
      </c>
      <c r="B315" s="94">
        <v>0.7330902777777778</v>
      </c>
      <c r="C315" s="95">
        <v>929.17899999999997</v>
      </c>
      <c r="D315" s="90">
        <v>0.48</v>
      </c>
      <c r="E315" s="90">
        <v>924.7</v>
      </c>
      <c r="F315" s="90">
        <v>929.17899999999997</v>
      </c>
      <c r="G315" s="90">
        <v>929.17899999999997</v>
      </c>
      <c r="H315" s="90">
        <v>929.17899999999997</v>
      </c>
      <c r="I315" s="96">
        <v>54000</v>
      </c>
      <c r="J315" s="96">
        <v>50176</v>
      </c>
      <c r="K315" s="90">
        <v>1</v>
      </c>
    </row>
    <row r="316" spans="1:11" ht="21" x14ac:dyDescent="0.25">
      <c r="A316" s="91" t="s">
        <v>422</v>
      </c>
      <c r="B316" s="97">
        <v>0.73312499999999992</v>
      </c>
      <c r="C316" s="98">
        <v>869.10199999999998</v>
      </c>
      <c r="D316" s="93">
        <v>0.02</v>
      </c>
      <c r="E316" s="93">
        <v>868.95500000000004</v>
      </c>
      <c r="F316" s="93">
        <v>873</v>
      </c>
      <c r="G316" s="93">
        <v>873</v>
      </c>
      <c r="H316" s="93">
        <v>869.10199999999998</v>
      </c>
      <c r="I316" s="99">
        <v>1091799</v>
      </c>
      <c r="J316" s="99">
        <v>951943</v>
      </c>
      <c r="K316" s="93">
        <v>8</v>
      </c>
    </row>
    <row r="317" spans="1:11" ht="21" x14ac:dyDescent="0.25">
      <c r="A317" s="88" t="s">
        <v>423</v>
      </c>
      <c r="B317" s="94">
        <v>0.7101157407407408</v>
      </c>
      <c r="C317" s="95">
        <v>872</v>
      </c>
      <c r="D317" s="90">
        <v>0</v>
      </c>
      <c r="E317" s="90">
        <v>872</v>
      </c>
      <c r="F317" s="90">
        <v>872</v>
      </c>
      <c r="G317" s="90">
        <v>872</v>
      </c>
      <c r="H317" s="90">
        <v>872</v>
      </c>
      <c r="I317" s="96">
        <v>2564400</v>
      </c>
      <c r="J317" s="96">
        <v>2236157</v>
      </c>
      <c r="K317" s="90">
        <v>1</v>
      </c>
    </row>
    <row r="318" spans="1:11" ht="21" x14ac:dyDescent="0.25">
      <c r="A318" s="91" t="s">
        <v>424</v>
      </c>
      <c r="B318" s="97">
        <v>0.71006944444444453</v>
      </c>
      <c r="C318" s="98">
        <v>988.303</v>
      </c>
      <c r="D318" s="93">
        <v>0.22</v>
      </c>
      <c r="E318" s="93">
        <v>986.1</v>
      </c>
      <c r="F318" s="93">
        <v>988.41</v>
      </c>
      <c r="G318" s="93">
        <v>988.41</v>
      </c>
      <c r="H318" s="93">
        <v>988</v>
      </c>
      <c r="I318" s="99">
        <v>6325411</v>
      </c>
      <c r="J318" s="99">
        <v>6251907</v>
      </c>
      <c r="K318" s="93">
        <v>18</v>
      </c>
    </row>
    <row r="319" spans="1:11" ht="21" x14ac:dyDescent="0.25">
      <c r="A319" s="88" t="s">
        <v>425</v>
      </c>
      <c r="B319" s="94">
        <v>0.66690972222222211</v>
      </c>
      <c r="C319" s="95">
        <v>986.26700000000005</v>
      </c>
      <c r="D319" s="90">
        <v>7.0000000000000007E-2</v>
      </c>
      <c r="E319" s="90">
        <v>985.55</v>
      </c>
      <c r="F319" s="90">
        <v>986.05</v>
      </c>
      <c r="G319" s="90">
        <v>986.52</v>
      </c>
      <c r="H319" s="90">
        <v>985.1</v>
      </c>
      <c r="I319" s="96">
        <v>676931733</v>
      </c>
      <c r="J319" s="96">
        <v>667407375</v>
      </c>
      <c r="K319" s="90">
        <v>551</v>
      </c>
    </row>
    <row r="320" spans="1:11" ht="21" x14ac:dyDescent="0.25">
      <c r="A320" s="91" t="s">
        <v>426</v>
      </c>
      <c r="B320" s="97">
        <v>0.73315972222222225</v>
      </c>
      <c r="C320" s="98">
        <v>989.79</v>
      </c>
      <c r="D320" s="93">
        <v>0.09</v>
      </c>
      <c r="E320" s="93">
        <v>988.94500000000005</v>
      </c>
      <c r="F320" s="93">
        <v>989.8</v>
      </c>
      <c r="G320" s="93">
        <v>989.8</v>
      </c>
      <c r="H320" s="93">
        <v>988.01900000000001</v>
      </c>
      <c r="I320" s="99">
        <v>859574</v>
      </c>
      <c r="J320" s="99">
        <v>850276</v>
      </c>
      <c r="K320" s="93">
        <v>24</v>
      </c>
    </row>
    <row r="321" spans="1:11" ht="21" x14ac:dyDescent="0.25">
      <c r="A321" s="88" t="s">
        <v>427</v>
      </c>
      <c r="B321" s="94">
        <v>0.73310185185185184</v>
      </c>
      <c r="C321" s="95">
        <v>943.01</v>
      </c>
      <c r="D321" s="90">
        <v>0.01</v>
      </c>
      <c r="E321" s="90">
        <v>942.96199999999999</v>
      </c>
      <c r="F321" s="90">
        <v>945.81600000000003</v>
      </c>
      <c r="G321" s="90">
        <v>945.81600000000003</v>
      </c>
      <c r="H321" s="90">
        <v>943</v>
      </c>
      <c r="I321" s="96">
        <v>63439764</v>
      </c>
      <c r="J321" s="96">
        <v>59845221</v>
      </c>
      <c r="K321" s="90">
        <v>130</v>
      </c>
    </row>
    <row r="322" spans="1:11" ht="21" x14ac:dyDescent="0.25">
      <c r="A322" s="91" t="s">
        <v>428</v>
      </c>
      <c r="B322" s="97">
        <v>0.73310185185185184</v>
      </c>
      <c r="C322" s="98">
        <v>945.08</v>
      </c>
      <c r="D322" s="93">
        <v>0.14000000000000001</v>
      </c>
      <c r="E322" s="93">
        <v>943.74900000000002</v>
      </c>
      <c r="F322" s="93">
        <v>945.9</v>
      </c>
      <c r="G322" s="93">
        <v>945.9</v>
      </c>
      <c r="H322" s="93">
        <v>945.08</v>
      </c>
      <c r="I322" s="99">
        <v>335511</v>
      </c>
      <c r="J322" s="99">
        <v>317282</v>
      </c>
      <c r="K322" s="93">
        <v>3</v>
      </c>
    </row>
    <row r="323" spans="1:11" ht="21" x14ac:dyDescent="0.25">
      <c r="A323" s="88" t="s">
        <v>429</v>
      </c>
      <c r="B323" s="94">
        <v>0.66686342592592596</v>
      </c>
      <c r="C323" s="95">
        <v>54.445999999999998</v>
      </c>
      <c r="D323" s="90">
        <v>1.6</v>
      </c>
      <c r="E323" s="90">
        <v>53.591000000000001</v>
      </c>
      <c r="F323" s="90">
        <v>54.445999999999998</v>
      </c>
      <c r="G323" s="90">
        <v>54.445999999999998</v>
      </c>
      <c r="H323" s="90">
        <v>54.445999999999998</v>
      </c>
      <c r="I323" s="96">
        <v>287000</v>
      </c>
      <c r="J323" s="96">
        <v>15626</v>
      </c>
      <c r="K323" s="90">
        <v>1</v>
      </c>
    </row>
    <row r="324" spans="1:11" ht="21" x14ac:dyDescent="0.25">
      <c r="A324" s="91" t="s">
        <v>430</v>
      </c>
      <c r="B324" s="97">
        <v>0.70968749999999992</v>
      </c>
      <c r="C324" s="98">
        <v>54.62</v>
      </c>
      <c r="D324" s="93">
        <v>0.26</v>
      </c>
      <c r="E324" s="93">
        <v>54.475999999999999</v>
      </c>
      <c r="F324" s="93">
        <v>54.62</v>
      </c>
      <c r="G324" s="93">
        <v>54.62</v>
      </c>
      <c r="H324" s="93">
        <v>54.62</v>
      </c>
      <c r="I324" s="99">
        <v>365000</v>
      </c>
      <c r="J324" s="99">
        <v>19936</v>
      </c>
      <c r="K324" s="93">
        <v>1</v>
      </c>
    </row>
    <row r="325" spans="1:11" ht="21" x14ac:dyDescent="0.25">
      <c r="A325" s="88" t="s">
        <v>431</v>
      </c>
      <c r="B325" s="94">
        <v>0.73310185185185184</v>
      </c>
      <c r="C325" s="95">
        <v>902.5</v>
      </c>
      <c r="D325" s="90">
        <v>7.0000000000000007E-2</v>
      </c>
      <c r="E325" s="90">
        <v>901.87599999999998</v>
      </c>
      <c r="F325" s="90">
        <v>904.1</v>
      </c>
      <c r="G325" s="90">
        <v>905</v>
      </c>
      <c r="H325" s="90">
        <v>902</v>
      </c>
      <c r="I325" s="96">
        <v>8142171</v>
      </c>
      <c r="J325" s="96">
        <v>7352184</v>
      </c>
      <c r="K325" s="90">
        <v>31</v>
      </c>
    </row>
    <row r="326" spans="1:11" ht="21" x14ac:dyDescent="0.25">
      <c r="A326" s="91" t="s">
        <v>432</v>
      </c>
      <c r="B326" s="97">
        <v>0.73314814814814822</v>
      </c>
      <c r="C326" s="98">
        <v>906</v>
      </c>
      <c r="D326" s="93">
        <v>0.21</v>
      </c>
      <c r="E326" s="93">
        <v>904.14800000000002</v>
      </c>
      <c r="F326" s="93">
        <v>906</v>
      </c>
      <c r="G326" s="93">
        <v>906</v>
      </c>
      <c r="H326" s="93">
        <v>906</v>
      </c>
      <c r="I326" s="99">
        <v>5000</v>
      </c>
      <c r="J326" s="99">
        <v>4530</v>
      </c>
      <c r="K326" s="93">
        <v>1</v>
      </c>
    </row>
    <row r="327" spans="1:11" ht="21" x14ac:dyDescent="0.25">
      <c r="A327" s="88" t="s">
        <v>433</v>
      </c>
      <c r="B327" s="94">
        <v>0.73315972222222225</v>
      </c>
      <c r="C327" s="95">
        <v>837</v>
      </c>
      <c r="D327" s="90">
        <v>0.1</v>
      </c>
      <c r="E327" s="90">
        <v>836.14700000000005</v>
      </c>
      <c r="F327" s="90">
        <v>836.67100000000005</v>
      </c>
      <c r="G327" s="90">
        <v>837</v>
      </c>
      <c r="H327" s="90">
        <v>836.67100000000005</v>
      </c>
      <c r="I327" s="96">
        <v>58627000</v>
      </c>
      <c r="J327" s="96">
        <v>49051530</v>
      </c>
      <c r="K327" s="90">
        <v>2</v>
      </c>
    </row>
    <row r="328" spans="1:11" ht="21" x14ac:dyDescent="0.25">
      <c r="A328" s="91" t="s">
        <v>434</v>
      </c>
      <c r="B328" s="97">
        <v>0.73315972222222225</v>
      </c>
      <c r="C328" s="98">
        <v>836</v>
      </c>
      <c r="D328" s="93">
        <v>0.23</v>
      </c>
      <c r="E328" s="93">
        <v>834.06100000000004</v>
      </c>
      <c r="F328" s="93">
        <v>834.75</v>
      </c>
      <c r="G328" s="93">
        <v>841.20799999999997</v>
      </c>
      <c r="H328" s="93">
        <v>832.5</v>
      </c>
      <c r="I328" s="99">
        <v>35200288</v>
      </c>
      <c r="J328" s="99">
        <v>29385540</v>
      </c>
      <c r="K328" s="93">
        <v>38</v>
      </c>
    </row>
    <row r="329" spans="1:11" ht="21" x14ac:dyDescent="0.25">
      <c r="A329" s="88" t="s">
        <v>435</v>
      </c>
      <c r="B329" s="94">
        <v>0.73311342592592599</v>
      </c>
      <c r="C329" s="95">
        <v>891.98400000000004</v>
      </c>
      <c r="D329" s="90">
        <v>0.73</v>
      </c>
      <c r="E329" s="90">
        <v>885.5</v>
      </c>
      <c r="F329" s="90">
        <v>891.98400000000004</v>
      </c>
      <c r="G329" s="90">
        <v>891.98400000000004</v>
      </c>
      <c r="H329" s="90">
        <v>891.98400000000004</v>
      </c>
      <c r="I329" s="96">
        <v>112100</v>
      </c>
      <c r="J329" s="96">
        <v>99991</v>
      </c>
      <c r="K329" s="90">
        <v>1</v>
      </c>
    </row>
    <row r="330" spans="1:11" ht="21" x14ac:dyDescent="0.25">
      <c r="A330" s="91" t="s">
        <v>436</v>
      </c>
      <c r="B330" s="97">
        <v>0.73311342592592599</v>
      </c>
      <c r="C330" s="98">
        <v>886.19500000000005</v>
      </c>
      <c r="D330" s="93">
        <v>0.14000000000000001</v>
      </c>
      <c r="E330" s="93">
        <v>885</v>
      </c>
      <c r="F330" s="93">
        <v>886</v>
      </c>
      <c r="G330" s="93">
        <v>886.5</v>
      </c>
      <c r="H330" s="93">
        <v>885.5</v>
      </c>
      <c r="I330" s="99">
        <v>41484051</v>
      </c>
      <c r="J330" s="99">
        <v>36752903</v>
      </c>
      <c r="K330" s="93">
        <v>47</v>
      </c>
    </row>
    <row r="331" spans="1:11" ht="21" x14ac:dyDescent="0.25">
      <c r="A331" s="88" t="s">
        <v>437</v>
      </c>
      <c r="B331" s="94">
        <v>0.70973379629629629</v>
      </c>
      <c r="C331" s="95">
        <v>51.29</v>
      </c>
      <c r="D331" s="90">
        <v>0</v>
      </c>
      <c r="E331" s="90">
        <v>0</v>
      </c>
      <c r="F331" s="90">
        <v>51.29</v>
      </c>
      <c r="G331" s="90">
        <v>51.29</v>
      </c>
      <c r="H331" s="90">
        <v>51.29</v>
      </c>
      <c r="I331" s="96">
        <v>390000</v>
      </c>
      <c r="J331" s="96">
        <v>20003</v>
      </c>
      <c r="K331" s="90">
        <v>1</v>
      </c>
    </row>
    <row r="332" spans="1:11" ht="21" x14ac:dyDescent="0.25">
      <c r="A332" s="91" t="s">
        <v>438</v>
      </c>
      <c r="B332" s="97">
        <v>0.66714120370370367</v>
      </c>
      <c r="C332" s="98">
        <v>98.302999999999997</v>
      </c>
      <c r="D332" s="93">
        <v>-0.63</v>
      </c>
      <c r="E332" s="93">
        <v>98.93</v>
      </c>
      <c r="F332" s="93">
        <v>98.302999999999997</v>
      </c>
      <c r="G332" s="93">
        <v>98.302999999999997</v>
      </c>
      <c r="H332" s="93">
        <v>98.302999999999997</v>
      </c>
      <c r="I332" s="99">
        <v>13500</v>
      </c>
      <c r="J332" s="99">
        <v>13271</v>
      </c>
      <c r="K332" s="93">
        <v>1</v>
      </c>
    </row>
    <row r="333" spans="1:11" ht="21" x14ac:dyDescent="0.25">
      <c r="A333" s="88" t="s">
        <v>439</v>
      </c>
      <c r="B333" s="94">
        <v>0.71018518518518514</v>
      </c>
      <c r="C333" s="95">
        <v>98.554000000000002</v>
      </c>
      <c r="D333" s="90">
        <v>0.16</v>
      </c>
      <c r="E333" s="90">
        <v>98.4</v>
      </c>
      <c r="F333" s="90">
        <v>98.554000000000002</v>
      </c>
      <c r="G333" s="90">
        <v>98.554000000000002</v>
      </c>
      <c r="H333" s="90">
        <v>98.554000000000002</v>
      </c>
      <c r="I333" s="96">
        <v>52607</v>
      </c>
      <c r="J333" s="96">
        <v>51846</v>
      </c>
      <c r="K333" s="90">
        <v>1</v>
      </c>
    </row>
    <row r="334" spans="1:11" ht="21" x14ac:dyDescent="0.25">
      <c r="A334" s="91" t="s">
        <v>440</v>
      </c>
      <c r="B334" s="97">
        <v>0.7330902777777778</v>
      </c>
      <c r="C334" s="100">
        <v>1706</v>
      </c>
      <c r="D334" s="93">
        <v>2.16</v>
      </c>
      <c r="E334" s="92">
        <v>1670</v>
      </c>
      <c r="F334" s="92">
        <v>1730</v>
      </c>
      <c r="G334" s="92">
        <v>1730</v>
      </c>
      <c r="H334" s="92">
        <v>1706</v>
      </c>
      <c r="I334" s="99">
        <v>1352</v>
      </c>
      <c r="J334" s="99">
        <v>23296</v>
      </c>
      <c r="K334" s="93">
        <v>3</v>
      </c>
    </row>
    <row r="335" spans="1:11" ht="21" x14ac:dyDescent="0.25">
      <c r="A335" s="88" t="s">
        <v>441</v>
      </c>
      <c r="B335" s="94">
        <v>0.73310185185185184</v>
      </c>
      <c r="C335" s="101">
        <v>1730</v>
      </c>
      <c r="D335" s="90">
        <v>-0.57999999999999996</v>
      </c>
      <c r="E335" s="89">
        <v>1740</v>
      </c>
      <c r="F335" s="89">
        <v>1730</v>
      </c>
      <c r="G335" s="89">
        <v>1730</v>
      </c>
      <c r="H335" s="89">
        <v>1730</v>
      </c>
      <c r="I335" s="96">
        <v>17308</v>
      </c>
      <c r="J335" s="96">
        <v>299428</v>
      </c>
      <c r="K335" s="90">
        <v>2</v>
      </c>
    </row>
    <row r="336" spans="1:11" ht="21" x14ac:dyDescent="0.25">
      <c r="A336" s="91" t="s">
        <v>442</v>
      </c>
      <c r="B336" s="97">
        <v>0.70968749999999992</v>
      </c>
      <c r="C336" s="100">
        <v>1720</v>
      </c>
      <c r="D336" s="93">
        <v>-1.1499999999999999</v>
      </c>
      <c r="E336" s="92">
        <v>1740</v>
      </c>
      <c r="F336" s="92">
        <v>1720</v>
      </c>
      <c r="G336" s="92">
        <v>1720</v>
      </c>
      <c r="H336" s="92">
        <v>1720</v>
      </c>
      <c r="I336" s="99">
        <v>1980</v>
      </c>
      <c r="J336" s="99">
        <v>34056</v>
      </c>
      <c r="K336" s="93">
        <v>1</v>
      </c>
    </row>
    <row r="337" spans="1:11" ht="21" x14ac:dyDescent="0.25">
      <c r="A337" s="88" t="s">
        <v>443</v>
      </c>
      <c r="B337" s="94">
        <v>0.73310185185185184</v>
      </c>
      <c r="C337" s="101">
        <v>1732</v>
      </c>
      <c r="D337" s="90">
        <v>-1.1000000000000001</v>
      </c>
      <c r="E337" s="89">
        <v>1751.2</v>
      </c>
      <c r="F337" s="89">
        <v>1732</v>
      </c>
      <c r="G337" s="89">
        <v>1732</v>
      </c>
      <c r="H337" s="89">
        <v>1732</v>
      </c>
      <c r="I337" s="96">
        <v>33244</v>
      </c>
      <c r="J337" s="96">
        <v>575786</v>
      </c>
      <c r="K337" s="90">
        <v>3</v>
      </c>
    </row>
    <row r="338" spans="1:11" ht="21" x14ac:dyDescent="0.25">
      <c r="A338" s="91" t="s">
        <v>444</v>
      </c>
      <c r="B338" s="97">
        <v>0.66700231481481476</v>
      </c>
      <c r="C338" s="98">
        <v>97.1</v>
      </c>
      <c r="D338" s="93">
        <v>0</v>
      </c>
      <c r="E338" s="93">
        <v>0</v>
      </c>
      <c r="F338" s="93">
        <v>97.1</v>
      </c>
      <c r="G338" s="93">
        <v>97.1</v>
      </c>
      <c r="H338" s="93">
        <v>97.1</v>
      </c>
      <c r="I338" s="99">
        <v>46000</v>
      </c>
      <c r="J338" s="99">
        <v>44666</v>
      </c>
      <c r="K338" s="93">
        <v>1</v>
      </c>
    </row>
    <row r="339" spans="1:11" ht="21" x14ac:dyDescent="0.25">
      <c r="A339" s="88" t="s">
        <v>445</v>
      </c>
      <c r="B339" s="94">
        <v>0.71018518518518514</v>
      </c>
      <c r="C339" s="95">
        <v>98.462999999999994</v>
      </c>
      <c r="D339" s="90">
        <v>0</v>
      </c>
      <c r="E339" s="90">
        <v>98.462999999999994</v>
      </c>
      <c r="F339" s="90">
        <v>98.462999999999994</v>
      </c>
      <c r="G339" s="90">
        <v>98.462999999999994</v>
      </c>
      <c r="H339" s="90">
        <v>98.462999999999994</v>
      </c>
      <c r="I339" s="96">
        <v>16000</v>
      </c>
      <c r="J339" s="96">
        <v>15754</v>
      </c>
      <c r="K339" s="90">
        <v>2</v>
      </c>
    </row>
    <row r="340" spans="1:11" ht="21" x14ac:dyDescent="0.25">
      <c r="A340" s="91" t="s">
        <v>446</v>
      </c>
      <c r="B340" s="97">
        <v>0.70968749999999992</v>
      </c>
      <c r="C340" s="98">
        <v>98.540999999999997</v>
      </c>
      <c r="D340" s="93">
        <v>0.3</v>
      </c>
      <c r="E340" s="93">
        <v>98.244</v>
      </c>
      <c r="F340" s="93">
        <v>98.540999999999997</v>
      </c>
      <c r="G340" s="93">
        <v>98.540999999999997</v>
      </c>
      <c r="H340" s="93">
        <v>98.540999999999997</v>
      </c>
      <c r="I340" s="99">
        <v>50000</v>
      </c>
      <c r="J340" s="99">
        <v>49271</v>
      </c>
      <c r="K340" s="93">
        <v>1</v>
      </c>
    </row>
    <row r="341" spans="1:11" ht="21" x14ac:dyDescent="0.25">
      <c r="A341" s="88" t="s">
        <v>447</v>
      </c>
      <c r="B341" s="94">
        <v>0.70968749999999992</v>
      </c>
      <c r="C341" s="95">
        <v>98.650999999999996</v>
      </c>
      <c r="D341" s="90">
        <v>0.16</v>
      </c>
      <c r="E341" s="90">
        <v>98.492999999999995</v>
      </c>
      <c r="F341" s="90">
        <v>98.650999999999996</v>
      </c>
      <c r="G341" s="90">
        <v>98.650999999999996</v>
      </c>
      <c r="H341" s="90">
        <v>98.650999999999996</v>
      </c>
      <c r="I341" s="96">
        <v>57154</v>
      </c>
      <c r="J341" s="96">
        <v>56383</v>
      </c>
      <c r="K341" s="90">
        <v>1</v>
      </c>
    </row>
    <row r="342" spans="1:11" ht="21" x14ac:dyDescent="0.25">
      <c r="A342" s="91" t="s">
        <v>448</v>
      </c>
      <c r="B342" s="97">
        <v>0.73312499999999992</v>
      </c>
      <c r="C342" s="100">
        <v>1715</v>
      </c>
      <c r="D342" s="93">
        <v>-1.1499999999999999</v>
      </c>
      <c r="E342" s="92">
        <v>1735</v>
      </c>
      <c r="F342" s="92">
        <v>1715</v>
      </c>
      <c r="G342" s="92">
        <v>1715</v>
      </c>
      <c r="H342" s="92">
        <v>1715</v>
      </c>
      <c r="I342" s="93">
        <v>1</v>
      </c>
      <c r="J342" s="93">
        <v>17</v>
      </c>
      <c r="K342" s="93">
        <v>1</v>
      </c>
    </row>
    <row r="343" spans="1:11" ht="21" x14ac:dyDescent="0.25">
      <c r="A343" s="88" t="s">
        <v>449</v>
      </c>
      <c r="B343" s="94">
        <v>0.71013888888888888</v>
      </c>
      <c r="C343" s="95">
        <v>96.582999999999998</v>
      </c>
      <c r="D343" s="90">
        <v>0</v>
      </c>
      <c r="E343" s="90">
        <v>0</v>
      </c>
      <c r="F343" s="90">
        <v>96.582999999999998</v>
      </c>
      <c r="G343" s="90">
        <v>96.582999999999998</v>
      </c>
      <c r="H343" s="90">
        <v>96.582999999999998</v>
      </c>
      <c r="I343" s="96">
        <v>1000000</v>
      </c>
      <c r="J343" s="96">
        <v>965830</v>
      </c>
      <c r="K343" s="90">
        <v>1</v>
      </c>
    </row>
    <row r="344" spans="1:11" ht="21" x14ac:dyDescent="0.25">
      <c r="A344" s="91" t="s">
        <v>450</v>
      </c>
      <c r="B344" s="97">
        <v>0.70982638888888883</v>
      </c>
      <c r="C344" s="98">
        <v>98.486000000000004</v>
      </c>
      <c r="D344" s="93">
        <v>0</v>
      </c>
      <c r="E344" s="93">
        <v>0</v>
      </c>
      <c r="F344" s="93">
        <v>98.486000000000004</v>
      </c>
      <c r="G344" s="93">
        <v>98.486000000000004</v>
      </c>
      <c r="H344" s="93">
        <v>98.486000000000004</v>
      </c>
      <c r="I344" s="99">
        <v>47946</v>
      </c>
      <c r="J344" s="99">
        <v>47220</v>
      </c>
      <c r="K344" s="93">
        <v>1</v>
      </c>
    </row>
    <row r="345" spans="1:11" ht="21" x14ac:dyDescent="0.25">
      <c r="A345" s="88" t="s">
        <v>451</v>
      </c>
      <c r="B345" s="94">
        <v>0.7096527777777778</v>
      </c>
      <c r="C345" s="95">
        <v>98.48</v>
      </c>
      <c r="D345" s="90">
        <v>0</v>
      </c>
      <c r="E345" s="90">
        <v>0</v>
      </c>
      <c r="F345" s="90">
        <v>98.48</v>
      </c>
      <c r="G345" s="90">
        <v>98.48</v>
      </c>
      <c r="H345" s="90">
        <v>98.281000000000006</v>
      </c>
      <c r="I345" s="96">
        <v>222598</v>
      </c>
      <c r="J345" s="96">
        <v>219126</v>
      </c>
      <c r="K345" s="90">
        <v>3</v>
      </c>
    </row>
    <row r="346" spans="1:11" ht="21" x14ac:dyDescent="0.25">
      <c r="A346" s="91" t="s">
        <v>452</v>
      </c>
      <c r="B346" s="97">
        <v>0.73314814814814822</v>
      </c>
      <c r="C346" s="100">
        <v>1727</v>
      </c>
      <c r="D346" s="93">
        <v>1.59</v>
      </c>
      <c r="E346" s="92">
        <v>1700</v>
      </c>
      <c r="F346" s="92">
        <v>1727</v>
      </c>
      <c r="G346" s="92">
        <v>1727</v>
      </c>
      <c r="H346" s="92">
        <v>1727</v>
      </c>
      <c r="I346" s="99">
        <v>1465</v>
      </c>
      <c r="J346" s="99">
        <v>25301</v>
      </c>
      <c r="K346" s="93">
        <v>1</v>
      </c>
    </row>
    <row r="347" spans="1:11" ht="21" x14ac:dyDescent="0.25">
      <c r="A347" s="88" t="s">
        <v>453</v>
      </c>
      <c r="B347" s="94">
        <v>0.73312499999999992</v>
      </c>
      <c r="C347" s="101">
        <v>1731.95</v>
      </c>
      <c r="D347" s="90">
        <v>-0.16</v>
      </c>
      <c r="E347" s="89">
        <v>1734.8</v>
      </c>
      <c r="F347" s="89">
        <v>1731.95</v>
      </c>
      <c r="G347" s="89">
        <v>1731.95</v>
      </c>
      <c r="H347" s="89">
        <v>1731.95</v>
      </c>
      <c r="I347" s="96">
        <v>2000</v>
      </c>
      <c r="J347" s="96">
        <v>34639</v>
      </c>
      <c r="K347" s="90">
        <v>1</v>
      </c>
    </row>
    <row r="348" spans="1:11" ht="21" x14ac:dyDescent="0.25">
      <c r="A348" s="91" t="s">
        <v>454</v>
      </c>
      <c r="B348" s="97">
        <v>0.73312499999999992</v>
      </c>
      <c r="C348" s="100">
        <v>1725</v>
      </c>
      <c r="D348" s="93">
        <v>-0.57999999999999996</v>
      </c>
      <c r="E348" s="92">
        <v>1735</v>
      </c>
      <c r="F348" s="92">
        <v>1725</v>
      </c>
      <c r="G348" s="92">
        <v>1725</v>
      </c>
      <c r="H348" s="92">
        <v>1725</v>
      </c>
      <c r="I348" s="99">
        <v>5201</v>
      </c>
      <c r="J348" s="99">
        <v>89717</v>
      </c>
      <c r="K348" s="93">
        <v>2</v>
      </c>
    </row>
    <row r="349" spans="1:11" ht="21" x14ac:dyDescent="0.25">
      <c r="A349" s="88" t="s">
        <v>455</v>
      </c>
      <c r="B349" s="94">
        <v>0.73312499999999992</v>
      </c>
      <c r="C349" s="101">
        <v>1720</v>
      </c>
      <c r="D349" s="90">
        <v>2.99</v>
      </c>
      <c r="E349" s="89">
        <v>1670</v>
      </c>
      <c r="F349" s="89">
        <v>1720</v>
      </c>
      <c r="G349" s="89">
        <v>1720</v>
      </c>
      <c r="H349" s="89">
        <v>1720</v>
      </c>
      <c r="I349" s="90">
        <v>1</v>
      </c>
      <c r="J349" s="90">
        <v>17</v>
      </c>
      <c r="K349" s="90">
        <v>1</v>
      </c>
    </row>
    <row r="350" spans="1:11" ht="21" x14ac:dyDescent="0.25">
      <c r="A350" s="91" t="s">
        <v>456</v>
      </c>
      <c r="B350" s="97">
        <v>0.73314814814814822</v>
      </c>
      <c r="C350" s="100">
        <v>1715</v>
      </c>
      <c r="D350" s="93">
        <v>-0.98</v>
      </c>
      <c r="E350" s="92">
        <v>1732</v>
      </c>
      <c r="F350" s="92">
        <v>1715</v>
      </c>
      <c r="G350" s="92">
        <v>1715</v>
      </c>
      <c r="H350" s="92">
        <v>1715</v>
      </c>
      <c r="I350" s="93">
        <v>950</v>
      </c>
      <c r="J350" s="99">
        <v>16293</v>
      </c>
      <c r="K350" s="93">
        <v>1</v>
      </c>
    </row>
    <row r="351" spans="1:11" ht="21" x14ac:dyDescent="0.25">
      <c r="A351" s="88" t="s">
        <v>457</v>
      </c>
      <c r="B351" s="94">
        <v>0.66699074074074083</v>
      </c>
      <c r="C351" s="101">
        <v>1712</v>
      </c>
      <c r="D351" s="90">
        <v>1.18</v>
      </c>
      <c r="E351" s="89">
        <v>1692</v>
      </c>
      <c r="F351" s="89">
        <v>1692</v>
      </c>
      <c r="G351" s="89">
        <v>1712</v>
      </c>
      <c r="H351" s="89">
        <v>1692</v>
      </c>
      <c r="I351" s="90">
        <v>265</v>
      </c>
      <c r="J351" s="96">
        <v>4536</v>
      </c>
      <c r="K351" s="90">
        <v>2</v>
      </c>
    </row>
    <row r="352" spans="1:11" ht="21" x14ac:dyDescent="0.25">
      <c r="A352" s="91" t="s">
        <v>458</v>
      </c>
      <c r="B352" s="97">
        <v>0.73314814814814822</v>
      </c>
      <c r="C352" s="100">
        <v>1745</v>
      </c>
      <c r="D352" s="93">
        <v>-0.74</v>
      </c>
      <c r="E352" s="92">
        <v>1758</v>
      </c>
      <c r="F352" s="92">
        <v>1745</v>
      </c>
      <c r="G352" s="92">
        <v>1745</v>
      </c>
      <c r="H352" s="92">
        <v>1745</v>
      </c>
      <c r="I352" s="99">
        <v>1000</v>
      </c>
      <c r="J352" s="99">
        <v>17450</v>
      </c>
      <c r="K352" s="93">
        <v>1</v>
      </c>
    </row>
    <row r="353" spans="1:11" ht="21" x14ac:dyDescent="0.25">
      <c r="A353" s="88" t="s">
        <v>459</v>
      </c>
      <c r="B353" s="94">
        <v>0.66702546296296295</v>
      </c>
      <c r="C353" s="101">
        <v>1725</v>
      </c>
      <c r="D353" s="90">
        <v>-1.99</v>
      </c>
      <c r="E353" s="89">
        <v>1760</v>
      </c>
      <c r="F353" s="89">
        <v>1732</v>
      </c>
      <c r="G353" s="89">
        <v>1732</v>
      </c>
      <c r="H353" s="89">
        <v>1725</v>
      </c>
      <c r="I353" s="96">
        <v>28013</v>
      </c>
      <c r="J353" s="96">
        <v>485184</v>
      </c>
      <c r="K353" s="90">
        <v>6</v>
      </c>
    </row>
    <row r="354" spans="1:11" ht="21" x14ac:dyDescent="0.25">
      <c r="A354" s="91" t="s">
        <v>460</v>
      </c>
      <c r="B354" s="97">
        <v>0.66714120370370367</v>
      </c>
      <c r="C354" s="100">
        <v>1740</v>
      </c>
      <c r="D354" s="93">
        <v>-0.74</v>
      </c>
      <c r="E354" s="92">
        <v>1753</v>
      </c>
      <c r="F354" s="92">
        <v>1740</v>
      </c>
      <c r="G354" s="92">
        <v>1740</v>
      </c>
      <c r="H354" s="92">
        <v>1740</v>
      </c>
      <c r="I354" s="99">
        <v>10000</v>
      </c>
      <c r="J354" s="99">
        <v>174000</v>
      </c>
      <c r="K354" s="93">
        <v>1</v>
      </c>
    </row>
    <row r="355" spans="1:11" ht="21" x14ac:dyDescent="0.25">
      <c r="A355" s="88" t="s">
        <v>461</v>
      </c>
      <c r="B355" s="94">
        <v>0.71006944444444453</v>
      </c>
      <c r="C355" s="101">
        <v>1682</v>
      </c>
      <c r="D355" s="90">
        <v>1.69</v>
      </c>
      <c r="E355" s="89">
        <v>1654</v>
      </c>
      <c r="F355" s="89">
        <v>1682</v>
      </c>
      <c r="G355" s="89">
        <v>1682</v>
      </c>
      <c r="H355" s="89">
        <v>1682</v>
      </c>
      <c r="I355" s="96">
        <v>7906</v>
      </c>
      <c r="J355" s="96">
        <v>132979</v>
      </c>
      <c r="K355" s="90">
        <v>1</v>
      </c>
    </row>
    <row r="356" spans="1:11" ht="21" x14ac:dyDescent="0.25">
      <c r="A356" s="91" t="s">
        <v>462</v>
      </c>
      <c r="B356" s="97">
        <v>0.70990740740740732</v>
      </c>
      <c r="C356" s="98">
        <v>98.024000000000001</v>
      </c>
      <c r="D356" s="93">
        <v>0.61</v>
      </c>
      <c r="E356" s="93">
        <v>97.432000000000002</v>
      </c>
      <c r="F356" s="93">
        <v>98.024000000000001</v>
      </c>
      <c r="G356" s="93">
        <v>98.024000000000001</v>
      </c>
      <c r="H356" s="93">
        <v>98.024000000000001</v>
      </c>
      <c r="I356" s="99">
        <v>330000</v>
      </c>
      <c r="J356" s="99">
        <v>323479</v>
      </c>
      <c r="K356" s="93">
        <v>1</v>
      </c>
    </row>
    <row r="357" spans="1:11" ht="21" x14ac:dyDescent="0.25">
      <c r="A357" s="88" t="s">
        <v>463</v>
      </c>
      <c r="B357" s="94">
        <v>0.70976851851851841</v>
      </c>
      <c r="C357" s="95">
        <v>98.778999999999996</v>
      </c>
      <c r="D357" s="90">
        <v>0.05</v>
      </c>
      <c r="E357" s="90">
        <v>98.727999999999994</v>
      </c>
      <c r="F357" s="90">
        <v>98.778999999999996</v>
      </c>
      <c r="G357" s="90">
        <v>98.778999999999996</v>
      </c>
      <c r="H357" s="90">
        <v>98.778999999999996</v>
      </c>
      <c r="I357" s="96">
        <v>40000</v>
      </c>
      <c r="J357" s="96">
        <v>39512</v>
      </c>
      <c r="K357" s="90">
        <v>1</v>
      </c>
    </row>
    <row r="358" spans="1:11" ht="21" x14ac:dyDescent="0.25">
      <c r="A358" s="91" t="s">
        <v>464</v>
      </c>
      <c r="B358" s="97">
        <v>0.70967592592592599</v>
      </c>
      <c r="C358" s="98">
        <v>96.912999999999997</v>
      </c>
      <c r="D358" s="93">
        <v>0.02</v>
      </c>
      <c r="E358" s="93">
        <v>96.89</v>
      </c>
      <c r="F358" s="93">
        <v>96.912999999999997</v>
      </c>
      <c r="G358" s="93">
        <v>96.912999999999997</v>
      </c>
      <c r="H358" s="93">
        <v>96.912999999999997</v>
      </c>
      <c r="I358" s="99">
        <v>50000</v>
      </c>
      <c r="J358" s="99">
        <v>48457</v>
      </c>
      <c r="K358" s="93">
        <v>1</v>
      </c>
    </row>
    <row r="359" spans="1:11" ht="21" x14ac:dyDescent="0.25">
      <c r="A359" s="88" t="s">
        <v>465</v>
      </c>
      <c r="B359" s="94">
        <v>0.66699074074074083</v>
      </c>
      <c r="C359" s="95">
        <v>98.183000000000007</v>
      </c>
      <c r="D359" s="90">
        <v>7.0000000000000007E-2</v>
      </c>
      <c r="E359" s="90">
        <v>98.111000000000004</v>
      </c>
      <c r="F359" s="90">
        <v>98.183000000000007</v>
      </c>
      <c r="G359" s="90">
        <v>98.183000000000007</v>
      </c>
      <c r="H359" s="90">
        <v>98.183000000000007</v>
      </c>
      <c r="I359" s="96">
        <v>29600</v>
      </c>
      <c r="J359" s="96">
        <v>29062</v>
      </c>
      <c r="K359" s="90">
        <v>1</v>
      </c>
    </row>
    <row r="360" spans="1:11" x14ac:dyDescent="0.25">
      <c r="A360"/>
      <c r="B360"/>
      <c r="C360"/>
      <c r="D360"/>
      <c r="E360"/>
      <c r="F360"/>
      <c r="G360"/>
      <c r="H360"/>
      <c r="I360"/>
      <c r="J360"/>
      <c r="K360"/>
    </row>
    <row r="361" spans="1:11" x14ac:dyDescent="0.25">
      <c r="A361" s="85" t="s">
        <v>466</v>
      </c>
      <c r="B361"/>
      <c r="C361"/>
      <c r="D361"/>
      <c r="E361"/>
      <c r="F361"/>
      <c r="G361"/>
      <c r="H361"/>
      <c r="I361"/>
      <c r="J361"/>
      <c r="K361"/>
    </row>
    <row r="362" spans="1:11" x14ac:dyDescent="0.25">
      <c r="A362" s="84"/>
      <c r="B362"/>
      <c r="C362"/>
      <c r="D362"/>
      <c r="E362"/>
      <c r="F362"/>
      <c r="G362"/>
      <c r="H362"/>
      <c r="I362"/>
      <c r="J362"/>
      <c r="K362"/>
    </row>
    <row r="363" spans="1:11" x14ac:dyDescent="0.25">
      <c r="A363"/>
      <c r="B363"/>
      <c r="C363"/>
      <c r="D363"/>
      <c r="E363"/>
      <c r="F363"/>
      <c r="G363"/>
      <c r="H363"/>
      <c r="I363"/>
      <c r="J363"/>
      <c r="K363"/>
    </row>
    <row r="364" spans="1:11" ht="21" x14ac:dyDescent="0.25">
      <c r="A364" s="87" t="s">
        <v>145</v>
      </c>
      <c r="B364" s="87" t="s">
        <v>146</v>
      </c>
      <c r="C364" s="87" t="s">
        <v>133</v>
      </c>
      <c r="D364" s="87" t="s">
        <v>134</v>
      </c>
      <c r="E364" s="87" t="s">
        <v>135</v>
      </c>
      <c r="F364" s="87" t="s">
        <v>136</v>
      </c>
      <c r="G364" s="87" t="s">
        <v>137</v>
      </c>
      <c r="H364" s="87" t="s">
        <v>138</v>
      </c>
      <c r="I364" s="87" t="s">
        <v>147</v>
      </c>
      <c r="J364" s="87" t="s">
        <v>148</v>
      </c>
      <c r="K364" s="87" t="s">
        <v>149</v>
      </c>
    </row>
    <row r="365" spans="1:11" ht="21" x14ac:dyDescent="0.25">
      <c r="A365" s="88" t="s">
        <v>467</v>
      </c>
      <c r="B365" s="94">
        <v>0.73311342592592599</v>
      </c>
      <c r="C365" s="95">
        <v>14.3</v>
      </c>
      <c r="D365" s="90">
        <v>39.51</v>
      </c>
      <c r="E365" s="90">
        <v>10.25</v>
      </c>
      <c r="F365" s="90">
        <v>14.3</v>
      </c>
      <c r="G365" s="90">
        <v>14.3</v>
      </c>
      <c r="H365" s="90">
        <v>14.3</v>
      </c>
      <c r="I365" s="90">
        <v>41</v>
      </c>
      <c r="J365" s="96">
        <v>58630</v>
      </c>
      <c r="K365" s="90">
        <v>2</v>
      </c>
    </row>
    <row r="366" spans="1:11" ht="21" x14ac:dyDescent="0.25">
      <c r="A366" s="91" t="s">
        <v>468</v>
      </c>
      <c r="B366" s="97">
        <v>0.7330902777777778</v>
      </c>
      <c r="C366" s="98">
        <v>13</v>
      </c>
      <c r="D366" s="93">
        <v>13.04</v>
      </c>
      <c r="E366" s="93">
        <v>11.5</v>
      </c>
      <c r="F366" s="93">
        <v>11.5</v>
      </c>
      <c r="G366" s="93">
        <v>13</v>
      </c>
      <c r="H366" s="93">
        <v>11.5</v>
      </c>
      <c r="I366" s="93">
        <v>14</v>
      </c>
      <c r="J366" s="99">
        <v>17750</v>
      </c>
      <c r="K366" s="93">
        <v>2</v>
      </c>
    </row>
    <row r="367" spans="1:11" ht="21" x14ac:dyDescent="0.25">
      <c r="A367" s="88" t="s">
        <v>469</v>
      </c>
      <c r="B367" s="94">
        <v>0.7330902777777778</v>
      </c>
      <c r="C367" s="95">
        <v>0.65</v>
      </c>
      <c r="D367" s="90">
        <v>30</v>
      </c>
      <c r="E367" s="90">
        <v>0.5</v>
      </c>
      <c r="F367" s="90">
        <v>1</v>
      </c>
      <c r="G367" s="90">
        <v>1</v>
      </c>
      <c r="H367" s="90">
        <v>0.55000000000000004</v>
      </c>
      <c r="I367" s="90">
        <v>194</v>
      </c>
      <c r="J367" s="96">
        <v>12370</v>
      </c>
      <c r="K367" s="90">
        <v>10</v>
      </c>
    </row>
    <row r="368" spans="1:11" ht="21" x14ac:dyDescent="0.25">
      <c r="A368" s="91" t="s">
        <v>470</v>
      </c>
      <c r="B368" s="97">
        <v>0.73312499999999992</v>
      </c>
      <c r="C368" s="98">
        <v>2.75</v>
      </c>
      <c r="D368" s="93">
        <v>5.81</v>
      </c>
      <c r="E368" s="93">
        <v>2.5990000000000002</v>
      </c>
      <c r="F368" s="93">
        <v>2.8319999999999999</v>
      </c>
      <c r="G368" s="93">
        <v>2.8319999999999999</v>
      </c>
      <c r="H368" s="93">
        <v>2.75</v>
      </c>
      <c r="I368" s="93">
        <v>150</v>
      </c>
      <c r="J368" s="99">
        <v>41654</v>
      </c>
      <c r="K368" s="93">
        <v>7</v>
      </c>
    </row>
    <row r="369" spans="1:11" ht="21" x14ac:dyDescent="0.25">
      <c r="A369" s="88" t="s">
        <v>471</v>
      </c>
      <c r="B369" s="94">
        <v>0.73312499999999992</v>
      </c>
      <c r="C369" s="95">
        <v>1.4</v>
      </c>
      <c r="D369" s="90">
        <v>21.42</v>
      </c>
      <c r="E369" s="90">
        <v>1.153</v>
      </c>
      <c r="F369" s="90">
        <v>1.35</v>
      </c>
      <c r="G369" s="90">
        <v>1.4</v>
      </c>
      <c r="H369" s="90">
        <v>1.3</v>
      </c>
      <c r="I369" s="90">
        <v>290</v>
      </c>
      <c r="J369" s="96">
        <v>39749</v>
      </c>
      <c r="K369" s="90">
        <v>11</v>
      </c>
    </row>
    <row r="370" spans="1:11" ht="21" x14ac:dyDescent="0.25">
      <c r="A370" s="91" t="s">
        <v>472</v>
      </c>
      <c r="B370" s="97">
        <v>0.73312499999999992</v>
      </c>
      <c r="C370" s="98">
        <v>1.18</v>
      </c>
      <c r="D370" s="93">
        <v>44.43</v>
      </c>
      <c r="E370" s="93">
        <v>0.81699999999999995</v>
      </c>
      <c r="F370" s="93">
        <v>0.9</v>
      </c>
      <c r="G370" s="93">
        <v>1.25</v>
      </c>
      <c r="H370" s="93">
        <v>0.9</v>
      </c>
      <c r="I370" s="93">
        <v>373</v>
      </c>
      <c r="J370" s="99">
        <v>42894</v>
      </c>
      <c r="K370" s="93">
        <v>18</v>
      </c>
    </row>
    <row r="371" spans="1:11" ht="21" x14ac:dyDescent="0.25">
      <c r="A371" s="88" t="s">
        <v>473</v>
      </c>
      <c r="B371" s="94">
        <v>0.73315972222222225</v>
      </c>
      <c r="C371" s="95">
        <v>1.25</v>
      </c>
      <c r="D371" s="90">
        <v>0.08</v>
      </c>
      <c r="E371" s="90">
        <v>1.2490000000000001</v>
      </c>
      <c r="F371" s="90">
        <v>1.45</v>
      </c>
      <c r="G371" s="90">
        <v>1.45</v>
      </c>
      <c r="H371" s="90">
        <v>1.25</v>
      </c>
      <c r="I371" s="90">
        <v>213</v>
      </c>
      <c r="J371" s="96">
        <v>28440</v>
      </c>
      <c r="K371" s="90">
        <v>5</v>
      </c>
    </row>
    <row r="372" spans="1:11" ht="21" x14ac:dyDescent="0.25">
      <c r="A372" s="91" t="s">
        <v>474</v>
      </c>
      <c r="B372" s="97">
        <v>0.73315972222222225</v>
      </c>
      <c r="C372" s="98">
        <v>0.41</v>
      </c>
      <c r="D372" s="93">
        <v>24.24</v>
      </c>
      <c r="E372" s="93">
        <v>0.33</v>
      </c>
      <c r="F372" s="93">
        <v>0.44</v>
      </c>
      <c r="G372" s="93">
        <v>0.55000000000000004</v>
      </c>
      <c r="H372" s="93">
        <v>0.4</v>
      </c>
      <c r="I372" s="93">
        <v>354</v>
      </c>
      <c r="J372" s="99">
        <v>16007</v>
      </c>
      <c r="K372" s="93">
        <v>10</v>
      </c>
    </row>
    <row r="373" spans="1:11" ht="21" x14ac:dyDescent="0.25">
      <c r="A373" s="88" t="s">
        <v>475</v>
      </c>
      <c r="B373" s="94">
        <v>0.73312499999999992</v>
      </c>
      <c r="C373" s="95">
        <v>8.15</v>
      </c>
      <c r="D373" s="90">
        <v>3.82</v>
      </c>
      <c r="E373" s="90">
        <v>7.85</v>
      </c>
      <c r="F373" s="90">
        <v>7.9</v>
      </c>
      <c r="G373" s="90">
        <v>8.15</v>
      </c>
      <c r="H373" s="90">
        <v>7.9</v>
      </c>
      <c r="I373" s="96">
        <v>1613</v>
      </c>
      <c r="J373" s="96">
        <v>1306515</v>
      </c>
      <c r="K373" s="90">
        <v>18</v>
      </c>
    </row>
    <row r="374" spans="1:11" ht="21" x14ac:dyDescent="0.25">
      <c r="A374" s="91" t="s">
        <v>476</v>
      </c>
      <c r="B374" s="97">
        <v>0.73312499999999992</v>
      </c>
      <c r="C374" s="98">
        <v>5</v>
      </c>
      <c r="D374" s="93">
        <v>0</v>
      </c>
      <c r="E374" s="93">
        <v>5</v>
      </c>
      <c r="F374" s="93">
        <v>5</v>
      </c>
      <c r="G374" s="93">
        <v>5</v>
      </c>
      <c r="H374" s="93">
        <v>5</v>
      </c>
      <c r="I374" s="93">
        <v>1</v>
      </c>
      <c r="J374" s="93">
        <v>500</v>
      </c>
      <c r="K374" s="93">
        <v>1</v>
      </c>
    </row>
    <row r="375" spans="1:11" ht="21" x14ac:dyDescent="0.25">
      <c r="A375" s="88" t="s">
        <v>477</v>
      </c>
      <c r="B375" s="94">
        <v>0.73312499999999992</v>
      </c>
      <c r="C375" s="95">
        <v>8</v>
      </c>
      <c r="D375" s="90">
        <v>-11.11</v>
      </c>
      <c r="E375" s="90">
        <v>9</v>
      </c>
      <c r="F375" s="90">
        <v>6.7</v>
      </c>
      <c r="G375" s="90">
        <v>8</v>
      </c>
      <c r="H375" s="90">
        <v>6.7</v>
      </c>
      <c r="I375" s="90">
        <v>4</v>
      </c>
      <c r="J375" s="96">
        <v>3070</v>
      </c>
      <c r="K375" s="90">
        <v>2</v>
      </c>
    </row>
    <row r="376" spans="1:11" ht="21" x14ac:dyDescent="0.25">
      <c r="A376" s="91" t="s">
        <v>478</v>
      </c>
      <c r="B376" s="97">
        <v>0.73311342592592599</v>
      </c>
      <c r="C376" s="98">
        <v>1.75</v>
      </c>
      <c r="D376" s="93">
        <v>0</v>
      </c>
      <c r="E376" s="93">
        <v>1.75</v>
      </c>
      <c r="F376" s="93">
        <v>1.75</v>
      </c>
      <c r="G376" s="93">
        <v>1.75</v>
      </c>
      <c r="H376" s="93">
        <v>1.75</v>
      </c>
      <c r="I376" s="93">
        <v>28</v>
      </c>
      <c r="J376" s="99">
        <v>4900</v>
      </c>
      <c r="K376" s="93">
        <v>1</v>
      </c>
    </row>
    <row r="377" spans="1:11" ht="21" x14ac:dyDescent="0.25">
      <c r="A377" s="88" t="s">
        <v>479</v>
      </c>
      <c r="B377" s="94">
        <v>0.7330902777777778</v>
      </c>
      <c r="C377" s="95">
        <v>0.95</v>
      </c>
      <c r="D377" s="90">
        <v>-3.85</v>
      </c>
      <c r="E377" s="90">
        <v>0.98799999999999999</v>
      </c>
      <c r="F377" s="90">
        <v>0.98799999999999999</v>
      </c>
      <c r="G377" s="90">
        <v>0.98799999999999999</v>
      </c>
      <c r="H377" s="90">
        <v>0.95</v>
      </c>
      <c r="I377" s="90">
        <v>45</v>
      </c>
      <c r="J377" s="96">
        <v>4351</v>
      </c>
      <c r="K377" s="90">
        <v>3</v>
      </c>
    </row>
    <row r="378" spans="1:11" ht="21" x14ac:dyDescent="0.25">
      <c r="A378" s="91" t="s">
        <v>480</v>
      </c>
      <c r="B378" s="97">
        <v>0.73311342592592599</v>
      </c>
      <c r="C378" s="98">
        <v>1</v>
      </c>
      <c r="D378" s="93">
        <v>11.11</v>
      </c>
      <c r="E378" s="93">
        <v>0.9</v>
      </c>
      <c r="F378" s="93">
        <v>1</v>
      </c>
      <c r="G378" s="93">
        <v>1</v>
      </c>
      <c r="H378" s="93">
        <v>1</v>
      </c>
      <c r="I378" s="93">
        <v>365</v>
      </c>
      <c r="J378" s="99">
        <v>36500</v>
      </c>
      <c r="K378" s="93">
        <v>8</v>
      </c>
    </row>
    <row r="379" spans="1:11" ht="21" x14ac:dyDescent="0.25">
      <c r="A379" s="88" t="s">
        <v>481</v>
      </c>
      <c r="B379" s="94">
        <v>0.73312499999999992</v>
      </c>
      <c r="C379" s="95">
        <v>1.6</v>
      </c>
      <c r="D379" s="90">
        <v>6.67</v>
      </c>
      <c r="E379" s="90">
        <v>1.5</v>
      </c>
      <c r="F379" s="90">
        <v>1.6</v>
      </c>
      <c r="G379" s="90">
        <v>1.6</v>
      </c>
      <c r="H379" s="90">
        <v>1.6</v>
      </c>
      <c r="I379" s="90">
        <v>56</v>
      </c>
      <c r="J379" s="96">
        <v>8960</v>
      </c>
      <c r="K379" s="90">
        <v>1</v>
      </c>
    </row>
    <row r="380" spans="1:11" ht="21" x14ac:dyDescent="0.25">
      <c r="A380" s="91" t="s">
        <v>482</v>
      </c>
      <c r="B380" s="97">
        <v>0.73310185185185184</v>
      </c>
      <c r="C380" s="98">
        <v>1.6</v>
      </c>
      <c r="D380" s="93">
        <v>0</v>
      </c>
      <c r="E380" s="93">
        <v>1.6</v>
      </c>
      <c r="F380" s="93">
        <v>1.6</v>
      </c>
      <c r="G380" s="93">
        <v>1.6</v>
      </c>
      <c r="H380" s="93">
        <v>1.6</v>
      </c>
      <c r="I380" s="93">
        <v>200</v>
      </c>
      <c r="J380" s="99">
        <v>44800</v>
      </c>
      <c r="K380" s="93">
        <v>3</v>
      </c>
    </row>
    <row r="381" spans="1:11" ht="21" x14ac:dyDescent="0.25">
      <c r="A381" s="88" t="s">
        <v>483</v>
      </c>
      <c r="B381" s="94">
        <v>0.73310185185185184</v>
      </c>
      <c r="C381" s="95">
        <v>0.89</v>
      </c>
      <c r="D381" s="90">
        <v>-1.1100000000000001</v>
      </c>
      <c r="E381" s="90">
        <v>0.9</v>
      </c>
      <c r="F381" s="90">
        <v>0.9</v>
      </c>
      <c r="G381" s="90">
        <v>0.9</v>
      </c>
      <c r="H381" s="90">
        <v>0.75</v>
      </c>
      <c r="I381" s="90">
        <v>316</v>
      </c>
      <c r="J381" s="96">
        <v>37816</v>
      </c>
      <c r="K381" s="90">
        <v>19</v>
      </c>
    </row>
    <row r="382" spans="1:11" ht="21" x14ac:dyDescent="0.25">
      <c r="A382" s="91" t="s">
        <v>484</v>
      </c>
      <c r="B382" s="97">
        <v>0.73315972222222225</v>
      </c>
      <c r="C382" s="98">
        <v>1.1000000000000001</v>
      </c>
      <c r="D382" s="93">
        <v>19.57</v>
      </c>
      <c r="E382" s="93">
        <v>0.92</v>
      </c>
      <c r="F382" s="93">
        <v>1.1000000000000001</v>
      </c>
      <c r="G382" s="93">
        <v>1.1000000000000001</v>
      </c>
      <c r="H382" s="93">
        <v>1</v>
      </c>
      <c r="I382" s="93">
        <v>80</v>
      </c>
      <c r="J382" s="99">
        <v>8700</v>
      </c>
      <c r="K382" s="93">
        <v>4</v>
      </c>
    </row>
    <row r="383" spans="1:11" ht="21" x14ac:dyDescent="0.25">
      <c r="A383" s="88" t="s">
        <v>485</v>
      </c>
      <c r="B383" s="94">
        <v>0.73315972222222225</v>
      </c>
      <c r="C383" s="95">
        <v>0.378</v>
      </c>
      <c r="D383" s="90">
        <v>-6.67</v>
      </c>
      <c r="E383" s="90">
        <v>0.40500000000000003</v>
      </c>
      <c r="F383" s="90">
        <v>0.41</v>
      </c>
      <c r="G383" s="90">
        <v>0.41</v>
      </c>
      <c r="H383" s="90">
        <v>0.378</v>
      </c>
      <c r="I383" s="90">
        <v>164</v>
      </c>
      <c r="J383" s="96">
        <v>9153</v>
      </c>
      <c r="K383" s="90">
        <v>6</v>
      </c>
    </row>
    <row r="384" spans="1:11" ht="21" x14ac:dyDescent="0.25">
      <c r="A384" s="91" t="s">
        <v>486</v>
      </c>
      <c r="B384" s="97">
        <v>0.7330902777777778</v>
      </c>
      <c r="C384" s="98">
        <v>2.2000000000000002</v>
      </c>
      <c r="D384" s="93">
        <v>57.14</v>
      </c>
      <c r="E384" s="93">
        <v>1.4</v>
      </c>
      <c r="F384" s="93">
        <v>1.7</v>
      </c>
      <c r="G384" s="93">
        <v>2.2000000000000002</v>
      </c>
      <c r="H384" s="93">
        <v>1.7</v>
      </c>
      <c r="I384" s="93">
        <v>15</v>
      </c>
      <c r="J384" s="99">
        <v>3050</v>
      </c>
      <c r="K384" s="93">
        <v>2</v>
      </c>
    </row>
    <row r="385" spans="1:11" ht="21" x14ac:dyDescent="0.25">
      <c r="A385" s="88" t="s">
        <v>487</v>
      </c>
      <c r="B385" s="94">
        <v>0.73311342592592599</v>
      </c>
      <c r="C385" s="95">
        <v>2.1</v>
      </c>
      <c r="D385" s="90">
        <v>36.36</v>
      </c>
      <c r="E385" s="90">
        <v>1.54</v>
      </c>
      <c r="F385" s="90">
        <v>1.99</v>
      </c>
      <c r="G385" s="90">
        <v>2.1</v>
      </c>
      <c r="H385" s="90">
        <v>1.99</v>
      </c>
      <c r="I385" s="90">
        <v>127</v>
      </c>
      <c r="J385" s="96">
        <v>25448</v>
      </c>
      <c r="K385" s="90">
        <v>7</v>
      </c>
    </row>
    <row r="386" spans="1:11" ht="21" x14ac:dyDescent="0.25">
      <c r="A386" s="91" t="s">
        <v>488</v>
      </c>
      <c r="B386" s="97">
        <v>0.7330902777777778</v>
      </c>
      <c r="C386" s="98">
        <v>0.7</v>
      </c>
      <c r="D386" s="93">
        <v>133.33000000000001</v>
      </c>
      <c r="E386" s="93">
        <v>0.3</v>
      </c>
      <c r="F386" s="93">
        <v>0.69</v>
      </c>
      <c r="G386" s="93">
        <v>0.7</v>
      </c>
      <c r="H386" s="93">
        <v>0.65</v>
      </c>
      <c r="I386" s="93">
        <v>311</v>
      </c>
      <c r="J386" s="99">
        <v>20960</v>
      </c>
      <c r="K386" s="93">
        <v>8</v>
      </c>
    </row>
    <row r="387" spans="1:11" ht="21" x14ac:dyDescent="0.25">
      <c r="A387" s="88" t="s">
        <v>489</v>
      </c>
      <c r="B387" s="94">
        <v>0.73311342592592599</v>
      </c>
      <c r="C387" s="95">
        <v>3.3</v>
      </c>
      <c r="D387" s="90">
        <v>27.12</v>
      </c>
      <c r="E387" s="90">
        <v>2.5960000000000001</v>
      </c>
      <c r="F387" s="90">
        <v>2.9</v>
      </c>
      <c r="G387" s="90">
        <v>3.6549999999999998</v>
      </c>
      <c r="H387" s="90">
        <v>2.9</v>
      </c>
      <c r="I387" s="90">
        <v>462</v>
      </c>
      <c r="J387" s="96">
        <v>153081</v>
      </c>
      <c r="K387" s="90">
        <v>21</v>
      </c>
    </row>
    <row r="388" spans="1:11" ht="21" x14ac:dyDescent="0.25">
      <c r="A388" s="91" t="s">
        <v>490</v>
      </c>
      <c r="B388" s="97">
        <v>0.73311342592592599</v>
      </c>
      <c r="C388" s="98">
        <v>2.35</v>
      </c>
      <c r="D388" s="93">
        <v>17.559999999999999</v>
      </c>
      <c r="E388" s="93">
        <v>1.9990000000000001</v>
      </c>
      <c r="F388" s="93">
        <v>2.5</v>
      </c>
      <c r="G388" s="93">
        <v>2.75</v>
      </c>
      <c r="H388" s="93">
        <v>2.2999999999999998</v>
      </c>
      <c r="I388" s="93">
        <v>429</v>
      </c>
      <c r="J388" s="99">
        <v>104955</v>
      </c>
      <c r="K388" s="93">
        <v>23</v>
      </c>
    </row>
    <row r="389" spans="1:11" ht="21" x14ac:dyDescent="0.25">
      <c r="A389" s="88" t="s">
        <v>491</v>
      </c>
      <c r="B389" s="94">
        <v>0.73311342592592599</v>
      </c>
      <c r="C389" s="95">
        <v>3</v>
      </c>
      <c r="D389" s="90">
        <v>200</v>
      </c>
      <c r="E389" s="90">
        <v>1</v>
      </c>
      <c r="F389" s="90">
        <v>3</v>
      </c>
      <c r="G389" s="90">
        <v>3</v>
      </c>
      <c r="H389" s="90">
        <v>3</v>
      </c>
      <c r="I389" s="90">
        <v>62</v>
      </c>
      <c r="J389" s="96">
        <v>18600</v>
      </c>
      <c r="K389" s="90">
        <v>3</v>
      </c>
    </row>
    <row r="390" spans="1:11" ht="21" x14ac:dyDescent="0.25">
      <c r="A390" s="91" t="s">
        <v>492</v>
      </c>
      <c r="B390" s="97">
        <v>0.7330902777777778</v>
      </c>
      <c r="C390" s="98">
        <v>1.6</v>
      </c>
      <c r="D390" s="93">
        <v>75.06</v>
      </c>
      <c r="E390" s="93">
        <v>0.91400000000000003</v>
      </c>
      <c r="F390" s="93">
        <v>1.2</v>
      </c>
      <c r="G390" s="93">
        <v>1.8</v>
      </c>
      <c r="H390" s="93">
        <v>1.2</v>
      </c>
      <c r="I390" s="93">
        <v>590</v>
      </c>
      <c r="J390" s="99">
        <v>93520</v>
      </c>
      <c r="K390" s="93">
        <v>29</v>
      </c>
    </row>
    <row r="391" spans="1:11" ht="21" x14ac:dyDescent="0.25">
      <c r="A391" s="88" t="s">
        <v>493</v>
      </c>
      <c r="B391" s="94">
        <v>0.7330902777777778</v>
      </c>
      <c r="C391" s="95">
        <v>0.4</v>
      </c>
      <c r="D391" s="90">
        <v>166.67</v>
      </c>
      <c r="E391" s="90">
        <v>0.15</v>
      </c>
      <c r="F391" s="90">
        <v>0.52500000000000002</v>
      </c>
      <c r="G391" s="90">
        <v>0.52500000000000002</v>
      </c>
      <c r="H391" s="90">
        <v>0.4</v>
      </c>
      <c r="I391" s="90">
        <v>60</v>
      </c>
      <c r="J391" s="96">
        <v>3025</v>
      </c>
      <c r="K391" s="90">
        <v>2</v>
      </c>
    </row>
    <row r="392" spans="1:11" ht="21" x14ac:dyDescent="0.25">
      <c r="A392" s="91" t="s">
        <v>494</v>
      </c>
      <c r="B392" s="97">
        <v>0.73312499999999992</v>
      </c>
      <c r="C392" s="98">
        <v>9.6</v>
      </c>
      <c r="D392" s="93">
        <v>56.1</v>
      </c>
      <c r="E392" s="93">
        <v>6.15</v>
      </c>
      <c r="F392" s="93">
        <v>9.4</v>
      </c>
      <c r="G392" s="93">
        <v>9.6</v>
      </c>
      <c r="H392" s="93">
        <v>9.4</v>
      </c>
      <c r="I392" s="93">
        <v>44</v>
      </c>
      <c r="J392" s="99">
        <v>42120</v>
      </c>
      <c r="K392" s="93">
        <v>3</v>
      </c>
    </row>
    <row r="393" spans="1:11" ht="21" x14ac:dyDescent="0.25">
      <c r="A393" s="88" t="s">
        <v>495</v>
      </c>
      <c r="B393" s="94">
        <v>0.73311342592592599</v>
      </c>
      <c r="C393" s="95">
        <v>9.35</v>
      </c>
      <c r="D393" s="90">
        <v>24.67</v>
      </c>
      <c r="E393" s="90">
        <v>7.5</v>
      </c>
      <c r="F393" s="90">
        <v>9</v>
      </c>
      <c r="G393" s="90">
        <v>10</v>
      </c>
      <c r="H393" s="90">
        <v>8.6999999999999993</v>
      </c>
      <c r="I393" s="90">
        <v>423</v>
      </c>
      <c r="J393" s="96">
        <v>376006</v>
      </c>
      <c r="K393" s="90">
        <v>17</v>
      </c>
    </row>
    <row r="394" spans="1:11" ht="21" x14ac:dyDescent="0.25">
      <c r="A394" s="91" t="s">
        <v>496</v>
      </c>
      <c r="B394" s="97">
        <v>0.73311342592592599</v>
      </c>
      <c r="C394" s="98">
        <v>6.9</v>
      </c>
      <c r="D394" s="93">
        <v>45.26</v>
      </c>
      <c r="E394" s="93">
        <v>4.75</v>
      </c>
      <c r="F394" s="93">
        <v>5.5</v>
      </c>
      <c r="G394" s="93">
        <v>7</v>
      </c>
      <c r="H394" s="93">
        <v>5.5</v>
      </c>
      <c r="I394" s="93">
        <v>201</v>
      </c>
      <c r="J394" s="99">
        <v>114080</v>
      </c>
      <c r="K394" s="93">
        <v>6</v>
      </c>
    </row>
    <row r="395" spans="1:11" ht="21" x14ac:dyDescent="0.25">
      <c r="A395" s="88" t="s">
        <v>497</v>
      </c>
      <c r="B395" s="94">
        <v>0.73311342592592599</v>
      </c>
      <c r="C395" s="95">
        <v>4.5</v>
      </c>
      <c r="D395" s="90">
        <v>25</v>
      </c>
      <c r="E395" s="90">
        <v>3.6</v>
      </c>
      <c r="F395" s="90">
        <v>4.2</v>
      </c>
      <c r="G395" s="90">
        <v>4.5</v>
      </c>
      <c r="H395" s="90">
        <v>4.2</v>
      </c>
      <c r="I395" s="90">
        <v>500</v>
      </c>
      <c r="J395" s="96">
        <v>216000</v>
      </c>
      <c r="K395" s="90">
        <v>4</v>
      </c>
    </row>
    <row r="396" spans="1:11" ht="21" x14ac:dyDescent="0.25">
      <c r="A396" s="91" t="s">
        <v>498</v>
      </c>
      <c r="B396" s="97">
        <v>0.73315972222222225</v>
      </c>
      <c r="C396" s="98">
        <v>3.8</v>
      </c>
      <c r="D396" s="93">
        <v>137.5</v>
      </c>
      <c r="E396" s="93">
        <v>1.6</v>
      </c>
      <c r="F396" s="93">
        <v>2.5</v>
      </c>
      <c r="G396" s="93">
        <v>4.5</v>
      </c>
      <c r="H396" s="93">
        <v>2.5</v>
      </c>
      <c r="I396" s="99">
        <v>1024</v>
      </c>
      <c r="J396" s="99">
        <v>319275</v>
      </c>
      <c r="K396" s="93">
        <v>16</v>
      </c>
    </row>
    <row r="397" spans="1:11" ht="21" x14ac:dyDescent="0.25">
      <c r="A397" s="88" t="s">
        <v>499</v>
      </c>
      <c r="B397" s="94">
        <v>0.73311342592592599</v>
      </c>
      <c r="C397" s="95">
        <v>0.94</v>
      </c>
      <c r="D397" s="90">
        <v>1.08</v>
      </c>
      <c r="E397" s="90">
        <v>0.93</v>
      </c>
      <c r="F397" s="90">
        <v>0.95</v>
      </c>
      <c r="G397" s="90">
        <v>0.99</v>
      </c>
      <c r="H397" s="90">
        <v>0.9</v>
      </c>
      <c r="I397" s="96">
        <v>1393</v>
      </c>
      <c r="J397" s="96">
        <v>128283</v>
      </c>
      <c r="K397" s="90">
        <v>16</v>
      </c>
    </row>
    <row r="398" spans="1:11" ht="21" x14ac:dyDescent="0.25">
      <c r="A398" s="91" t="s">
        <v>500</v>
      </c>
      <c r="B398" s="97">
        <v>0.73311342592592599</v>
      </c>
      <c r="C398" s="98">
        <v>1.1000000000000001</v>
      </c>
      <c r="D398" s="93">
        <v>0</v>
      </c>
      <c r="E398" s="93">
        <v>1.1000000000000001</v>
      </c>
      <c r="F398" s="93">
        <v>1.1000000000000001</v>
      </c>
      <c r="G398" s="93">
        <v>1.1000000000000001</v>
      </c>
      <c r="H398" s="93">
        <v>1.1000000000000001</v>
      </c>
      <c r="I398" s="93">
        <v>87</v>
      </c>
      <c r="J398" s="99">
        <v>9570</v>
      </c>
      <c r="K398" s="93">
        <v>2</v>
      </c>
    </row>
    <row r="399" spans="1:11" ht="21" x14ac:dyDescent="0.25">
      <c r="A399" s="88" t="s">
        <v>501</v>
      </c>
      <c r="B399" s="94">
        <v>0.73311342592592599</v>
      </c>
      <c r="C399" s="95">
        <v>0.8</v>
      </c>
      <c r="D399" s="90">
        <v>0</v>
      </c>
      <c r="E399" s="90">
        <v>0.8</v>
      </c>
      <c r="F399" s="90">
        <v>0.82</v>
      </c>
      <c r="G399" s="90">
        <v>0.86</v>
      </c>
      <c r="H399" s="90">
        <v>0.79</v>
      </c>
      <c r="I399" s="96">
        <v>2389</v>
      </c>
      <c r="J399" s="96">
        <v>199865</v>
      </c>
      <c r="K399" s="90">
        <v>31</v>
      </c>
    </row>
    <row r="400" spans="1:11" ht="21" x14ac:dyDescent="0.25">
      <c r="A400" s="91" t="s">
        <v>502</v>
      </c>
      <c r="B400" s="97">
        <v>0.73312499999999992</v>
      </c>
      <c r="C400" s="98">
        <v>0.68</v>
      </c>
      <c r="D400" s="93">
        <v>6.25</v>
      </c>
      <c r="E400" s="93">
        <v>0.64</v>
      </c>
      <c r="F400" s="93">
        <v>0.59</v>
      </c>
      <c r="G400" s="93">
        <v>0.75</v>
      </c>
      <c r="H400" s="93">
        <v>0.59</v>
      </c>
      <c r="I400" s="99">
        <v>8718</v>
      </c>
      <c r="J400" s="99">
        <v>600988</v>
      </c>
      <c r="K400" s="93">
        <v>69</v>
      </c>
    </row>
    <row r="401" spans="1:11" ht="21" x14ac:dyDescent="0.25">
      <c r="A401" s="88" t="s">
        <v>503</v>
      </c>
      <c r="B401" s="94">
        <v>0.73311342592592599</v>
      </c>
      <c r="C401" s="95">
        <v>0.73</v>
      </c>
      <c r="D401" s="90">
        <v>-2.67</v>
      </c>
      <c r="E401" s="90">
        <v>0.75</v>
      </c>
      <c r="F401" s="90">
        <v>0.76</v>
      </c>
      <c r="G401" s="90">
        <v>0.85</v>
      </c>
      <c r="H401" s="90">
        <v>0.7</v>
      </c>
      <c r="I401" s="96">
        <v>2814</v>
      </c>
      <c r="J401" s="96">
        <v>214979</v>
      </c>
      <c r="K401" s="90">
        <v>30</v>
      </c>
    </row>
    <row r="402" spans="1:11" ht="21" x14ac:dyDescent="0.25">
      <c r="A402" s="91" t="s">
        <v>504</v>
      </c>
      <c r="B402" s="97">
        <v>0.73312499999999992</v>
      </c>
      <c r="C402" s="98">
        <v>0.53500000000000003</v>
      </c>
      <c r="D402" s="93">
        <v>7.43</v>
      </c>
      <c r="E402" s="93">
        <v>0.498</v>
      </c>
      <c r="F402" s="93">
        <v>0.6</v>
      </c>
      <c r="G402" s="93">
        <v>0.62</v>
      </c>
      <c r="H402" s="93">
        <v>0.51</v>
      </c>
      <c r="I402" s="99">
        <v>6284</v>
      </c>
      <c r="J402" s="99">
        <v>352820</v>
      </c>
      <c r="K402" s="93">
        <v>58</v>
      </c>
    </row>
    <row r="403" spans="1:11" ht="21" x14ac:dyDescent="0.25">
      <c r="A403" s="88" t="s">
        <v>505</v>
      </c>
      <c r="B403" s="94">
        <v>0.73311342592592599</v>
      </c>
      <c r="C403" s="95">
        <v>0.65</v>
      </c>
      <c r="D403" s="90">
        <v>0</v>
      </c>
      <c r="E403" s="90">
        <v>0.65</v>
      </c>
      <c r="F403" s="90">
        <v>0.75</v>
      </c>
      <c r="G403" s="90">
        <v>0.76</v>
      </c>
      <c r="H403" s="90">
        <v>0.65</v>
      </c>
      <c r="I403" s="90">
        <v>668</v>
      </c>
      <c r="J403" s="96">
        <v>45160</v>
      </c>
      <c r="K403" s="90">
        <v>7</v>
      </c>
    </row>
    <row r="404" spans="1:11" ht="21" x14ac:dyDescent="0.25">
      <c r="A404" s="91" t="s">
        <v>506</v>
      </c>
      <c r="B404" s="97">
        <v>0.73312499999999992</v>
      </c>
      <c r="C404" s="98">
        <v>0.43</v>
      </c>
      <c r="D404" s="93">
        <v>9.69</v>
      </c>
      <c r="E404" s="93">
        <v>0.39200000000000002</v>
      </c>
      <c r="F404" s="93">
        <v>0.44</v>
      </c>
      <c r="G404" s="93">
        <v>0.47</v>
      </c>
      <c r="H404" s="93">
        <v>0.4</v>
      </c>
      <c r="I404" s="99">
        <v>6210</v>
      </c>
      <c r="J404" s="99">
        <v>272148</v>
      </c>
      <c r="K404" s="93">
        <v>47</v>
      </c>
    </row>
    <row r="405" spans="1:11" ht="21" x14ac:dyDescent="0.25">
      <c r="A405" s="88" t="s">
        <v>507</v>
      </c>
      <c r="B405" s="94">
        <v>0.73311342592592599</v>
      </c>
      <c r="C405" s="95">
        <v>0.55000000000000004</v>
      </c>
      <c r="D405" s="90">
        <v>0</v>
      </c>
      <c r="E405" s="90">
        <v>0.55000000000000004</v>
      </c>
      <c r="F405" s="90">
        <v>0.6</v>
      </c>
      <c r="G405" s="90">
        <v>0.60299999999999998</v>
      </c>
      <c r="H405" s="90">
        <v>0.55000000000000004</v>
      </c>
      <c r="I405" s="96">
        <v>2004</v>
      </c>
      <c r="J405" s="96">
        <v>115444</v>
      </c>
      <c r="K405" s="90">
        <v>26</v>
      </c>
    </row>
    <row r="406" spans="1:11" ht="21" x14ac:dyDescent="0.25">
      <c r="A406" s="91" t="s">
        <v>508</v>
      </c>
      <c r="B406" s="97">
        <v>0.7330902777777778</v>
      </c>
      <c r="C406" s="98">
        <v>0.31</v>
      </c>
      <c r="D406" s="93">
        <v>6.53</v>
      </c>
      <c r="E406" s="93">
        <v>0.29099999999999998</v>
      </c>
      <c r="F406" s="93">
        <v>0.3</v>
      </c>
      <c r="G406" s="93">
        <v>0.36</v>
      </c>
      <c r="H406" s="93">
        <v>0.3</v>
      </c>
      <c r="I406" s="99">
        <v>2725</v>
      </c>
      <c r="J406" s="99">
        <v>91874</v>
      </c>
      <c r="K406" s="93">
        <v>26</v>
      </c>
    </row>
    <row r="407" spans="1:11" ht="21" x14ac:dyDescent="0.25">
      <c r="A407" s="88" t="s">
        <v>509</v>
      </c>
      <c r="B407" s="94">
        <v>0.73311342592592599</v>
      </c>
      <c r="C407" s="95">
        <v>0.45</v>
      </c>
      <c r="D407" s="90">
        <v>-6.45</v>
      </c>
      <c r="E407" s="90">
        <v>0.48099999999999998</v>
      </c>
      <c r="F407" s="90">
        <v>0.52</v>
      </c>
      <c r="G407" s="90">
        <v>0.55000000000000004</v>
      </c>
      <c r="H407" s="90">
        <v>0.45</v>
      </c>
      <c r="I407" s="96">
        <v>1335</v>
      </c>
      <c r="J407" s="96">
        <v>68106</v>
      </c>
      <c r="K407" s="90">
        <v>16</v>
      </c>
    </row>
    <row r="408" spans="1:11" ht="21" x14ac:dyDescent="0.25">
      <c r="A408" s="91" t="s">
        <v>510</v>
      </c>
      <c r="B408" s="97">
        <v>0.7330902777777778</v>
      </c>
      <c r="C408" s="98">
        <v>0.21</v>
      </c>
      <c r="D408" s="93">
        <v>-6.25</v>
      </c>
      <c r="E408" s="93">
        <v>0.224</v>
      </c>
      <c r="F408" s="93">
        <v>0.21</v>
      </c>
      <c r="G408" s="93">
        <v>0.26500000000000001</v>
      </c>
      <c r="H408" s="93">
        <v>0.18</v>
      </c>
      <c r="I408" s="99">
        <v>28447</v>
      </c>
      <c r="J408" s="99">
        <v>652859</v>
      </c>
      <c r="K408" s="93">
        <v>160</v>
      </c>
    </row>
    <row r="409" spans="1:11" ht="21" x14ac:dyDescent="0.25">
      <c r="A409" s="88" t="s">
        <v>511</v>
      </c>
      <c r="B409" s="94">
        <v>0.73311342592592599</v>
      </c>
      <c r="C409" s="95">
        <v>0.39500000000000002</v>
      </c>
      <c r="D409" s="90">
        <v>5.33</v>
      </c>
      <c r="E409" s="90">
        <v>0.375</v>
      </c>
      <c r="F409" s="90">
        <v>0.41</v>
      </c>
      <c r="G409" s="90">
        <v>0.46</v>
      </c>
      <c r="H409" s="90">
        <v>0.39500000000000002</v>
      </c>
      <c r="I409" s="96">
        <v>11627</v>
      </c>
      <c r="J409" s="96">
        <v>487725</v>
      </c>
      <c r="K409" s="90">
        <v>61</v>
      </c>
    </row>
    <row r="410" spans="1:11" ht="21" x14ac:dyDescent="0.25">
      <c r="A410" s="91" t="s">
        <v>512</v>
      </c>
      <c r="B410" s="97">
        <v>0.7330902777777778</v>
      </c>
      <c r="C410" s="98">
        <v>0.14499999999999999</v>
      </c>
      <c r="D410" s="93">
        <v>-8.81</v>
      </c>
      <c r="E410" s="93">
        <v>0.159</v>
      </c>
      <c r="F410" s="93">
        <v>0.18</v>
      </c>
      <c r="G410" s="93">
        <v>0.19500000000000001</v>
      </c>
      <c r="H410" s="93">
        <v>0.13</v>
      </c>
      <c r="I410" s="99">
        <v>23405</v>
      </c>
      <c r="J410" s="99">
        <v>386616</v>
      </c>
      <c r="K410" s="93">
        <v>147</v>
      </c>
    </row>
    <row r="411" spans="1:11" ht="21" x14ac:dyDescent="0.25">
      <c r="A411" s="88" t="s">
        <v>513</v>
      </c>
      <c r="B411" s="94">
        <v>0.73311342592592599</v>
      </c>
      <c r="C411" s="95">
        <v>0.29399999999999998</v>
      </c>
      <c r="D411" s="90">
        <v>-8.1300000000000008</v>
      </c>
      <c r="E411" s="90">
        <v>0.32</v>
      </c>
      <c r="F411" s="90">
        <v>0.35</v>
      </c>
      <c r="G411" s="90">
        <v>0.38</v>
      </c>
      <c r="H411" s="90">
        <v>0.29399999999999998</v>
      </c>
      <c r="I411" s="96">
        <v>3609</v>
      </c>
      <c r="J411" s="96">
        <v>120563</v>
      </c>
      <c r="K411" s="90">
        <v>25</v>
      </c>
    </row>
    <row r="412" spans="1:11" ht="21" x14ac:dyDescent="0.25">
      <c r="A412" s="91" t="s">
        <v>514</v>
      </c>
      <c r="B412" s="97">
        <v>0.73310185185185184</v>
      </c>
      <c r="C412" s="98">
        <v>0.09</v>
      </c>
      <c r="D412" s="93">
        <v>-10</v>
      </c>
      <c r="E412" s="93">
        <v>0.1</v>
      </c>
      <c r="F412" s="93">
        <v>0.12</v>
      </c>
      <c r="G412" s="93">
        <v>0.13500000000000001</v>
      </c>
      <c r="H412" s="93">
        <v>0.09</v>
      </c>
      <c r="I412" s="99">
        <v>8691</v>
      </c>
      <c r="J412" s="99">
        <v>103804</v>
      </c>
      <c r="K412" s="93">
        <v>56</v>
      </c>
    </row>
    <row r="413" spans="1:11" ht="21" x14ac:dyDescent="0.25">
      <c r="A413" s="88" t="s">
        <v>515</v>
      </c>
      <c r="B413" s="94">
        <v>0.73315972222222225</v>
      </c>
      <c r="C413" s="95">
        <v>0.05</v>
      </c>
      <c r="D413" s="90">
        <v>0</v>
      </c>
      <c r="E413" s="90">
        <v>0</v>
      </c>
      <c r="F413" s="90">
        <v>0.08</v>
      </c>
      <c r="G413" s="90">
        <v>8.5000000000000006E-2</v>
      </c>
      <c r="H413" s="90">
        <v>0.05</v>
      </c>
      <c r="I413" s="96">
        <v>1450</v>
      </c>
      <c r="J413" s="96">
        <v>10305</v>
      </c>
      <c r="K413" s="90">
        <v>6</v>
      </c>
    </row>
    <row r="414" spans="1:11" ht="21" x14ac:dyDescent="0.25">
      <c r="A414" s="91" t="s">
        <v>516</v>
      </c>
      <c r="B414" s="97">
        <v>0.73311342592592599</v>
      </c>
      <c r="C414" s="98">
        <v>0.06</v>
      </c>
      <c r="D414" s="93">
        <v>-70</v>
      </c>
      <c r="E414" s="93">
        <v>0.2</v>
      </c>
      <c r="F414" s="93">
        <v>0.06</v>
      </c>
      <c r="G414" s="93">
        <v>0.06</v>
      </c>
      <c r="H414" s="93">
        <v>0.05</v>
      </c>
      <c r="I414" s="99">
        <v>2200</v>
      </c>
      <c r="J414" s="99">
        <v>11989</v>
      </c>
      <c r="K414" s="93">
        <v>11</v>
      </c>
    </row>
    <row r="415" spans="1:11" ht="21" x14ac:dyDescent="0.25">
      <c r="A415" s="88" t="s">
        <v>517</v>
      </c>
      <c r="B415" s="94">
        <v>0.73312499999999992</v>
      </c>
      <c r="C415" s="95">
        <v>6.3E-2</v>
      </c>
      <c r="D415" s="90">
        <v>0</v>
      </c>
      <c r="E415" s="90">
        <v>0</v>
      </c>
      <c r="F415" s="90">
        <v>6.3E-2</v>
      </c>
      <c r="G415" s="90">
        <v>6.3E-2</v>
      </c>
      <c r="H415" s="90">
        <v>6.3E-2</v>
      </c>
      <c r="I415" s="90">
        <v>63</v>
      </c>
      <c r="J415" s="90">
        <v>397</v>
      </c>
      <c r="K415" s="90">
        <v>1</v>
      </c>
    </row>
    <row r="416" spans="1:11" ht="21" x14ac:dyDescent="0.25">
      <c r="A416" s="91" t="s">
        <v>518</v>
      </c>
      <c r="B416" s="97">
        <v>0.7330902777777778</v>
      </c>
      <c r="C416" s="98">
        <v>6</v>
      </c>
      <c r="D416" s="93">
        <v>20</v>
      </c>
      <c r="E416" s="93">
        <v>5</v>
      </c>
      <c r="F416" s="93">
        <v>5.5</v>
      </c>
      <c r="G416" s="93">
        <v>6</v>
      </c>
      <c r="H416" s="93">
        <v>5.5</v>
      </c>
      <c r="I416" s="93">
        <v>16</v>
      </c>
      <c r="J416" s="99">
        <v>9100</v>
      </c>
      <c r="K416" s="93">
        <v>3</v>
      </c>
    </row>
    <row r="417" spans="1:11" ht="21" x14ac:dyDescent="0.25">
      <c r="A417" s="88" t="s">
        <v>519</v>
      </c>
      <c r="B417" s="94">
        <v>0.7330902777777778</v>
      </c>
      <c r="C417" s="95">
        <v>0.8</v>
      </c>
      <c r="D417" s="90">
        <v>15.77</v>
      </c>
      <c r="E417" s="90">
        <v>0.69099999999999995</v>
      </c>
      <c r="F417" s="90">
        <v>1.1000000000000001</v>
      </c>
      <c r="G417" s="90">
        <v>1.1499999999999999</v>
      </c>
      <c r="H417" s="90">
        <v>0.8</v>
      </c>
      <c r="I417" s="96">
        <v>1235</v>
      </c>
      <c r="J417" s="96">
        <v>130027</v>
      </c>
      <c r="K417" s="90">
        <v>60</v>
      </c>
    </row>
    <row r="418" spans="1:11" ht="21" x14ac:dyDescent="0.25">
      <c r="A418" s="91" t="s">
        <v>520</v>
      </c>
      <c r="B418" s="97">
        <v>0.73311342592592599</v>
      </c>
      <c r="C418" s="98">
        <v>1.55</v>
      </c>
      <c r="D418" s="93">
        <v>3.33</v>
      </c>
      <c r="E418" s="93">
        <v>1.5</v>
      </c>
      <c r="F418" s="93">
        <v>1.5</v>
      </c>
      <c r="G418" s="93">
        <v>1.8</v>
      </c>
      <c r="H418" s="93">
        <v>1.5</v>
      </c>
      <c r="I418" s="93">
        <v>451</v>
      </c>
      <c r="J418" s="99">
        <v>70205</v>
      </c>
      <c r="K418" s="93">
        <v>11</v>
      </c>
    </row>
    <row r="419" spans="1:11" ht="21" x14ac:dyDescent="0.25">
      <c r="A419" s="88" t="s">
        <v>521</v>
      </c>
      <c r="B419" s="94">
        <v>0.7330902777777778</v>
      </c>
      <c r="C419" s="95">
        <v>0.19500000000000001</v>
      </c>
      <c r="D419" s="90">
        <v>28.29</v>
      </c>
      <c r="E419" s="90">
        <v>0.152</v>
      </c>
      <c r="F419" s="90">
        <v>0.19</v>
      </c>
      <c r="G419" s="90">
        <v>0.19500000000000001</v>
      </c>
      <c r="H419" s="90">
        <v>0.17</v>
      </c>
      <c r="I419" s="90">
        <v>459</v>
      </c>
      <c r="J419" s="96">
        <v>8366</v>
      </c>
      <c r="K419" s="90">
        <v>10</v>
      </c>
    </row>
    <row r="420" spans="1:11" ht="21" x14ac:dyDescent="0.25">
      <c r="A420" s="91" t="s">
        <v>522</v>
      </c>
      <c r="B420" s="97">
        <v>0.7330902777777778</v>
      </c>
      <c r="C420" s="98">
        <v>0.4</v>
      </c>
      <c r="D420" s="93">
        <v>-46.67</v>
      </c>
      <c r="E420" s="93">
        <v>0.75</v>
      </c>
      <c r="F420" s="93">
        <v>0.59</v>
      </c>
      <c r="G420" s="93">
        <v>0.59</v>
      </c>
      <c r="H420" s="93">
        <v>0.4</v>
      </c>
      <c r="I420" s="93">
        <v>50</v>
      </c>
      <c r="J420" s="99">
        <v>2190</v>
      </c>
      <c r="K420" s="93">
        <v>3</v>
      </c>
    </row>
    <row r="421" spans="1:11" ht="21" x14ac:dyDescent="0.25">
      <c r="A421" s="88" t="s">
        <v>523</v>
      </c>
      <c r="B421" s="94">
        <v>0.7330902777777778</v>
      </c>
      <c r="C421" s="95">
        <v>1.4</v>
      </c>
      <c r="D421" s="90">
        <v>-53.18</v>
      </c>
      <c r="E421" s="90">
        <v>2.99</v>
      </c>
      <c r="F421" s="90">
        <v>2</v>
      </c>
      <c r="G421" s="90">
        <v>2</v>
      </c>
      <c r="H421" s="90">
        <v>1.4</v>
      </c>
      <c r="I421" s="90">
        <v>83</v>
      </c>
      <c r="J421" s="96">
        <v>14020</v>
      </c>
      <c r="K421" s="90">
        <v>6</v>
      </c>
    </row>
    <row r="422" spans="1:11" ht="21" x14ac:dyDescent="0.25">
      <c r="A422" s="91" t="s">
        <v>524</v>
      </c>
      <c r="B422" s="97">
        <v>0.7330902777777778</v>
      </c>
      <c r="C422" s="98">
        <v>0.35</v>
      </c>
      <c r="D422" s="93">
        <v>2.94</v>
      </c>
      <c r="E422" s="93">
        <v>0.34</v>
      </c>
      <c r="F422" s="93">
        <v>0.38</v>
      </c>
      <c r="G422" s="93">
        <v>0.38</v>
      </c>
      <c r="H422" s="93">
        <v>0.35</v>
      </c>
      <c r="I422" s="93">
        <v>83</v>
      </c>
      <c r="J422" s="99">
        <v>2950</v>
      </c>
      <c r="K422" s="93">
        <v>2</v>
      </c>
    </row>
    <row r="423" spans="1:11" ht="21" x14ac:dyDescent="0.25">
      <c r="A423" s="88" t="s">
        <v>525</v>
      </c>
      <c r="B423" s="94">
        <v>0.73310185185185184</v>
      </c>
      <c r="C423" s="95">
        <v>0.75</v>
      </c>
      <c r="D423" s="90">
        <v>-5.0599999999999996</v>
      </c>
      <c r="E423" s="90">
        <v>0.79</v>
      </c>
      <c r="F423" s="90">
        <v>0.9</v>
      </c>
      <c r="G423" s="90">
        <v>1.1000000000000001</v>
      </c>
      <c r="H423" s="90">
        <v>0.75</v>
      </c>
      <c r="I423" s="90">
        <v>583</v>
      </c>
      <c r="J423" s="96">
        <v>56621</v>
      </c>
      <c r="K423" s="90">
        <v>33</v>
      </c>
    </row>
    <row r="424" spans="1:11" ht="21" x14ac:dyDescent="0.25">
      <c r="A424" s="91" t="s">
        <v>526</v>
      </c>
      <c r="B424" s="97">
        <v>0.73310185185185184</v>
      </c>
      <c r="C424" s="98">
        <v>0.5</v>
      </c>
      <c r="D424" s="93">
        <v>-9.09</v>
      </c>
      <c r="E424" s="93">
        <v>0.55000000000000004</v>
      </c>
      <c r="F424" s="93">
        <v>0.5</v>
      </c>
      <c r="G424" s="93">
        <v>0.5</v>
      </c>
      <c r="H424" s="93">
        <v>0.5</v>
      </c>
      <c r="I424" s="93">
        <v>18</v>
      </c>
      <c r="J424" s="93">
        <v>900</v>
      </c>
      <c r="K424" s="93">
        <v>1</v>
      </c>
    </row>
    <row r="425" spans="1:11" ht="21" x14ac:dyDescent="0.25">
      <c r="A425" s="88" t="s">
        <v>527</v>
      </c>
      <c r="B425" s="94">
        <v>0.7330902777777778</v>
      </c>
      <c r="C425" s="95">
        <v>5.9</v>
      </c>
      <c r="D425" s="90">
        <v>20.41</v>
      </c>
      <c r="E425" s="90">
        <v>4.9000000000000004</v>
      </c>
      <c r="F425" s="90">
        <v>5</v>
      </c>
      <c r="G425" s="90">
        <v>6</v>
      </c>
      <c r="H425" s="90">
        <v>4.95</v>
      </c>
      <c r="I425" s="90">
        <v>150</v>
      </c>
      <c r="J425" s="96">
        <v>82155</v>
      </c>
      <c r="K425" s="90">
        <v>8</v>
      </c>
    </row>
    <row r="426" spans="1:11" ht="21" x14ac:dyDescent="0.25">
      <c r="A426" s="91" t="s">
        <v>528</v>
      </c>
      <c r="B426" s="97">
        <v>0.73311342592592599</v>
      </c>
      <c r="C426" s="98">
        <v>2.15</v>
      </c>
      <c r="D426" s="93">
        <v>-2.27</v>
      </c>
      <c r="E426" s="93">
        <v>2.2000000000000002</v>
      </c>
      <c r="F426" s="93">
        <v>2.6</v>
      </c>
      <c r="G426" s="93">
        <v>2.6</v>
      </c>
      <c r="H426" s="93">
        <v>2.1</v>
      </c>
      <c r="I426" s="93">
        <v>743</v>
      </c>
      <c r="J426" s="99">
        <v>163435</v>
      </c>
      <c r="K426" s="93">
        <v>16</v>
      </c>
    </row>
    <row r="427" spans="1:11" ht="21" x14ac:dyDescent="0.25">
      <c r="A427" s="88" t="s">
        <v>529</v>
      </c>
      <c r="B427" s="94">
        <v>0.73312499999999992</v>
      </c>
      <c r="C427" s="95">
        <v>2.8</v>
      </c>
      <c r="D427" s="90">
        <v>16.670000000000002</v>
      </c>
      <c r="E427" s="90">
        <v>2.4</v>
      </c>
      <c r="F427" s="90">
        <v>2.8</v>
      </c>
      <c r="G427" s="90">
        <v>2.8</v>
      </c>
      <c r="H427" s="90">
        <v>2.8</v>
      </c>
      <c r="I427" s="90">
        <v>70</v>
      </c>
      <c r="J427" s="96">
        <v>19600</v>
      </c>
      <c r="K427" s="90">
        <v>3</v>
      </c>
    </row>
    <row r="428" spans="1:11" ht="21" x14ac:dyDescent="0.25">
      <c r="A428" s="91" t="s">
        <v>530</v>
      </c>
      <c r="B428" s="97">
        <v>0.7330902777777778</v>
      </c>
      <c r="C428" s="98">
        <v>1.29</v>
      </c>
      <c r="D428" s="93">
        <v>12.17</v>
      </c>
      <c r="E428" s="93">
        <v>1.1499999999999999</v>
      </c>
      <c r="F428" s="93">
        <v>1.3</v>
      </c>
      <c r="G428" s="93">
        <v>1.4</v>
      </c>
      <c r="H428" s="93">
        <v>1.2</v>
      </c>
      <c r="I428" s="93">
        <v>853</v>
      </c>
      <c r="J428" s="99">
        <v>108822</v>
      </c>
      <c r="K428" s="93">
        <v>20</v>
      </c>
    </row>
    <row r="429" spans="1:11" ht="21" x14ac:dyDescent="0.25">
      <c r="A429" s="88" t="s">
        <v>531</v>
      </c>
      <c r="B429" s="94">
        <v>0.73311342592592599</v>
      </c>
      <c r="C429" s="95">
        <v>1.3</v>
      </c>
      <c r="D429" s="90">
        <v>18.18</v>
      </c>
      <c r="E429" s="90">
        <v>1.1000000000000001</v>
      </c>
      <c r="F429" s="90">
        <v>1.4</v>
      </c>
      <c r="G429" s="90">
        <v>1.4</v>
      </c>
      <c r="H429" s="90">
        <v>1.3</v>
      </c>
      <c r="I429" s="96">
        <v>1695</v>
      </c>
      <c r="J429" s="96">
        <v>225400</v>
      </c>
      <c r="K429" s="90">
        <v>25</v>
      </c>
    </row>
    <row r="430" spans="1:11" ht="21" x14ac:dyDescent="0.25">
      <c r="A430" s="91" t="s">
        <v>532</v>
      </c>
      <c r="B430" s="97">
        <v>0.7330902777777778</v>
      </c>
      <c r="C430" s="98">
        <v>0.43</v>
      </c>
      <c r="D430" s="93">
        <v>-6.52</v>
      </c>
      <c r="E430" s="93">
        <v>0.46</v>
      </c>
      <c r="F430" s="93">
        <v>0.48</v>
      </c>
      <c r="G430" s="93">
        <v>0.52500000000000002</v>
      </c>
      <c r="H430" s="93">
        <v>0.4</v>
      </c>
      <c r="I430" s="99">
        <v>3839</v>
      </c>
      <c r="J430" s="99">
        <v>184000</v>
      </c>
      <c r="K430" s="93">
        <v>42</v>
      </c>
    </row>
    <row r="431" spans="1:11" ht="21" x14ac:dyDescent="0.25">
      <c r="A431" s="88" t="s">
        <v>533</v>
      </c>
      <c r="B431" s="94">
        <v>0.73311342592592599</v>
      </c>
      <c r="C431" s="95">
        <v>0.40500000000000003</v>
      </c>
      <c r="D431" s="90">
        <v>0</v>
      </c>
      <c r="E431" s="90">
        <v>0</v>
      </c>
      <c r="F431" s="90">
        <v>0.40500000000000003</v>
      </c>
      <c r="G431" s="90">
        <v>0.40500000000000003</v>
      </c>
      <c r="H431" s="90">
        <v>0.40500000000000003</v>
      </c>
      <c r="I431" s="90">
        <v>32</v>
      </c>
      <c r="J431" s="96">
        <v>1296</v>
      </c>
      <c r="K431" s="90">
        <v>1</v>
      </c>
    </row>
    <row r="432" spans="1:11" ht="21" x14ac:dyDescent="0.25">
      <c r="A432" s="91" t="s">
        <v>534</v>
      </c>
      <c r="B432" s="97">
        <v>0.7330902777777778</v>
      </c>
      <c r="C432" s="98">
        <v>0.125</v>
      </c>
      <c r="D432" s="93">
        <v>-3.85</v>
      </c>
      <c r="E432" s="93">
        <v>0.13</v>
      </c>
      <c r="F432" s="93">
        <v>0.14499999999999999</v>
      </c>
      <c r="G432" s="93">
        <v>0.15</v>
      </c>
      <c r="H432" s="93">
        <v>0.10199999999999999</v>
      </c>
      <c r="I432" s="99">
        <v>2485</v>
      </c>
      <c r="J432" s="99">
        <v>30986</v>
      </c>
      <c r="K432" s="93">
        <v>28</v>
      </c>
    </row>
    <row r="433" spans="1:11" ht="21" x14ac:dyDescent="0.25">
      <c r="A433" s="88" t="s">
        <v>535</v>
      </c>
      <c r="B433" s="94">
        <v>0.7330902777777778</v>
      </c>
      <c r="C433" s="95">
        <v>3.66</v>
      </c>
      <c r="D433" s="90">
        <v>1.1100000000000001</v>
      </c>
      <c r="E433" s="90">
        <v>3.62</v>
      </c>
      <c r="F433" s="90">
        <v>3.8</v>
      </c>
      <c r="G433" s="90">
        <v>3.8</v>
      </c>
      <c r="H433" s="90">
        <v>3.66</v>
      </c>
      <c r="I433" s="90">
        <v>170</v>
      </c>
      <c r="J433" s="96">
        <v>64460</v>
      </c>
      <c r="K433" s="90">
        <v>2</v>
      </c>
    </row>
    <row r="434" spans="1:11" ht="21" x14ac:dyDescent="0.25">
      <c r="A434" s="91" t="s">
        <v>536</v>
      </c>
      <c r="B434" s="97">
        <v>0.73312499999999992</v>
      </c>
      <c r="C434" s="98">
        <v>18</v>
      </c>
      <c r="D434" s="93">
        <v>11.8</v>
      </c>
      <c r="E434" s="93">
        <v>16.100000000000001</v>
      </c>
      <c r="F434" s="93">
        <v>18</v>
      </c>
      <c r="G434" s="93">
        <v>18</v>
      </c>
      <c r="H434" s="93">
        <v>18</v>
      </c>
      <c r="I434" s="93">
        <v>5</v>
      </c>
      <c r="J434" s="99">
        <v>9000</v>
      </c>
      <c r="K434" s="93">
        <v>1</v>
      </c>
    </row>
    <row r="435" spans="1:11" ht="21" x14ac:dyDescent="0.25">
      <c r="A435" s="88" t="s">
        <v>537</v>
      </c>
      <c r="B435" s="94">
        <v>0.7330902777777778</v>
      </c>
      <c r="C435" s="95">
        <v>10</v>
      </c>
      <c r="D435" s="90">
        <v>53.85</v>
      </c>
      <c r="E435" s="90">
        <v>6.5</v>
      </c>
      <c r="F435" s="90">
        <v>7.5</v>
      </c>
      <c r="G435" s="90">
        <v>10.9</v>
      </c>
      <c r="H435" s="90">
        <v>7.5</v>
      </c>
      <c r="I435" s="90">
        <v>125</v>
      </c>
      <c r="J435" s="96">
        <v>112470</v>
      </c>
      <c r="K435" s="90">
        <v>17</v>
      </c>
    </row>
    <row r="436" spans="1:11" ht="21" x14ac:dyDescent="0.25">
      <c r="A436" s="91" t="s">
        <v>538</v>
      </c>
      <c r="B436" s="97">
        <v>0.73315972222222225</v>
      </c>
      <c r="C436" s="98">
        <v>4.05</v>
      </c>
      <c r="D436" s="93">
        <v>1.25</v>
      </c>
      <c r="E436" s="93">
        <v>4</v>
      </c>
      <c r="F436" s="93">
        <v>3.9</v>
      </c>
      <c r="G436" s="93">
        <v>4.05</v>
      </c>
      <c r="H436" s="93">
        <v>3.9</v>
      </c>
      <c r="I436" s="93">
        <v>17</v>
      </c>
      <c r="J436" s="99">
        <v>6760</v>
      </c>
      <c r="K436" s="93">
        <v>4</v>
      </c>
    </row>
    <row r="437" spans="1:11" ht="21" x14ac:dyDescent="0.25">
      <c r="A437" s="88" t="s">
        <v>539</v>
      </c>
      <c r="B437" s="94">
        <v>0.7330902777777778</v>
      </c>
      <c r="C437" s="95">
        <v>20.800999999999998</v>
      </c>
      <c r="D437" s="90">
        <v>12.74</v>
      </c>
      <c r="E437" s="90">
        <v>18.45</v>
      </c>
      <c r="F437" s="90">
        <v>22</v>
      </c>
      <c r="G437" s="90">
        <v>22.35</v>
      </c>
      <c r="H437" s="90">
        <v>20.800999999999998</v>
      </c>
      <c r="I437" s="90">
        <v>52</v>
      </c>
      <c r="J437" s="96">
        <v>113076</v>
      </c>
      <c r="K437" s="90">
        <v>8</v>
      </c>
    </row>
    <row r="438" spans="1:11" ht="21" x14ac:dyDescent="0.25">
      <c r="A438" s="91" t="s">
        <v>540</v>
      </c>
      <c r="B438" s="97">
        <v>0.7330902777777778</v>
      </c>
      <c r="C438" s="98">
        <v>20</v>
      </c>
      <c r="D438" s="93">
        <v>4.71</v>
      </c>
      <c r="E438" s="93">
        <v>19.100000000000001</v>
      </c>
      <c r="F438" s="93">
        <v>19.100000000000001</v>
      </c>
      <c r="G438" s="93">
        <v>20.2</v>
      </c>
      <c r="H438" s="93">
        <v>19.100000000000001</v>
      </c>
      <c r="I438" s="93">
        <v>43</v>
      </c>
      <c r="J438" s="99">
        <v>85980</v>
      </c>
      <c r="K438" s="93">
        <v>6</v>
      </c>
    </row>
    <row r="439" spans="1:11" ht="21" x14ac:dyDescent="0.25">
      <c r="A439" s="88" t="s">
        <v>541</v>
      </c>
      <c r="B439" s="94">
        <v>0.7330902777777778</v>
      </c>
      <c r="C439" s="95">
        <v>18</v>
      </c>
      <c r="D439" s="90">
        <v>5.26</v>
      </c>
      <c r="E439" s="90">
        <v>17.100000000000001</v>
      </c>
      <c r="F439" s="90">
        <v>18</v>
      </c>
      <c r="G439" s="90">
        <v>18</v>
      </c>
      <c r="H439" s="90">
        <v>18</v>
      </c>
      <c r="I439" s="90">
        <v>15</v>
      </c>
      <c r="J439" s="96">
        <v>27000</v>
      </c>
      <c r="K439" s="90">
        <v>2</v>
      </c>
    </row>
    <row r="440" spans="1:11" ht="21" x14ac:dyDescent="0.25">
      <c r="A440" s="91" t="s">
        <v>542</v>
      </c>
      <c r="B440" s="97">
        <v>0.73310185185185184</v>
      </c>
      <c r="C440" s="98">
        <v>15.5</v>
      </c>
      <c r="D440" s="93">
        <v>2.65</v>
      </c>
      <c r="E440" s="93">
        <v>15.1</v>
      </c>
      <c r="F440" s="93">
        <v>15.999000000000001</v>
      </c>
      <c r="G440" s="93">
        <v>16</v>
      </c>
      <c r="H440" s="93">
        <v>15.5</v>
      </c>
      <c r="I440" s="93">
        <v>102</v>
      </c>
      <c r="J440" s="99">
        <v>162094</v>
      </c>
      <c r="K440" s="93">
        <v>6</v>
      </c>
    </row>
    <row r="441" spans="1:11" ht="21" x14ac:dyDescent="0.25">
      <c r="A441" s="88" t="s">
        <v>543</v>
      </c>
      <c r="B441" s="94">
        <v>0.73310185185185184</v>
      </c>
      <c r="C441" s="95">
        <v>13.85</v>
      </c>
      <c r="D441" s="90">
        <v>4.53</v>
      </c>
      <c r="E441" s="90">
        <v>13.25</v>
      </c>
      <c r="F441" s="90">
        <v>14.2</v>
      </c>
      <c r="G441" s="90">
        <v>14.2</v>
      </c>
      <c r="H441" s="90">
        <v>13.6</v>
      </c>
      <c r="I441" s="90">
        <v>161</v>
      </c>
      <c r="J441" s="96">
        <v>220620</v>
      </c>
      <c r="K441" s="90">
        <v>4</v>
      </c>
    </row>
    <row r="442" spans="1:11" ht="21" x14ac:dyDescent="0.25">
      <c r="A442" s="91" t="s">
        <v>544</v>
      </c>
      <c r="B442" s="97">
        <v>0.73310185185185184</v>
      </c>
      <c r="C442" s="98">
        <v>11.8</v>
      </c>
      <c r="D442" s="93">
        <v>5.67</v>
      </c>
      <c r="E442" s="93">
        <v>11.167</v>
      </c>
      <c r="F442" s="93">
        <v>11.55</v>
      </c>
      <c r="G442" s="93">
        <v>11.8</v>
      </c>
      <c r="H442" s="93">
        <v>11.4</v>
      </c>
      <c r="I442" s="93">
        <v>249</v>
      </c>
      <c r="J442" s="99">
        <v>287425</v>
      </c>
      <c r="K442" s="93">
        <v>9</v>
      </c>
    </row>
    <row r="443" spans="1:11" ht="21" x14ac:dyDescent="0.25">
      <c r="A443" s="88" t="s">
        <v>545</v>
      </c>
      <c r="B443" s="94">
        <v>0.73311342592592599</v>
      </c>
      <c r="C443" s="95">
        <v>12.2</v>
      </c>
      <c r="D443" s="90">
        <v>3.22</v>
      </c>
      <c r="E443" s="90">
        <v>11.82</v>
      </c>
      <c r="F443" s="90">
        <v>12.8</v>
      </c>
      <c r="G443" s="90">
        <v>13.15</v>
      </c>
      <c r="H443" s="90">
        <v>12.000999999999999</v>
      </c>
      <c r="I443" s="90">
        <v>339</v>
      </c>
      <c r="J443" s="96">
        <v>429255</v>
      </c>
      <c r="K443" s="90">
        <v>18</v>
      </c>
    </row>
    <row r="444" spans="1:11" ht="21" x14ac:dyDescent="0.25">
      <c r="A444" s="91" t="s">
        <v>546</v>
      </c>
      <c r="B444" s="97">
        <v>0.73310185185185184</v>
      </c>
      <c r="C444" s="98">
        <v>9.8000000000000007</v>
      </c>
      <c r="D444" s="93">
        <v>5.95</v>
      </c>
      <c r="E444" s="93">
        <v>9.25</v>
      </c>
      <c r="F444" s="93">
        <v>9.5</v>
      </c>
      <c r="G444" s="93">
        <v>10.3</v>
      </c>
      <c r="H444" s="93">
        <v>9</v>
      </c>
      <c r="I444" s="99">
        <v>1271</v>
      </c>
      <c r="J444" s="99">
        <v>1256548</v>
      </c>
      <c r="K444" s="93">
        <v>51</v>
      </c>
    </row>
    <row r="445" spans="1:11" ht="21" x14ac:dyDescent="0.25">
      <c r="A445" s="88" t="s">
        <v>547</v>
      </c>
      <c r="B445" s="94">
        <v>0.73311342592592599</v>
      </c>
      <c r="C445" s="95">
        <v>7.9989999999999997</v>
      </c>
      <c r="D445" s="90">
        <v>7.14</v>
      </c>
      <c r="E445" s="90">
        <v>7.4660000000000002</v>
      </c>
      <c r="F445" s="90">
        <v>8.3000000000000007</v>
      </c>
      <c r="G445" s="90">
        <v>8.4</v>
      </c>
      <c r="H445" s="90">
        <v>7.4</v>
      </c>
      <c r="I445" s="96">
        <v>1159</v>
      </c>
      <c r="J445" s="96">
        <v>917032</v>
      </c>
      <c r="K445" s="90">
        <v>52</v>
      </c>
    </row>
    <row r="446" spans="1:11" ht="21" x14ac:dyDescent="0.25">
      <c r="A446" s="91" t="s">
        <v>548</v>
      </c>
      <c r="B446" s="97">
        <v>0.73311342592592599</v>
      </c>
      <c r="C446" s="98">
        <v>10</v>
      </c>
      <c r="D446" s="93">
        <v>7.61</v>
      </c>
      <c r="E446" s="93">
        <v>9.2929999999999993</v>
      </c>
      <c r="F446" s="93">
        <v>9.7899999999999991</v>
      </c>
      <c r="G446" s="93">
        <v>10</v>
      </c>
      <c r="H446" s="93">
        <v>9.6</v>
      </c>
      <c r="I446" s="93">
        <v>401</v>
      </c>
      <c r="J446" s="99">
        <v>396120</v>
      </c>
      <c r="K446" s="93">
        <v>14</v>
      </c>
    </row>
    <row r="447" spans="1:11" ht="21" x14ac:dyDescent="0.25">
      <c r="A447" s="88" t="s">
        <v>549</v>
      </c>
      <c r="B447" s="94">
        <v>0.73311342592592599</v>
      </c>
      <c r="C447" s="95">
        <v>6.15</v>
      </c>
      <c r="D447" s="90">
        <v>6.66</v>
      </c>
      <c r="E447" s="90">
        <v>5.766</v>
      </c>
      <c r="F447" s="90">
        <v>6.7</v>
      </c>
      <c r="G447" s="90">
        <v>6.7</v>
      </c>
      <c r="H447" s="90">
        <v>5.98</v>
      </c>
      <c r="I447" s="96">
        <v>1591</v>
      </c>
      <c r="J447" s="96">
        <v>980683</v>
      </c>
      <c r="K447" s="90">
        <v>72</v>
      </c>
    </row>
    <row r="448" spans="1:11" ht="21" x14ac:dyDescent="0.25">
      <c r="A448" s="91" t="s">
        <v>550</v>
      </c>
      <c r="B448" s="97">
        <v>0.73312499999999992</v>
      </c>
      <c r="C448" s="98">
        <v>9</v>
      </c>
      <c r="D448" s="93">
        <v>12.5</v>
      </c>
      <c r="E448" s="93">
        <v>8</v>
      </c>
      <c r="F448" s="93">
        <v>9</v>
      </c>
      <c r="G448" s="93">
        <v>9</v>
      </c>
      <c r="H448" s="93">
        <v>9</v>
      </c>
      <c r="I448" s="93">
        <v>4</v>
      </c>
      <c r="J448" s="99">
        <v>3600</v>
      </c>
      <c r="K448" s="93">
        <v>1</v>
      </c>
    </row>
    <row r="449" spans="1:11" ht="21" x14ac:dyDescent="0.25">
      <c r="A449" s="88" t="s">
        <v>551</v>
      </c>
      <c r="B449" s="94">
        <v>0.73312499999999992</v>
      </c>
      <c r="C449" s="95">
        <v>4.5</v>
      </c>
      <c r="D449" s="90">
        <v>3.16</v>
      </c>
      <c r="E449" s="90">
        <v>4.3620000000000001</v>
      </c>
      <c r="F449" s="90">
        <v>4.75</v>
      </c>
      <c r="G449" s="90">
        <v>4.8499999999999996</v>
      </c>
      <c r="H449" s="90">
        <v>4.3</v>
      </c>
      <c r="I449" s="96">
        <v>3460</v>
      </c>
      <c r="J449" s="96">
        <v>1635651</v>
      </c>
      <c r="K449" s="90">
        <v>72</v>
      </c>
    </row>
    <row r="450" spans="1:11" ht="21" x14ac:dyDescent="0.25">
      <c r="A450" s="91" t="s">
        <v>552</v>
      </c>
      <c r="B450" s="97">
        <v>0.73312499999999992</v>
      </c>
      <c r="C450" s="98">
        <v>3.4</v>
      </c>
      <c r="D450" s="93">
        <v>9.5399999999999991</v>
      </c>
      <c r="E450" s="93">
        <v>3.1040000000000001</v>
      </c>
      <c r="F450" s="93">
        <v>3.25</v>
      </c>
      <c r="G450" s="93">
        <v>3.55</v>
      </c>
      <c r="H450" s="93">
        <v>2.81</v>
      </c>
      <c r="I450" s="99">
        <v>4338</v>
      </c>
      <c r="J450" s="99">
        <v>1429127</v>
      </c>
      <c r="K450" s="93">
        <v>160</v>
      </c>
    </row>
    <row r="451" spans="1:11" ht="21" x14ac:dyDescent="0.25">
      <c r="A451" s="88" t="s">
        <v>553</v>
      </c>
      <c r="B451" s="94">
        <v>0.73312499999999992</v>
      </c>
      <c r="C451" s="95">
        <v>5.6</v>
      </c>
      <c r="D451" s="90">
        <v>6.16</v>
      </c>
      <c r="E451" s="90">
        <v>5.2750000000000004</v>
      </c>
      <c r="F451" s="90">
        <v>5.5</v>
      </c>
      <c r="G451" s="90">
        <v>5.8</v>
      </c>
      <c r="H451" s="90">
        <v>5.5</v>
      </c>
      <c r="I451" s="90">
        <v>319</v>
      </c>
      <c r="J451" s="96">
        <v>180085</v>
      </c>
      <c r="K451" s="90">
        <v>24</v>
      </c>
    </row>
    <row r="452" spans="1:11" ht="21" x14ac:dyDescent="0.25">
      <c r="A452" s="91" t="s">
        <v>554</v>
      </c>
      <c r="B452" s="97">
        <v>0.73312499999999992</v>
      </c>
      <c r="C452" s="98">
        <v>2.3149999999999999</v>
      </c>
      <c r="D452" s="93">
        <v>6.98</v>
      </c>
      <c r="E452" s="93">
        <v>2.1640000000000001</v>
      </c>
      <c r="F452" s="93">
        <v>2.15</v>
      </c>
      <c r="G452" s="93">
        <v>2.5</v>
      </c>
      <c r="H452" s="93">
        <v>1.7</v>
      </c>
      <c r="I452" s="99">
        <v>5063</v>
      </c>
      <c r="J452" s="99">
        <v>1160329</v>
      </c>
      <c r="K452" s="93">
        <v>176</v>
      </c>
    </row>
    <row r="453" spans="1:11" ht="21" x14ac:dyDescent="0.25">
      <c r="A453" s="88" t="s">
        <v>555</v>
      </c>
      <c r="B453" s="94">
        <v>0.73315972222222225</v>
      </c>
      <c r="C453" s="95">
        <v>1.1499999999999999</v>
      </c>
      <c r="D453" s="90">
        <v>8.8000000000000007</v>
      </c>
      <c r="E453" s="90">
        <v>1.0569999999999999</v>
      </c>
      <c r="F453" s="90">
        <v>1.2</v>
      </c>
      <c r="G453" s="90">
        <v>1.2</v>
      </c>
      <c r="H453" s="90">
        <v>1.06</v>
      </c>
      <c r="I453" s="96">
        <v>1527</v>
      </c>
      <c r="J453" s="96">
        <v>174136</v>
      </c>
      <c r="K453" s="90">
        <v>49</v>
      </c>
    </row>
    <row r="454" spans="1:11" ht="21" x14ac:dyDescent="0.25">
      <c r="A454" s="91" t="s">
        <v>556</v>
      </c>
      <c r="B454" s="97">
        <v>0.73315972222222225</v>
      </c>
      <c r="C454" s="98">
        <v>3</v>
      </c>
      <c r="D454" s="93">
        <v>15.39</v>
      </c>
      <c r="E454" s="93">
        <v>2.6</v>
      </c>
      <c r="F454" s="93">
        <v>3</v>
      </c>
      <c r="G454" s="93">
        <v>3</v>
      </c>
      <c r="H454" s="93">
        <v>2.99</v>
      </c>
      <c r="I454" s="93">
        <v>156</v>
      </c>
      <c r="J454" s="99">
        <v>46755</v>
      </c>
      <c r="K454" s="93">
        <v>12</v>
      </c>
    </row>
    <row r="455" spans="1:11" ht="21" x14ac:dyDescent="0.25">
      <c r="A455" s="88" t="s">
        <v>557</v>
      </c>
      <c r="B455" s="94">
        <v>0.73315972222222225</v>
      </c>
      <c r="C455" s="95">
        <v>0.4</v>
      </c>
      <c r="D455" s="90">
        <v>-31.74</v>
      </c>
      <c r="E455" s="90">
        <v>0.58599999999999997</v>
      </c>
      <c r="F455" s="90">
        <v>0.65</v>
      </c>
      <c r="G455" s="90">
        <v>0.65</v>
      </c>
      <c r="H455" s="90">
        <v>0.4</v>
      </c>
      <c r="I455" s="90">
        <v>958</v>
      </c>
      <c r="J455" s="96">
        <v>51676</v>
      </c>
      <c r="K455" s="90">
        <v>15</v>
      </c>
    </row>
    <row r="456" spans="1:11" ht="21" x14ac:dyDescent="0.25">
      <c r="A456" s="91" t="s">
        <v>558</v>
      </c>
      <c r="B456" s="97">
        <v>0.73315972222222225</v>
      </c>
      <c r="C456" s="98">
        <v>2.2999999999999998</v>
      </c>
      <c r="D456" s="93">
        <v>0</v>
      </c>
      <c r="E456" s="93">
        <v>0</v>
      </c>
      <c r="F456" s="93">
        <v>2.2999999999999998</v>
      </c>
      <c r="G456" s="93">
        <v>2.2999999999999998</v>
      </c>
      <c r="H456" s="93">
        <v>2.2999999999999998</v>
      </c>
      <c r="I456" s="93">
        <v>6</v>
      </c>
      <c r="J456" s="99">
        <v>1380</v>
      </c>
      <c r="K456" s="93">
        <v>1</v>
      </c>
    </row>
    <row r="457" spans="1:11" ht="21" x14ac:dyDescent="0.25">
      <c r="A457" s="88" t="s">
        <v>559</v>
      </c>
      <c r="B457" s="94">
        <v>0.7330902777777778</v>
      </c>
      <c r="C457" s="95">
        <v>0.09</v>
      </c>
      <c r="D457" s="90">
        <v>-10</v>
      </c>
      <c r="E457" s="90">
        <v>0.1</v>
      </c>
      <c r="F457" s="90">
        <v>0.1</v>
      </c>
      <c r="G457" s="90">
        <v>0.1</v>
      </c>
      <c r="H457" s="90">
        <v>0.09</v>
      </c>
      <c r="I457" s="90">
        <v>327</v>
      </c>
      <c r="J457" s="96">
        <v>3268</v>
      </c>
      <c r="K457" s="90">
        <v>11</v>
      </c>
    </row>
    <row r="458" spans="1:11" ht="21" x14ac:dyDescent="0.25">
      <c r="A458" s="91" t="s">
        <v>560</v>
      </c>
      <c r="B458" s="97">
        <v>0.65454861111111107</v>
      </c>
      <c r="C458" s="98">
        <v>0.19</v>
      </c>
      <c r="D458" s="93">
        <v>49.61</v>
      </c>
      <c r="E458" s="93">
        <v>0.127</v>
      </c>
      <c r="F458" s="93">
        <v>0.19</v>
      </c>
      <c r="G458" s="93">
        <v>0.19</v>
      </c>
      <c r="H458" s="93">
        <v>0.19</v>
      </c>
      <c r="I458" s="93">
        <v>114</v>
      </c>
      <c r="J458" s="99">
        <v>2166</v>
      </c>
      <c r="K458" s="93">
        <v>4</v>
      </c>
    </row>
    <row r="459" spans="1:11" ht="21" x14ac:dyDescent="0.25">
      <c r="A459" s="88" t="s">
        <v>561</v>
      </c>
      <c r="B459" s="94">
        <v>0.73310185185185184</v>
      </c>
      <c r="C459" s="95">
        <v>0.2</v>
      </c>
      <c r="D459" s="90">
        <v>0</v>
      </c>
      <c r="E459" s="90">
        <v>0.2</v>
      </c>
      <c r="F459" s="90">
        <v>0.25</v>
      </c>
      <c r="G459" s="90">
        <v>0.25</v>
      </c>
      <c r="H459" s="90">
        <v>0.2</v>
      </c>
      <c r="I459" s="90">
        <v>136</v>
      </c>
      <c r="J459" s="96">
        <v>2900</v>
      </c>
      <c r="K459" s="90">
        <v>3</v>
      </c>
    </row>
    <row r="460" spans="1:11" ht="21" x14ac:dyDescent="0.25">
      <c r="A460" s="91" t="s">
        <v>562</v>
      </c>
      <c r="B460" s="97">
        <v>0.73310185185185184</v>
      </c>
      <c r="C460" s="98">
        <v>0.25</v>
      </c>
      <c r="D460" s="93">
        <v>25</v>
      </c>
      <c r="E460" s="93">
        <v>0.2</v>
      </c>
      <c r="F460" s="93">
        <v>0.25</v>
      </c>
      <c r="G460" s="93">
        <v>0.25</v>
      </c>
      <c r="H460" s="93">
        <v>0.25</v>
      </c>
      <c r="I460" s="93">
        <v>100</v>
      </c>
      <c r="J460" s="99">
        <v>2500</v>
      </c>
      <c r="K460" s="93">
        <v>1</v>
      </c>
    </row>
    <row r="461" spans="1:11" ht="21" x14ac:dyDescent="0.25">
      <c r="A461" s="88" t="s">
        <v>563</v>
      </c>
      <c r="B461" s="94">
        <v>0.73310185185185184</v>
      </c>
      <c r="C461" s="95">
        <v>0.35</v>
      </c>
      <c r="D461" s="90">
        <v>-12.5</v>
      </c>
      <c r="E461" s="90">
        <v>0.4</v>
      </c>
      <c r="F461" s="90">
        <v>0.4</v>
      </c>
      <c r="G461" s="90">
        <v>0.4</v>
      </c>
      <c r="H461" s="90">
        <v>0.35</v>
      </c>
      <c r="I461" s="90">
        <v>421</v>
      </c>
      <c r="J461" s="96">
        <v>16070</v>
      </c>
      <c r="K461" s="90">
        <v>13</v>
      </c>
    </row>
    <row r="462" spans="1:11" ht="21" x14ac:dyDescent="0.25">
      <c r="A462" s="91" t="s">
        <v>564</v>
      </c>
      <c r="B462" s="97">
        <v>0.73310185185185184</v>
      </c>
      <c r="C462" s="98">
        <v>0.5</v>
      </c>
      <c r="D462" s="93">
        <v>-1.96</v>
      </c>
      <c r="E462" s="93">
        <v>0.51</v>
      </c>
      <c r="F462" s="93">
        <v>0.45</v>
      </c>
      <c r="G462" s="93">
        <v>0.5</v>
      </c>
      <c r="H462" s="93">
        <v>0.45</v>
      </c>
      <c r="I462" s="93">
        <v>213</v>
      </c>
      <c r="J462" s="99">
        <v>9898</v>
      </c>
      <c r="K462" s="93">
        <v>6</v>
      </c>
    </row>
    <row r="463" spans="1:11" ht="21" x14ac:dyDescent="0.25">
      <c r="A463" s="88" t="s">
        <v>565</v>
      </c>
      <c r="B463" s="94">
        <v>0.73311342592592599</v>
      </c>
      <c r="C463" s="95">
        <v>0.54</v>
      </c>
      <c r="D463" s="90">
        <v>-19.28</v>
      </c>
      <c r="E463" s="90">
        <v>0.66900000000000004</v>
      </c>
      <c r="F463" s="90">
        <v>0.5</v>
      </c>
      <c r="G463" s="90">
        <v>0.6</v>
      </c>
      <c r="H463" s="90">
        <v>0.5</v>
      </c>
      <c r="I463" s="90">
        <v>85</v>
      </c>
      <c r="J463" s="96">
        <v>4760</v>
      </c>
      <c r="K463" s="90">
        <v>6</v>
      </c>
    </row>
    <row r="464" spans="1:11" ht="21" x14ac:dyDescent="0.25">
      <c r="A464" s="91" t="s">
        <v>566</v>
      </c>
      <c r="B464" s="97">
        <v>0.73311342592592599</v>
      </c>
      <c r="C464" s="98">
        <v>0.6</v>
      </c>
      <c r="D464" s="93">
        <v>-40</v>
      </c>
      <c r="E464" s="93">
        <v>1</v>
      </c>
      <c r="F464" s="93">
        <v>0.7</v>
      </c>
      <c r="G464" s="93">
        <v>0.7</v>
      </c>
      <c r="H464" s="93">
        <v>0.6</v>
      </c>
      <c r="I464" s="93">
        <v>184</v>
      </c>
      <c r="J464" s="99">
        <v>12630</v>
      </c>
      <c r="K464" s="93">
        <v>3</v>
      </c>
    </row>
    <row r="465" spans="1:11" ht="21" x14ac:dyDescent="0.25">
      <c r="A465" s="88" t="s">
        <v>567</v>
      </c>
      <c r="B465" s="94">
        <v>0.73312499999999992</v>
      </c>
      <c r="C465" s="95">
        <v>1.1499999999999999</v>
      </c>
      <c r="D465" s="90">
        <v>-25.81</v>
      </c>
      <c r="E465" s="90">
        <v>1.55</v>
      </c>
      <c r="F465" s="90">
        <v>1.3</v>
      </c>
      <c r="G465" s="90">
        <v>1.4</v>
      </c>
      <c r="H465" s="90">
        <v>1</v>
      </c>
      <c r="I465" s="90">
        <v>990</v>
      </c>
      <c r="J465" s="96">
        <v>120870</v>
      </c>
      <c r="K465" s="90">
        <v>43</v>
      </c>
    </row>
    <row r="466" spans="1:11" ht="21" x14ac:dyDescent="0.25">
      <c r="A466" s="91" t="s">
        <v>568</v>
      </c>
      <c r="B466" s="97">
        <v>0.73312499999999992</v>
      </c>
      <c r="C466" s="98">
        <v>4.2</v>
      </c>
      <c r="D466" s="93">
        <v>-10.64</v>
      </c>
      <c r="E466" s="93">
        <v>4.7</v>
      </c>
      <c r="F466" s="93">
        <v>4.2</v>
      </c>
      <c r="G466" s="93">
        <v>4.2</v>
      </c>
      <c r="H466" s="93">
        <v>4.2</v>
      </c>
      <c r="I466" s="93">
        <v>40</v>
      </c>
      <c r="J466" s="99">
        <v>16800</v>
      </c>
      <c r="K466" s="93">
        <v>3</v>
      </c>
    </row>
    <row r="467" spans="1:11" ht="21" x14ac:dyDescent="0.25">
      <c r="A467" s="88" t="s">
        <v>569</v>
      </c>
      <c r="B467" s="94">
        <v>0.73312499999999992</v>
      </c>
      <c r="C467" s="95">
        <v>2.1</v>
      </c>
      <c r="D467" s="90">
        <v>-13.12</v>
      </c>
      <c r="E467" s="90">
        <v>2.4169999999999998</v>
      </c>
      <c r="F467" s="90">
        <v>2.5</v>
      </c>
      <c r="G467" s="90">
        <v>2.5</v>
      </c>
      <c r="H467" s="90">
        <v>2</v>
      </c>
      <c r="I467" s="90">
        <v>690</v>
      </c>
      <c r="J467" s="96">
        <v>150064</v>
      </c>
      <c r="K467" s="90">
        <v>46</v>
      </c>
    </row>
    <row r="468" spans="1:11" ht="21" x14ac:dyDescent="0.25">
      <c r="A468" s="91" t="s">
        <v>570</v>
      </c>
      <c r="B468" s="97">
        <v>0.73315972222222225</v>
      </c>
      <c r="C468" s="98">
        <v>0.14499999999999999</v>
      </c>
      <c r="D468" s="93">
        <v>20.83</v>
      </c>
      <c r="E468" s="93">
        <v>0.12</v>
      </c>
      <c r="F468" s="93">
        <v>0.13</v>
      </c>
      <c r="G468" s="93">
        <v>0.14499999999999999</v>
      </c>
      <c r="H468" s="93">
        <v>0.13</v>
      </c>
      <c r="I468" s="99">
        <v>1060</v>
      </c>
      <c r="J468" s="99">
        <v>14620</v>
      </c>
      <c r="K468" s="93">
        <v>5</v>
      </c>
    </row>
    <row r="469" spans="1:11" ht="21" x14ac:dyDescent="0.25">
      <c r="A469" s="88" t="s">
        <v>571</v>
      </c>
      <c r="B469" s="94">
        <v>0.6489583333333333</v>
      </c>
      <c r="C469" s="95">
        <v>0.03</v>
      </c>
      <c r="D469" s="90">
        <v>0</v>
      </c>
      <c r="E469" s="90">
        <v>0</v>
      </c>
      <c r="F469" s="90">
        <v>0.03</v>
      </c>
      <c r="G469" s="90">
        <v>0.03</v>
      </c>
      <c r="H469" s="90">
        <v>0.03</v>
      </c>
      <c r="I469" s="96">
        <v>1000</v>
      </c>
      <c r="J469" s="96">
        <v>3000</v>
      </c>
      <c r="K469" s="90">
        <v>1</v>
      </c>
    </row>
    <row r="470" spans="1:11" ht="21" x14ac:dyDescent="0.25">
      <c r="A470" s="91" t="s">
        <v>572</v>
      </c>
      <c r="B470" s="97">
        <v>0.73311342592592599</v>
      </c>
      <c r="C470" s="98">
        <v>4</v>
      </c>
      <c r="D470" s="93">
        <v>14.29</v>
      </c>
      <c r="E470" s="93">
        <v>3.5</v>
      </c>
      <c r="F470" s="93">
        <v>4</v>
      </c>
      <c r="G470" s="93">
        <v>4</v>
      </c>
      <c r="H470" s="93">
        <v>4</v>
      </c>
      <c r="I470" s="93">
        <v>13</v>
      </c>
      <c r="J470" s="99">
        <v>5200</v>
      </c>
      <c r="K470" s="93">
        <v>3</v>
      </c>
    </row>
    <row r="471" spans="1:11" ht="21" x14ac:dyDescent="0.25">
      <c r="A471" s="88" t="s">
        <v>573</v>
      </c>
      <c r="B471" s="94">
        <v>0.73312499999999992</v>
      </c>
      <c r="C471" s="95">
        <v>4.2</v>
      </c>
      <c r="D471" s="90">
        <v>25.37</v>
      </c>
      <c r="E471" s="90">
        <v>3.35</v>
      </c>
      <c r="F471" s="90">
        <v>4.2</v>
      </c>
      <c r="G471" s="90">
        <v>4.2</v>
      </c>
      <c r="H471" s="90">
        <v>4.2</v>
      </c>
      <c r="I471" s="90">
        <v>100</v>
      </c>
      <c r="J471" s="96">
        <v>42000</v>
      </c>
      <c r="K471" s="90">
        <v>1</v>
      </c>
    </row>
    <row r="472" spans="1:11" ht="21" x14ac:dyDescent="0.25">
      <c r="A472" s="91" t="s">
        <v>574</v>
      </c>
      <c r="B472" s="97">
        <v>0.73310185185185184</v>
      </c>
      <c r="C472" s="98">
        <v>3.6</v>
      </c>
      <c r="D472" s="93">
        <v>50</v>
      </c>
      <c r="E472" s="93">
        <v>2.4</v>
      </c>
      <c r="F472" s="93">
        <v>3.6</v>
      </c>
      <c r="G472" s="93">
        <v>3.6</v>
      </c>
      <c r="H472" s="93">
        <v>3.6</v>
      </c>
      <c r="I472" s="93">
        <v>17</v>
      </c>
      <c r="J472" s="99">
        <v>6120</v>
      </c>
      <c r="K472" s="93">
        <v>1</v>
      </c>
    </row>
    <row r="473" spans="1:11" ht="21" x14ac:dyDescent="0.25">
      <c r="A473" s="88" t="s">
        <v>575</v>
      </c>
      <c r="B473" s="94">
        <v>0.73310185185185184</v>
      </c>
      <c r="C473" s="95">
        <v>19</v>
      </c>
      <c r="D473" s="90">
        <v>31.03</v>
      </c>
      <c r="E473" s="90">
        <v>14.5</v>
      </c>
      <c r="F473" s="90">
        <v>19</v>
      </c>
      <c r="G473" s="90">
        <v>19</v>
      </c>
      <c r="H473" s="90">
        <v>19</v>
      </c>
      <c r="I473" s="90">
        <v>20</v>
      </c>
      <c r="J473" s="96">
        <v>38000</v>
      </c>
      <c r="K473" s="90">
        <v>1</v>
      </c>
    </row>
    <row r="474" spans="1:11" ht="21" x14ac:dyDescent="0.25">
      <c r="A474" s="91" t="s">
        <v>576</v>
      </c>
      <c r="B474" s="97">
        <v>0.73310185185185184</v>
      </c>
      <c r="C474" s="98">
        <v>13.2</v>
      </c>
      <c r="D474" s="93">
        <v>32</v>
      </c>
      <c r="E474" s="93">
        <v>10</v>
      </c>
      <c r="F474" s="93">
        <v>12</v>
      </c>
      <c r="G474" s="93">
        <v>13.2</v>
      </c>
      <c r="H474" s="93">
        <v>12</v>
      </c>
      <c r="I474" s="93">
        <v>41</v>
      </c>
      <c r="J474" s="99">
        <v>51060</v>
      </c>
      <c r="K474" s="93">
        <v>6</v>
      </c>
    </row>
    <row r="475" spans="1:11" x14ac:dyDescent="0.25">
      <c r="A475" s="88" t="s">
        <v>577</v>
      </c>
      <c r="B475" s="94">
        <v>0.73312499999999992</v>
      </c>
      <c r="C475" s="95">
        <v>9.5</v>
      </c>
      <c r="D475" s="90">
        <v>52</v>
      </c>
      <c r="E475" s="90">
        <v>6.25</v>
      </c>
      <c r="F475" s="90">
        <v>9.5</v>
      </c>
      <c r="G475" s="90">
        <v>9.5</v>
      </c>
      <c r="H475" s="90">
        <v>9.5</v>
      </c>
      <c r="I475" s="90">
        <v>50</v>
      </c>
      <c r="J475" s="96">
        <v>47500</v>
      </c>
      <c r="K475" s="90">
        <v>1</v>
      </c>
    </row>
    <row r="476" spans="1:11" ht="21" x14ac:dyDescent="0.25">
      <c r="A476" s="91" t="s">
        <v>578</v>
      </c>
      <c r="B476" s="97">
        <v>0.73312499999999992</v>
      </c>
      <c r="C476" s="98">
        <v>3.4</v>
      </c>
      <c r="D476" s="93">
        <v>13.33</v>
      </c>
      <c r="E476" s="93">
        <v>3</v>
      </c>
      <c r="F476" s="93">
        <v>3.4</v>
      </c>
      <c r="G476" s="93">
        <v>3.4</v>
      </c>
      <c r="H476" s="93">
        <v>3.4</v>
      </c>
      <c r="I476" s="93">
        <v>3</v>
      </c>
      <c r="J476" s="99">
        <v>1020</v>
      </c>
      <c r="K476" s="93">
        <v>1</v>
      </c>
    </row>
    <row r="477" spans="1:11" ht="21" x14ac:dyDescent="0.25">
      <c r="A477" s="88" t="s">
        <v>579</v>
      </c>
      <c r="B477" s="94">
        <v>0.7330902777777778</v>
      </c>
      <c r="C477" s="95">
        <v>2.8</v>
      </c>
      <c r="D477" s="90">
        <v>0</v>
      </c>
      <c r="E477" s="90">
        <v>2.8</v>
      </c>
      <c r="F477" s="90">
        <v>2.8</v>
      </c>
      <c r="G477" s="90">
        <v>2.8</v>
      </c>
      <c r="H477" s="90">
        <v>2.8</v>
      </c>
      <c r="I477" s="90">
        <v>4</v>
      </c>
      <c r="J477" s="96">
        <v>1120</v>
      </c>
      <c r="K477" s="90">
        <v>2</v>
      </c>
    </row>
    <row r="478" spans="1:11" ht="21" x14ac:dyDescent="0.25">
      <c r="A478" s="91" t="s">
        <v>580</v>
      </c>
      <c r="B478" s="97">
        <v>0.7330902777777778</v>
      </c>
      <c r="C478" s="98">
        <v>1.1000000000000001</v>
      </c>
      <c r="D478" s="93">
        <v>0</v>
      </c>
      <c r="E478" s="93">
        <v>0</v>
      </c>
      <c r="F478" s="93">
        <v>1.3</v>
      </c>
      <c r="G478" s="93">
        <v>1.3</v>
      </c>
      <c r="H478" s="93">
        <v>1.1000000000000001</v>
      </c>
      <c r="I478" s="93">
        <v>30</v>
      </c>
      <c r="J478" s="99">
        <v>3500</v>
      </c>
      <c r="K478" s="93">
        <v>2</v>
      </c>
    </row>
    <row r="479" spans="1:11" ht="21" x14ac:dyDescent="0.25">
      <c r="A479" s="88" t="s">
        <v>581</v>
      </c>
      <c r="B479" s="94">
        <v>0.7330902777777778</v>
      </c>
      <c r="C479" s="95">
        <v>4.4000000000000004</v>
      </c>
      <c r="D479" s="90">
        <v>17.329999999999998</v>
      </c>
      <c r="E479" s="90">
        <v>3.75</v>
      </c>
      <c r="F479" s="90">
        <v>4.4000000000000004</v>
      </c>
      <c r="G479" s="90">
        <v>4.4000000000000004</v>
      </c>
      <c r="H479" s="90">
        <v>4.4000000000000004</v>
      </c>
      <c r="I479" s="90">
        <v>8</v>
      </c>
      <c r="J479" s="96">
        <v>3520</v>
      </c>
      <c r="K479" s="90">
        <v>1</v>
      </c>
    </row>
    <row r="480" spans="1:11" ht="21" x14ac:dyDescent="0.25">
      <c r="A480" s="91" t="s">
        <v>582</v>
      </c>
      <c r="B480" s="97">
        <v>0.73310185185185184</v>
      </c>
      <c r="C480" s="98">
        <v>115</v>
      </c>
      <c r="D480" s="93">
        <v>4.55</v>
      </c>
      <c r="E480" s="93">
        <v>110</v>
      </c>
      <c r="F480" s="93">
        <v>115</v>
      </c>
      <c r="G480" s="93">
        <v>115</v>
      </c>
      <c r="H480" s="93">
        <v>115</v>
      </c>
      <c r="I480" s="93">
        <v>4</v>
      </c>
      <c r="J480" s="99">
        <v>46000</v>
      </c>
      <c r="K480" s="93">
        <v>4</v>
      </c>
    </row>
    <row r="481" spans="1:11" ht="21" x14ac:dyDescent="0.25">
      <c r="A481" s="88" t="s">
        <v>583</v>
      </c>
      <c r="B481" s="94">
        <v>0.73310185185185184</v>
      </c>
      <c r="C481" s="95">
        <v>29.9</v>
      </c>
      <c r="D481" s="90">
        <v>-0.33</v>
      </c>
      <c r="E481" s="90">
        <v>30</v>
      </c>
      <c r="F481" s="90">
        <v>31</v>
      </c>
      <c r="G481" s="90">
        <v>31</v>
      </c>
      <c r="H481" s="90">
        <v>28</v>
      </c>
      <c r="I481" s="90">
        <v>17</v>
      </c>
      <c r="J481" s="96">
        <v>50380</v>
      </c>
      <c r="K481" s="90">
        <v>5</v>
      </c>
    </row>
    <row r="482" spans="1:11" ht="21" x14ac:dyDescent="0.25">
      <c r="A482" s="91" t="s">
        <v>584</v>
      </c>
      <c r="B482" s="97">
        <v>0.73310185185185184</v>
      </c>
      <c r="C482" s="98">
        <v>11.5</v>
      </c>
      <c r="D482" s="93">
        <v>21.05</v>
      </c>
      <c r="E482" s="93">
        <v>9.5</v>
      </c>
      <c r="F482" s="93">
        <v>11.5</v>
      </c>
      <c r="G482" s="93">
        <v>11.5</v>
      </c>
      <c r="H482" s="93">
        <v>11.5</v>
      </c>
      <c r="I482" s="93">
        <v>24</v>
      </c>
      <c r="J482" s="99">
        <v>27600</v>
      </c>
      <c r="K482" s="93">
        <v>3</v>
      </c>
    </row>
    <row r="483" spans="1:11" ht="21" x14ac:dyDescent="0.25">
      <c r="A483" s="88" t="s">
        <v>585</v>
      </c>
      <c r="B483" s="94">
        <v>0.73311342592592599</v>
      </c>
      <c r="C483" s="95">
        <v>10.5</v>
      </c>
      <c r="D483" s="90">
        <v>14.13</v>
      </c>
      <c r="E483" s="90">
        <v>9.1999999999999993</v>
      </c>
      <c r="F483" s="90">
        <v>9.5</v>
      </c>
      <c r="G483" s="90">
        <v>10.5</v>
      </c>
      <c r="H483" s="90">
        <v>9.5</v>
      </c>
      <c r="I483" s="90">
        <v>10</v>
      </c>
      <c r="J483" s="96">
        <v>10000</v>
      </c>
      <c r="K483" s="90">
        <v>3</v>
      </c>
    </row>
    <row r="484" spans="1:11" ht="21" x14ac:dyDescent="0.25">
      <c r="A484" s="91" t="s">
        <v>586</v>
      </c>
      <c r="B484" s="97">
        <v>0.73310185185185184</v>
      </c>
      <c r="C484" s="98">
        <v>7.7</v>
      </c>
      <c r="D484" s="93">
        <v>18.48</v>
      </c>
      <c r="E484" s="93">
        <v>6.4989999999999997</v>
      </c>
      <c r="F484" s="93">
        <v>7.5</v>
      </c>
      <c r="G484" s="93">
        <v>7.7</v>
      </c>
      <c r="H484" s="93">
        <v>7.5</v>
      </c>
      <c r="I484" s="93">
        <v>92</v>
      </c>
      <c r="J484" s="99">
        <v>69040</v>
      </c>
      <c r="K484" s="93">
        <v>11</v>
      </c>
    </row>
    <row r="485" spans="1:11" ht="21" x14ac:dyDescent="0.25">
      <c r="A485" s="88" t="s">
        <v>587</v>
      </c>
      <c r="B485" s="94">
        <v>0.73310185185185184</v>
      </c>
      <c r="C485" s="95">
        <v>5.75</v>
      </c>
      <c r="D485" s="90">
        <v>25</v>
      </c>
      <c r="E485" s="90">
        <v>4.5999999999999996</v>
      </c>
      <c r="F485" s="90">
        <v>5</v>
      </c>
      <c r="G485" s="90">
        <v>5.75</v>
      </c>
      <c r="H485" s="90">
        <v>5</v>
      </c>
      <c r="I485" s="90">
        <v>593</v>
      </c>
      <c r="J485" s="96">
        <v>326018</v>
      </c>
      <c r="K485" s="90">
        <v>49</v>
      </c>
    </row>
    <row r="486" spans="1:11" ht="21" x14ac:dyDescent="0.25">
      <c r="A486" s="91" t="s">
        <v>588</v>
      </c>
      <c r="B486" s="97">
        <v>0.73311342592592599</v>
      </c>
      <c r="C486" s="98">
        <v>6.75</v>
      </c>
      <c r="D486" s="93">
        <v>0</v>
      </c>
      <c r="E486" s="93">
        <v>0</v>
      </c>
      <c r="F486" s="93">
        <v>6.75</v>
      </c>
      <c r="G486" s="93">
        <v>6.75</v>
      </c>
      <c r="H486" s="93">
        <v>6.75</v>
      </c>
      <c r="I486" s="93">
        <v>10</v>
      </c>
      <c r="J486" s="99">
        <v>6750</v>
      </c>
      <c r="K486" s="93">
        <v>2</v>
      </c>
    </row>
    <row r="487" spans="1:11" ht="21" x14ac:dyDescent="0.25">
      <c r="A487" s="88" t="s">
        <v>589</v>
      </c>
      <c r="B487" s="94">
        <v>0.73310185185185184</v>
      </c>
      <c r="C487" s="95">
        <v>3.75</v>
      </c>
      <c r="D487" s="90">
        <v>22.95</v>
      </c>
      <c r="E487" s="90">
        <v>3.05</v>
      </c>
      <c r="F487" s="90">
        <v>3.5</v>
      </c>
      <c r="G487" s="90">
        <v>3.85</v>
      </c>
      <c r="H487" s="90">
        <v>3.35</v>
      </c>
      <c r="I487" s="96">
        <v>2201</v>
      </c>
      <c r="J487" s="96">
        <v>797591</v>
      </c>
      <c r="K487" s="90">
        <v>132</v>
      </c>
    </row>
    <row r="488" spans="1:11" ht="21" x14ac:dyDescent="0.25">
      <c r="A488" s="91" t="s">
        <v>590</v>
      </c>
      <c r="B488" s="97">
        <v>0.73311342592592599</v>
      </c>
      <c r="C488" s="98">
        <v>5.8</v>
      </c>
      <c r="D488" s="93">
        <v>17.170000000000002</v>
      </c>
      <c r="E488" s="93">
        <v>4.95</v>
      </c>
      <c r="F488" s="93">
        <v>5.5</v>
      </c>
      <c r="G488" s="93">
        <v>6.5</v>
      </c>
      <c r="H488" s="93">
        <v>5.5</v>
      </c>
      <c r="I488" s="93">
        <v>124</v>
      </c>
      <c r="J488" s="99">
        <v>72735</v>
      </c>
      <c r="K488" s="93">
        <v>18</v>
      </c>
    </row>
    <row r="489" spans="1:11" ht="21" x14ac:dyDescent="0.25">
      <c r="A489" s="88" t="s">
        <v>591</v>
      </c>
      <c r="B489" s="94">
        <v>0.73310185185185184</v>
      </c>
      <c r="C489" s="95">
        <v>3</v>
      </c>
      <c r="D489" s="90">
        <v>39.54</v>
      </c>
      <c r="E489" s="90">
        <v>2.15</v>
      </c>
      <c r="F489" s="90">
        <v>2.8</v>
      </c>
      <c r="G489" s="90">
        <v>3.1</v>
      </c>
      <c r="H489" s="90">
        <v>2.7</v>
      </c>
      <c r="I489" s="90">
        <v>694</v>
      </c>
      <c r="J489" s="96">
        <v>193216</v>
      </c>
      <c r="K489" s="90">
        <v>56</v>
      </c>
    </row>
    <row r="490" spans="1:11" ht="21" x14ac:dyDescent="0.25">
      <c r="A490" s="91" t="s">
        <v>592</v>
      </c>
      <c r="B490" s="97">
        <v>0.73311342592592599</v>
      </c>
      <c r="C490" s="98">
        <v>5.05</v>
      </c>
      <c r="D490" s="93">
        <v>0</v>
      </c>
      <c r="E490" s="93">
        <v>0</v>
      </c>
      <c r="F490" s="93">
        <v>5</v>
      </c>
      <c r="G490" s="93">
        <v>5.05</v>
      </c>
      <c r="H490" s="93">
        <v>4.8499999999999996</v>
      </c>
      <c r="I490" s="93">
        <v>281</v>
      </c>
      <c r="J490" s="99">
        <v>139820</v>
      </c>
      <c r="K490" s="93">
        <v>11</v>
      </c>
    </row>
    <row r="491" spans="1:11" ht="21" x14ac:dyDescent="0.25">
      <c r="A491" s="88" t="s">
        <v>593</v>
      </c>
      <c r="B491" s="94">
        <v>0.73310185185185184</v>
      </c>
      <c r="C491" s="95">
        <v>2.2000000000000002</v>
      </c>
      <c r="D491" s="90">
        <v>51.72</v>
      </c>
      <c r="E491" s="90">
        <v>1.45</v>
      </c>
      <c r="F491" s="90">
        <v>1.65</v>
      </c>
      <c r="G491" s="90">
        <v>2.35</v>
      </c>
      <c r="H491" s="90">
        <v>1.65</v>
      </c>
      <c r="I491" s="96">
        <v>1328</v>
      </c>
      <c r="J491" s="96">
        <v>282686</v>
      </c>
      <c r="K491" s="90">
        <v>78</v>
      </c>
    </row>
    <row r="492" spans="1:11" ht="21" x14ac:dyDescent="0.25">
      <c r="A492" s="91" t="s">
        <v>594</v>
      </c>
      <c r="B492" s="97">
        <v>0.73310185185185184</v>
      </c>
      <c r="C492" s="98">
        <v>1.56</v>
      </c>
      <c r="D492" s="93">
        <v>66.67</v>
      </c>
      <c r="E492" s="93">
        <v>0.93600000000000005</v>
      </c>
      <c r="F492" s="93">
        <v>1.1000000000000001</v>
      </c>
      <c r="G492" s="93">
        <v>1.59</v>
      </c>
      <c r="H492" s="93">
        <v>1.1000000000000001</v>
      </c>
      <c r="I492" s="99">
        <v>6682</v>
      </c>
      <c r="J492" s="99">
        <v>957042</v>
      </c>
      <c r="K492" s="93">
        <v>246</v>
      </c>
    </row>
    <row r="493" spans="1:11" ht="21" x14ac:dyDescent="0.25">
      <c r="A493" s="88" t="s">
        <v>595</v>
      </c>
      <c r="B493" s="94">
        <v>0.73312499999999992</v>
      </c>
      <c r="C493" s="95">
        <v>3.5</v>
      </c>
      <c r="D493" s="90">
        <v>55.56</v>
      </c>
      <c r="E493" s="90">
        <v>2.25</v>
      </c>
      <c r="F493" s="90">
        <v>2.8</v>
      </c>
      <c r="G493" s="90">
        <v>3.5</v>
      </c>
      <c r="H493" s="90">
        <v>2.8</v>
      </c>
      <c r="I493" s="90">
        <v>377</v>
      </c>
      <c r="J493" s="96">
        <v>109839</v>
      </c>
      <c r="K493" s="90">
        <v>17</v>
      </c>
    </row>
    <row r="494" spans="1:11" ht="21" x14ac:dyDescent="0.25">
      <c r="A494" s="91" t="s">
        <v>596</v>
      </c>
      <c r="B494" s="97">
        <v>0.73312499999999992</v>
      </c>
      <c r="C494" s="98">
        <v>0.69</v>
      </c>
      <c r="D494" s="93">
        <v>77.38</v>
      </c>
      <c r="E494" s="93">
        <v>0.38900000000000001</v>
      </c>
      <c r="F494" s="93">
        <v>0.57999999999999996</v>
      </c>
      <c r="G494" s="93">
        <v>0.76</v>
      </c>
      <c r="H494" s="93">
        <v>0.54</v>
      </c>
      <c r="I494" s="99">
        <v>5501</v>
      </c>
      <c r="J494" s="99">
        <v>346202</v>
      </c>
      <c r="K494" s="93">
        <v>165</v>
      </c>
    </row>
    <row r="495" spans="1:11" ht="21" x14ac:dyDescent="0.25">
      <c r="A495" s="88" t="s">
        <v>597</v>
      </c>
      <c r="B495" s="94">
        <v>0.73312499999999992</v>
      </c>
      <c r="C495" s="95">
        <v>0.33</v>
      </c>
      <c r="D495" s="90">
        <v>65</v>
      </c>
      <c r="E495" s="90">
        <v>0.2</v>
      </c>
      <c r="F495" s="90">
        <v>0.26</v>
      </c>
      <c r="G495" s="90">
        <v>0.39</v>
      </c>
      <c r="H495" s="90">
        <v>0.26</v>
      </c>
      <c r="I495" s="90">
        <v>527</v>
      </c>
      <c r="J495" s="96">
        <v>16345</v>
      </c>
      <c r="K495" s="90">
        <v>10</v>
      </c>
    </row>
    <row r="496" spans="1:11" ht="21" x14ac:dyDescent="0.25">
      <c r="A496" s="91" t="s">
        <v>598</v>
      </c>
      <c r="B496" s="97">
        <v>0.73311342592592599</v>
      </c>
      <c r="C496" s="98">
        <v>1.04</v>
      </c>
      <c r="D496" s="93">
        <v>-0.95</v>
      </c>
      <c r="E496" s="93">
        <v>1.05</v>
      </c>
      <c r="F496" s="93">
        <v>1.04</v>
      </c>
      <c r="G496" s="93">
        <v>1.04</v>
      </c>
      <c r="H496" s="93">
        <v>1.04</v>
      </c>
      <c r="I496" s="93">
        <v>41</v>
      </c>
      <c r="J496" s="99">
        <v>4264</v>
      </c>
      <c r="K496" s="93">
        <v>1</v>
      </c>
    </row>
    <row r="497" spans="1:11" ht="21" x14ac:dyDescent="0.25">
      <c r="A497" s="88" t="s">
        <v>599</v>
      </c>
      <c r="B497" s="94">
        <v>0.73310185185185184</v>
      </c>
      <c r="C497" s="95">
        <v>0.249</v>
      </c>
      <c r="D497" s="90">
        <v>-40.71</v>
      </c>
      <c r="E497" s="90">
        <v>0.42</v>
      </c>
      <c r="F497" s="90">
        <v>0.35</v>
      </c>
      <c r="G497" s="90">
        <v>0.35</v>
      </c>
      <c r="H497" s="90">
        <v>0.249</v>
      </c>
      <c r="I497" s="90">
        <v>59</v>
      </c>
      <c r="J497" s="96">
        <v>1863</v>
      </c>
      <c r="K497" s="90">
        <v>8</v>
      </c>
    </row>
    <row r="498" spans="1:11" ht="21" x14ac:dyDescent="0.25">
      <c r="A498" s="91" t="s">
        <v>600</v>
      </c>
      <c r="B498" s="97">
        <v>0.73310185185185184</v>
      </c>
      <c r="C498" s="98">
        <v>0.34499999999999997</v>
      </c>
      <c r="D498" s="93">
        <v>-65.5</v>
      </c>
      <c r="E498" s="93">
        <v>1</v>
      </c>
      <c r="F498" s="93">
        <v>0.35099999999999998</v>
      </c>
      <c r="G498" s="93">
        <v>0.4</v>
      </c>
      <c r="H498" s="93">
        <v>0.34499999999999997</v>
      </c>
      <c r="I498" s="93">
        <v>198</v>
      </c>
      <c r="J498" s="99">
        <v>7134</v>
      </c>
      <c r="K498" s="93">
        <v>13</v>
      </c>
    </row>
    <row r="499" spans="1:11" ht="21" x14ac:dyDescent="0.25">
      <c r="A499" s="88" t="s">
        <v>601</v>
      </c>
      <c r="B499" s="94">
        <v>0.73310185185185184</v>
      </c>
      <c r="C499" s="95">
        <v>0.7</v>
      </c>
      <c r="D499" s="90">
        <v>0</v>
      </c>
      <c r="E499" s="90">
        <v>0</v>
      </c>
      <c r="F499" s="90">
        <v>1.05</v>
      </c>
      <c r="G499" s="90">
        <v>1.05</v>
      </c>
      <c r="H499" s="90">
        <v>0.7</v>
      </c>
      <c r="I499" s="90">
        <v>14</v>
      </c>
      <c r="J499" s="96">
        <v>1225</v>
      </c>
      <c r="K499" s="90">
        <v>3</v>
      </c>
    </row>
    <row r="500" spans="1:11" ht="21" x14ac:dyDescent="0.25">
      <c r="A500" s="91" t="s">
        <v>602</v>
      </c>
      <c r="B500" s="97">
        <v>0.73310185185185184</v>
      </c>
      <c r="C500" s="98">
        <v>1.25</v>
      </c>
      <c r="D500" s="93">
        <v>0</v>
      </c>
      <c r="E500" s="93">
        <v>0</v>
      </c>
      <c r="F500" s="93">
        <v>1.25</v>
      </c>
      <c r="G500" s="93">
        <v>1.25</v>
      </c>
      <c r="H500" s="93">
        <v>1.25</v>
      </c>
      <c r="I500" s="93">
        <v>25</v>
      </c>
      <c r="J500" s="99">
        <v>3125</v>
      </c>
      <c r="K500" s="93">
        <v>1</v>
      </c>
    </row>
    <row r="501" spans="1:11" ht="21" x14ac:dyDescent="0.25">
      <c r="A501" s="88" t="s">
        <v>603</v>
      </c>
      <c r="B501" s="94">
        <v>0.73310185185185184</v>
      </c>
      <c r="C501" s="95">
        <v>15.65</v>
      </c>
      <c r="D501" s="90">
        <v>-5.17</v>
      </c>
      <c r="E501" s="90">
        <v>16.503</v>
      </c>
      <c r="F501" s="90">
        <v>16.95</v>
      </c>
      <c r="G501" s="90">
        <v>16.95</v>
      </c>
      <c r="H501" s="90">
        <v>15.65</v>
      </c>
      <c r="I501" s="90">
        <v>10</v>
      </c>
      <c r="J501" s="96">
        <v>16630</v>
      </c>
      <c r="K501" s="90">
        <v>3</v>
      </c>
    </row>
    <row r="502" spans="1:11" ht="21" x14ac:dyDescent="0.25">
      <c r="A502" s="91" t="s">
        <v>604</v>
      </c>
      <c r="B502" s="97">
        <v>0.73310185185185184</v>
      </c>
      <c r="C502" s="98">
        <v>13.05</v>
      </c>
      <c r="D502" s="93">
        <v>-6.12</v>
      </c>
      <c r="E502" s="93">
        <v>13.9</v>
      </c>
      <c r="F502" s="93">
        <v>13.05</v>
      </c>
      <c r="G502" s="93">
        <v>13.2</v>
      </c>
      <c r="H502" s="93">
        <v>13.05</v>
      </c>
      <c r="I502" s="93">
        <v>126</v>
      </c>
      <c r="J502" s="99">
        <v>165110</v>
      </c>
      <c r="K502" s="93">
        <v>6</v>
      </c>
    </row>
    <row r="503" spans="1:11" ht="21" x14ac:dyDescent="0.25">
      <c r="A503" s="88" t="s">
        <v>605</v>
      </c>
      <c r="B503" s="94">
        <v>0.73310185185185184</v>
      </c>
      <c r="C503" s="95">
        <v>9.4</v>
      </c>
      <c r="D503" s="90">
        <v>-1.05</v>
      </c>
      <c r="E503" s="90">
        <v>9.5</v>
      </c>
      <c r="F503" s="90">
        <v>9.61</v>
      </c>
      <c r="G503" s="90">
        <v>10.199999999999999</v>
      </c>
      <c r="H503" s="90">
        <v>9.1999999999999993</v>
      </c>
      <c r="I503" s="90">
        <v>507</v>
      </c>
      <c r="J503" s="96">
        <v>488191</v>
      </c>
      <c r="K503" s="90">
        <v>39</v>
      </c>
    </row>
    <row r="504" spans="1:11" ht="21" x14ac:dyDescent="0.25">
      <c r="A504" s="91" t="s">
        <v>606</v>
      </c>
      <c r="B504" s="97">
        <v>0.73310185185185184</v>
      </c>
      <c r="C504" s="98">
        <v>6.2</v>
      </c>
      <c r="D504" s="93">
        <v>1.64</v>
      </c>
      <c r="E504" s="93">
        <v>6.1</v>
      </c>
      <c r="F504" s="93">
        <v>6.8</v>
      </c>
      <c r="G504" s="93">
        <v>6.8</v>
      </c>
      <c r="H504" s="93">
        <v>6</v>
      </c>
      <c r="I504" s="93">
        <v>301</v>
      </c>
      <c r="J504" s="99">
        <v>193190</v>
      </c>
      <c r="K504" s="93">
        <v>10</v>
      </c>
    </row>
    <row r="505" spans="1:11" ht="21" x14ac:dyDescent="0.25">
      <c r="A505" s="88" t="s">
        <v>607</v>
      </c>
      <c r="B505" s="94">
        <v>0.73311342592592599</v>
      </c>
      <c r="C505" s="95">
        <v>7.21</v>
      </c>
      <c r="D505" s="90">
        <v>0.84</v>
      </c>
      <c r="E505" s="90">
        <v>7.15</v>
      </c>
      <c r="F505" s="90">
        <v>7.42</v>
      </c>
      <c r="G505" s="90">
        <v>7.42</v>
      </c>
      <c r="H505" s="90">
        <v>7.21</v>
      </c>
      <c r="I505" s="90">
        <v>10</v>
      </c>
      <c r="J505" s="96">
        <v>7399</v>
      </c>
      <c r="K505" s="90">
        <v>3</v>
      </c>
    </row>
    <row r="506" spans="1:11" ht="21" x14ac:dyDescent="0.25">
      <c r="A506" s="91" t="s">
        <v>608</v>
      </c>
      <c r="B506" s="97">
        <v>0.73310185185185184</v>
      </c>
      <c r="C506" s="98">
        <v>3.0510000000000002</v>
      </c>
      <c r="D506" s="93">
        <v>-2.71</v>
      </c>
      <c r="E506" s="93">
        <v>3.1360000000000001</v>
      </c>
      <c r="F506" s="93">
        <v>3.3</v>
      </c>
      <c r="G506" s="93">
        <v>3.6</v>
      </c>
      <c r="H506" s="93">
        <v>3</v>
      </c>
      <c r="I506" s="99">
        <v>3751</v>
      </c>
      <c r="J506" s="99">
        <v>1240157</v>
      </c>
      <c r="K506" s="93">
        <v>136</v>
      </c>
    </row>
    <row r="507" spans="1:11" ht="21" x14ac:dyDescent="0.25">
      <c r="A507" s="88" t="s">
        <v>609</v>
      </c>
      <c r="B507" s="94">
        <v>0.73310185185185184</v>
      </c>
      <c r="C507" s="95">
        <v>1.1000000000000001</v>
      </c>
      <c r="D507" s="90">
        <v>-10.130000000000001</v>
      </c>
      <c r="E507" s="90">
        <v>1.224</v>
      </c>
      <c r="F507" s="90">
        <v>1.35</v>
      </c>
      <c r="G507" s="90">
        <v>1.6</v>
      </c>
      <c r="H507" s="90">
        <v>1</v>
      </c>
      <c r="I507" s="96">
        <v>3968</v>
      </c>
      <c r="J507" s="96">
        <v>514242</v>
      </c>
      <c r="K507" s="90">
        <v>127</v>
      </c>
    </row>
    <row r="508" spans="1:11" ht="21" x14ac:dyDescent="0.25">
      <c r="A508" s="91" t="s">
        <v>610</v>
      </c>
      <c r="B508" s="97">
        <v>0.73310185185185184</v>
      </c>
      <c r="C508" s="98">
        <v>0.3</v>
      </c>
      <c r="D508" s="93">
        <v>-7.98</v>
      </c>
      <c r="E508" s="93">
        <v>0.32600000000000001</v>
      </c>
      <c r="F508" s="93">
        <v>0.38</v>
      </c>
      <c r="G508" s="93">
        <v>0.38</v>
      </c>
      <c r="H508" s="93">
        <v>0.28999999999999998</v>
      </c>
      <c r="I508" s="99">
        <v>3360</v>
      </c>
      <c r="J508" s="99">
        <v>108109</v>
      </c>
      <c r="K508" s="93">
        <v>74</v>
      </c>
    </row>
    <row r="509" spans="1:11" ht="21" x14ac:dyDescent="0.25">
      <c r="A509" s="88" t="s">
        <v>611</v>
      </c>
      <c r="B509" s="94">
        <v>0.73311342592592599</v>
      </c>
      <c r="C509" s="95">
        <v>1.75</v>
      </c>
      <c r="D509" s="90">
        <v>-10.26</v>
      </c>
      <c r="E509" s="90">
        <v>1.95</v>
      </c>
      <c r="F509" s="90">
        <v>1.75</v>
      </c>
      <c r="G509" s="90">
        <v>1.75</v>
      </c>
      <c r="H509" s="90">
        <v>1.75</v>
      </c>
      <c r="I509" s="90">
        <v>100</v>
      </c>
      <c r="J509" s="96">
        <v>17500</v>
      </c>
      <c r="K509" s="90">
        <v>1</v>
      </c>
    </row>
    <row r="510" spans="1:11" ht="21" x14ac:dyDescent="0.25">
      <c r="A510" s="91" t="s">
        <v>612</v>
      </c>
      <c r="B510" s="97">
        <v>0.73310185185185184</v>
      </c>
      <c r="C510" s="98">
        <v>0.1</v>
      </c>
      <c r="D510" s="93">
        <v>-32.89</v>
      </c>
      <c r="E510" s="93">
        <v>0.14899999999999999</v>
      </c>
      <c r="F510" s="93">
        <v>0.15</v>
      </c>
      <c r="G510" s="93">
        <v>0.15</v>
      </c>
      <c r="H510" s="93">
        <v>0.1</v>
      </c>
      <c r="I510" s="99">
        <v>1980</v>
      </c>
      <c r="J510" s="99">
        <v>23719</v>
      </c>
      <c r="K510" s="93">
        <v>17</v>
      </c>
    </row>
    <row r="511" spans="1:11" ht="21" x14ac:dyDescent="0.25">
      <c r="A511" s="88" t="s">
        <v>613</v>
      </c>
      <c r="B511" s="94">
        <v>0.73310185185185184</v>
      </c>
      <c r="C511" s="95">
        <v>0.6</v>
      </c>
      <c r="D511" s="90">
        <v>-13.67</v>
      </c>
      <c r="E511" s="90">
        <v>0.69499999999999995</v>
      </c>
      <c r="F511" s="90">
        <v>0.5</v>
      </c>
      <c r="G511" s="90">
        <v>0.6</v>
      </c>
      <c r="H511" s="90">
        <v>0.5</v>
      </c>
      <c r="I511" s="90">
        <v>360</v>
      </c>
      <c r="J511" s="96">
        <v>20417</v>
      </c>
      <c r="K511" s="90">
        <v>11</v>
      </c>
    </row>
    <row r="512" spans="1:11" ht="21" x14ac:dyDescent="0.25">
      <c r="A512" s="91" t="s">
        <v>614</v>
      </c>
      <c r="B512" s="97">
        <v>0.73310185185185184</v>
      </c>
      <c r="C512" s="98">
        <v>1.54</v>
      </c>
      <c r="D512" s="93">
        <v>6.21</v>
      </c>
      <c r="E512" s="93">
        <v>1.45</v>
      </c>
      <c r="F512" s="93">
        <v>1.35</v>
      </c>
      <c r="G512" s="93">
        <v>1.55</v>
      </c>
      <c r="H512" s="93">
        <v>1.35</v>
      </c>
      <c r="I512" s="93">
        <v>500</v>
      </c>
      <c r="J512" s="99">
        <v>73046</v>
      </c>
      <c r="K512" s="93">
        <v>20</v>
      </c>
    </row>
    <row r="513" spans="1:11" ht="21" x14ac:dyDescent="0.25">
      <c r="A513" s="88" t="s">
        <v>615</v>
      </c>
      <c r="B513" s="94">
        <v>0.7330902777777778</v>
      </c>
      <c r="C513" s="95">
        <v>9</v>
      </c>
      <c r="D513" s="90">
        <v>80</v>
      </c>
      <c r="E513" s="90">
        <v>5</v>
      </c>
      <c r="F513" s="90">
        <v>9</v>
      </c>
      <c r="G513" s="90">
        <v>9</v>
      </c>
      <c r="H513" s="90">
        <v>9</v>
      </c>
      <c r="I513" s="90">
        <v>10</v>
      </c>
      <c r="J513" s="96">
        <v>9000</v>
      </c>
      <c r="K513" s="90">
        <v>1</v>
      </c>
    </row>
    <row r="514" spans="1:11" ht="21" x14ac:dyDescent="0.25">
      <c r="A514" s="91" t="s">
        <v>616</v>
      </c>
      <c r="B514" s="97">
        <v>0.73312499999999992</v>
      </c>
      <c r="C514" s="98">
        <v>4.45</v>
      </c>
      <c r="D514" s="93">
        <v>-7.29</v>
      </c>
      <c r="E514" s="93">
        <v>4.8</v>
      </c>
      <c r="F514" s="93">
        <v>4.8</v>
      </c>
      <c r="G514" s="93">
        <v>4.8</v>
      </c>
      <c r="H514" s="93">
        <v>4.45</v>
      </c>
      <c r="I514" s="93">
        <v>10</v>
      </c>
      <c r="J514" s="99">
        <v>4625</v>
      </c>
      <c r="K514" s="93">
        <v>2</v>
      </c>
    </row>
    <row r="515" spans="1:11" ht="21" x14ac:dyDescent="0.25">
      <c r="A515" s="88" t="s">
        <v>617</v>
      </c>
      <c r="B515" s="94">
        <v>0.73312499999999992</v>
      </c>
      <c r="C515" s="95">
        <v>4.0999999999999996</v>
      </c>
      <c r="D515" s="90">
        <v>0</v>
      </c>
      <c r="E515" s="90">
        <v>4.0999999999999996</v>
      </c>
      <c r="F515" s="90">
        <v>4</v>
      </c>
      <c r="G515" s="90">
        <v>4.0999999999999996</v>
      </c>
      <c r="H515" s="90">
        <v>4</v>
      </c>
      <c r="I515" s="90">
        <v>39</v>
      </c>
      <c r="J515" s="96">
        <v>15700</v>
      </c>
      <c r="K515" s="90">
        <v>5</v>
      </c>
    </row>
    <row r="516" spans="1:11" ht="21" x14ac:dyDescent="0.25">
      <c r="A516" s="91" t="s">
        <v>618</v>
      </c>
      <c r="B516" s="97">
        <v>0.73312499999999992</v>
      </c>
      <c r="C516" s="98">
        <v>2.8</v>
      </c>
      <c r="D516" s="93">
        <v>-6.64</v>
      </c>
      <c r="E516" s="93">
        <v>2.9990000000000001</v>
      </c>
      <c r="F516" s="93">
        <v>2.99</v>
      </c>
      <c r="G516" s="93">
        <v>2.99</v>
      </c>
      <c r="H516" s="93">
        <v>2.8</v>
      </c>
      <c r="I516" s="93">
        <v>82</v>
      </c>
      <c r="J516" s="99">
        <v>23910</v>
      </c>
      <c r="K516" s="93">
        <v>5</v>
      </c>
    </row>
    <row r="517" spans="1:11" ht="21" x14ac:dyDescent="0.25">
      <c r="A517" s="88" t="s">
        <v>619</v>
      </c>
      <c r="B517" s="94">
        <v>0.73312499999999992</v>
      </c>
      <c r="C517" s="95">
        <v>1.9319999999999999</v>
      </c>
      <c r="D517" s="90">
        <v>1.68</v>
      </c>
      <c r="E517" s="90">
        <v>1.9</v>
      </c>
      <c r="F517" s="90">
        <v>1.9</v>
      </c>
      <c r="G517" s="90">
        <v>1.9319999999999999</v>
      </c>
      <c r="H517" s="90">
        <v>1.78</v>
      </c>
      <c r="I517" s="90">
        <v>154</v>
      </c>
      <c r="J517" s="96">
        <v>29282</v>
      </c>
      <c r="K517" s="90">
        <v>12</v>
      </c>
    </row>
    <row r="518" spans="1:11" ht="21" x14ac:dyDescent="0.25">
      <c r="A518" s="91" t="s">
        <v>620</v>
      </c>
      <c r="B518" s="97">
        <v>0.73312499999999992</v>
      </c>
      <c r="C518" s="98">
        <v>2.2000000000000002</v>
      </c>
      <c r="D518" s="93">
        <v>-3.51</v>
      </c>
      <c r="E518" s="93">
        <v>2.2799999999999998</v>
      </c>
      <c r="F518" s="93">
        <v>2.2999999999999998</v>
      </c>
      <c r="G518" s="93">
        <v>2.2999999999999998</v>
      </c>
      <c r="H518" s="93">
        <v>2.2000000000000002</v>
      </c>
      <c r="I518" s="93">
        <v>70</v>
      </c>
      <c r="J518" s="99">
        <v>15650</v>
      </c>
      <c r="K518" s="93">
        <v>3</v>
      </c>
    </row>
    <row r="519" spans="1:11" ht="21" x14ac:dyDescent="0.25">
      <c r="A519" s="88" t="s">
        <v>621</v>
      </c>
      <c r="B519" s="94">
        <v>0.73312499999999992</v>
      </c>
      <c r="C519" s="95">
        <v>1.33</v>
      </c>
      <c r="D519" s="90">
        <v>10.83</v>
      </c>
      <c r="E519" s="90">
        <v>1.2</v>
      </c>
      <c r="F519" s="90">
        <v>1.2889999999999999</v>
      </c>
      <c r="G519" s="90">
        <v>1.33</v>
      </c>
      <c r="H519" s="90">
        <v>1.05</v>
      </c>
      <c r="I519" s="90">
        <v>847</v>
      </c>
      <c r="J519" s="96">
        <v>95769</v>
      </c>
      <c r="K519" s="90">
        <v>29</v>
      </c>
    </row>
    <row r="520" spans="1:11" ht="21" x14ac:dyDescent="0.25">
      <c r="A520" s="91" t="s">
        <v>622</v>
      </c>
      <c r="B520" s="97">
        <v>0.67980324074074072</v>
      </c>
      <c r="C520" s="98">
        <v>1.6</v>
      </c>
      <c r="D520" s="93">
        <v>0</v>
      </c>
      <c r="E520" s="93">
        <v>0</v>
      </c>
      <c r="F520" s="93">
        <v>1.8</v>
      </c>
      <c r="G520" s="93">
        <v>1.8</v>
      </c>
      <c r="H520" s="93">
        <v>1.6</v>
      </c>
      <c r="I520" s="93">
        <v>100</v>
      </c>
      <c r="J520" s="99">
        <v>17600</v>
      </c>
      <c r="K520" s="93">
        <v>4</v>
      </c>
    </row>
    <row r="521" spans="1:11" ht="21" x14ac:dyDescent="0.25">
      <c r="A521" s="88" t="s">
        <v>623</v>
      </c>
      <c r="B521" s="94">
        <v>0.73312499999999992</v>
      </c>
      <c r="C521" s="95">
        <v>0.67</v>
      </c>
      <c r="D521" s="90">
        <v>-6.82</v>
      </c>
      <c r="E521" s="90">
        <v>0.71899999999999997</v>
      </c>
      <c r="F521" s="90">
        <v>0.75</v>
      </c>
      <c r="G521" s="90">
        <v>0.8</v>
      </c>
      <c r="H521" s="90">
        <v>0.67</v>
      </c>
      <c r="I521" s="96">
        <v>1144</v>
      </c>
      <c r="J521" s="96">
        <v>82738</v>
      </c>
      <c r="K521" s="90">
        <v>40</v>
      </c>
    </row>
    <row r="522" spans="1:11" ht="21" x14ac:dyDescent="0.25">
      <c r="A522" s="91" t="s">
        <v>624</v>
      </c>
      <c r="B522" s="97">
        <v>0.73312499999999992</v>
      </c>
      <c r="C522" s="98">
        <v>1.5</v>
      </c>
      <c r="D522" s="93">
        <v>0</v>
      </c>
      <c r="E522" s="93">
        <v>1.5</v>
      </c>
      <c r="F522" s="93">
        <v>1.5</v>
      </c>
      <c r="G522" s="93">
        <v>1.5</v>
      </c>
      <c r="H522" s="93">
        <v>1.5</v>
      </c>
      <c r="I522" s="93">
        <v>179</v>
      </c>
      <c r="J522" s="99">
        <v>26850</v>
      </c>
      <c r="K522" s="93">
        <v>3</v>
      </c>
    </row>
    <row r="523" spans="1:11" ht="21" x14ac:dyDescent="0.25">
      <c r="A523" s="88" t="s">
        <v>625</v>
      </c>
      <c r="B523" s="94">
        <v>0.73312499999999992</v>
      </c>
      <c r="C523" s="95">
        <v>0.42499999999999999</v>
      </c>
      <c r="D523" s="90">
        <v>-4.0599999999999996</v>
      </c>
      <c r="E523" s="90">
        <v>0.443</v>
      </c>
      <c r="F523" s="90">
        <v>0.4</v>
      </c>
      <c r="G523" s="90">
        <v>0.5</v>
      </c>
      <c r="H523" s="90">
        <v>0.36499999999999999</v>
      </c>
      <c r="I523" s="96">
        <v>2223</v>
      </c>
      <c r="J523" s="96">
        <v>91119</v>
      </c>
      <c r="K523" s="90">
        <v>38</v>
      </c>
    </row>
    <row r="524" spans="1:11" ht="21" x14ac:dyDescent="0.25">
      <c r="A524" s="91" t="s">
        <v>626</v>
      </c>
      <c r="B524" s="97">
        <v>0.73315972222222225</v>
      </c>
      <c r="C524" s="98">
        <v>0.13</v>
      </c>
      <c r="D524" s="93">
        <v>-13.33</v>
      </c>
      <c r="E524" s="93">
        <v>0.15</v>
      </c>
      <c r="F524" s="93">
        <v>0.12</v>
      </c>
      <c r="G524" s="93">
        <v>0.13</v>
      </c>
      <c r="H524" s="93">
        <v>0.12</v>
      </c>
      <c r="I524" s="93">
        <v>7</v>
      </c>
      <c r="J524" s="93">
        <v>86</v>
      </c>
      <c r="K524" s="93">
        <v>2</v>
      </c>
    </row>
    <row r="525" spans="1:11" ht="21" x14ac:dyDescent="0.25">
      <c r="A525" s="88" t="s">
        <v>627</v>
      </c>
      <c r="B525" s="94">
        <v>0.73311342592592599</v>
      </c>
      <c r="C525" s="95">
        <v>3.4</v>
      </c>
      <c r="D525" s="90">
        <v>0</v>
      </c>
      <c r="E525" s="90">
        <v>0</v>
      </c>
      <c r="F525" s="90">
        <v>3.4</v>
      </c>
      <c r="G525" s="90">
        <v>3.4</v>
      </c>
      <c r="H525" s="90">
        <v>3.4</v>
      </c>
      <c r="I525" s="90">
        <v>20</v>
      </c>
      <c r="J525" s="96">
        <v>6800</v>
      </c>
      <c r="K525" s="90">
        <v>1</v>
      </c>
    </row>
    <row r="526" spans="1:11" ht="21" x14ac:dyDescent="0.25">
      <c r="A526" s="91" t="s">
        <v>628</v>
      </c>
      <c r="B526" s="97">
        <v>0.60537037037037034</v>
      </c>
      <c r="C526" s="98">
        <v>6.5</v>
      </c>
      <c r="D526" s="93">
        <v>760.93</v>
      </c>
      <c r="E526" s="93">
        <v>0.755</v>
      </c>
      <c r="F526" s="93">
        <v>6.5</v>
      </c>
      <c r="G526" s="93">
        <v>6.5</v>
      </c>
      <c r="H526" s="93">
        <v>6.5</v>
      </c>
      <c r="I526" s="93">
        <v>7</v>
      </c>
      <c r="J526" s="99">
        <v>4550</v>
      </c>
      <c r="K526" s="93">
        <v>1</v>
      </c>
    </row>
    <row r="527" spans="1:11" ht="21" x14ac:dyDescent="0.25">
      <c r="A527" s="88" t="s">
        <v>629</v>
      </c>
      <c r="B527" s="94">
        <v>0.73312499999999992</v>
      </c>
      <c r="C527" s="95">
        <v>3</v>
      </c>
      <c r="D527" s="90">
        <v>0</v>
      </c>
      <c r="E527" s="90">
        <v>3</v>
      </c>
      <c r="F527" s="90">
        <v>3</v>
      </c>
      <c r="G527" s="90">
        <v>3</v>
      </c>
      <c r="H527" s="90">
        <v>3</v>
      </c>
      <c r="I527" s="90">
        <v>2</v>
      </c>
      <c r="J527" s="90">
        <v>600</v>
      </c>
      <c r="K527" s="90">
        <v>2</v>
      </c>
    </row>
    <row r="528" spans="1:11" ht="21" x14ac:dyDescent="0.25">
      <c r="A528" s="91" t="s">
        <v>630</v>
      </c>
      <c r="B528" s="97">
        <v>0.73310185185185184</v>
      </c>
      <c r="C528" s="98">
        <v>34.47</v>
      </c>
      <c r="D528" s="93">
        <v>19.13</v>
      </c>
      <c r="E528" s="93">
        <v>28.934999999999999</v>
      </c>
      <c r="F528" s="93">
        <v>30</v>
      </c>
      <c r="G528" s="93">
        <v>34.47</v>
      </c>
      <c r="H528" s="93">
        <v>30</v>
      </c>
      <c r="I528" s="93">
        <v>4</v>
      </c>
      <c r="J528" s="99">
        <v>12894</v>
      </c>
      <c r="K528" s="93">
        <v>2</v>
      </c>
    </row>
    <row r="529" spans="1:11" ht="21" x14ac:dyDescent="0.25">
      <c r="A529" s="88" t="s">
        <v>631</v>
      </c>
      <c r="B529" s="94">
        <v>0.73312499999999992</v>
      </c>
      <c r="C529" s="95">
        <v>30.5</v>
      </c>
      <c r="D529" s="90">
        <v>3.39</v>
      </c>
      <c r="E529" s="90">
        <v>29.5</v>
      </c>
      <c r="F529" s="90">
        <v>31</v>
      </c>
      <c r="G529" s="90">
        <v>31</v>
      </c>
      <c r="H529" s="90">
        <v>30.5</v>
      </c>
      <c r="I529" s="90">
        <v>35</v>
      </c>
      <c r="J529" s="96">
        <v>107750</v>
      </c>
      <c r="K529" s="90">
        <v>4</v>
      </c>
    </row>
    <row r="530" spans="1:11" ht="21" x14ac:dyDescent="0.25">
      <c r="A530" s="91" t="s">
        <v>632</v>
      </c>
      <c r="B530" s="97">
        <v>0.73312499999999992</v>
      </c>
      <c r="C530" s="98">
        <v>21</v>
      </c>
      <c r="D530" s="93">
        <v>20</v>
      </c>
      <c r="E530" s="93">
        <v>17.5</v>
      </c>
      <c r="F530" s="93">
        <v>21</v>
      </c>
      <c r="G530" s="93">
        <v>21</v>
      </c>
      <c r="H530" s="93">
        <v>21</v>
      </c>
      <c r="I530" s="93">
        <v>5</v>
      </c>
      <c r="J530" s="99">
        <v>10500</v>
      </c>
      <c r="K530" s="93">
        <v>1</v>
      </c>
    </row>
    <row r="531" spans="1:11" ht="21" x14ac:dyDescent="0.25">
      <c r="A531" s="88" t="s">
        <v>633</v>
      </c>
      <c r="B531" s="94">
        <v>0.73312499999999992</v>
      </c>
      <c r="C531" s="95">
        <v>16</v>
      </c>
      <c r="D531" s="90">
        <v>0</v>
      </c>
      <c r="E531" s="90">
        <v>16</v>
      </c>
      <c r="F531" s="90">
        <v>16</v>
      </c>
      <c r="G531" s="90">
        <v>16</v>
      </c>
      <c r="H531" s="90">
        <v>16</v>
      </c>
      <c r="I531" s="90">
        <v>4</v>
      </c>
      <c r="J531" s="96">
        <v>6400</v>
      </c>
      <c r="K531" s="90">
        <v>1</v>
      </c>
    </row>
    <row r="532" spans="1:11" ht="21" x14ac:dyDescent="0.25">
      <c r="A532" s="91" t="s">
        <v>634</v>
      </c>
      <c r="B532" s="97">
        <v>0.73312499999999992</v>
      </c>
      <c r="C532" s="98">
        <v>13.15</v>
      </c>
      <c r="D532" s="93">
        <v>9.58</v>
      </c>
      <c r="E532" s="93">
        <v>12</v>
      </c>
      <c r="F532" s="93">
        <v>13</v>
      </c>
      <c r="G532" s="93">
        <v>13.5</v>
      </c>
      <c r="H532" s="93">
        <v>13</v>
      </c>
      <c r="I532" s="93">
        <v>30</v>
      </c>
      <c r="J532" s="99">
        <v>39235</v>
      </c>
      <c r="K532" s="93">
        <v>5</v>
      </c>
    </row>
    <row r="533" spans="1:11" ht="21" x14ac:dyDescent="0.25">
      <c r="A533" s="88" t="s">
        <v>635</v>
      </c>
      <c r="B533" s="94">
        <v>0.73310185185185184</v>
      </c>
      <c r="C533" s="95">
        <v>20.5</v>
      </c>
      <c r="D533" s="90">
        <v>2.5</v>
      </c>
      <c r="E533" s="90">
        <v>20</v>
      </c>
      <c r="F533" s="90">
        <v>20</v>
      </c>
      <c r="G533" s="90">
        <v>20.5</v>
      </c>
      <c r="H533" s="90">
        <v>20</v>
      </c>
      <c r="I533" s="90">
        <v>14</v>
      </c>
      <c r="J533" s="96">
        <v>28150</v>
      </c>
      <c r="K533" s="90">
        <v>3</v>
      </c>
    </row>
    <row r="534" spans="1:11" ht="21" x14ac:dyDescent="0.25">
      <c r="A534" s="91" t="s">
        <v>636</v>
      </c>
      <c r="B534" s="97">
        <v>0.73311342592592599</v>
      </c>
      <c r="C534" s="98">
        <v>15</v>
      </c>
      <c r="D534" s="93">
        <v>7.14</v>
      </c>
      <c r="E534" s="93">
        <v>14</v>
      </c>
      <c r="F534" s="93">
        <v>15</v>
      </c>
      <c r="G534" s="93">
        <v>15</v>
      </c>
      <c r="H534" s="93">
        <v>15</v>
      </c>
      <c r="I534" s="93">
        <v>10</v>
      </c>
      <c r="J534" s="99">
        <v>15000</v>
      </c>
      <c r="K534" s="93">
        <v>2</v>
      </c>
    </row>
    <row r="535" spans="1:11" ht="21" x14ac:dyDescent="0.25">
      <c r="A535" s="88" t="s">
        <v>637</v>
      </c>
      <c r="B535" s="94">
        <v>0.73310185185185184</v>
      </c>
      <c r="C535" s="95">
        <v>12</v>
      </c>
      <c r="D535" s="90">
        <v>20</v>
      </c>
      <c r="E535" s="90">
        <v>10</v>
      </c>
      <c r="F535" s="90">
        <v>10.6</v>
      </c>
      <c r="G535" s="90">
        <v>12</v>
      </c>
      <c r="H535" s="90">
        <v>10.6</v>
      </c>
      <c r="I535" s="90">
        <v>107</v>
      </c>
      <c r="J535" s="96">
        <v>122700</v>
      </c>
      <c r="K535" s="90">
        <v>8</v>
      </c>
    </row>
    <row r="536" spans="1:11" ht="21" x14ac:dyDescent="0.25">
      <c r="A536" s="91" t="s">
        <v>638</v>
      </c>
      <c r="B536" s="97">
        <v>0.73317129629629629</v>
      </c>
      <c r="C536" s="98">
        <v>4</v>
      </c>
      <c r="D536" s="93">
        <v>0</v>
      </c>
      <c r="E536" s="93">
        <v>0</v>
      </c>
      <c r="F536" s="93">
        <v>3.85</v>
      </c>
      <c r="G536" s="93">
        <v>4</v>
      </c>
      <c r="H536" s="93">
        <v>3.85</v>
      </c>
      <c r="I536" s="93">
        <v>39</v>
      </c>
      <c r="J536" s="99">
        <v>15330</v>
      </c>
      <c r="K536" s="93">
        <v>5</v>
      </c>
    </row>
    <row r="537" spans="1:11" ht="21" x14ac:dyDescent="0.25">
      <c r="A537" s="88" t="s">
        <v>639</v>
      </c>
      <c r="B537" s="94">
        <v>0.73310185185185184</v>
      </c>
      <c r="C537" s="95">
        <v>11.5</v>
      </c>
      <c r="D537" s="90">
        <v>3.14</v>
      </c>
      <c r="E537" s="90">
        <v>11.15</v>
      </c>
      <c r="F537" s="90">
        <v>11.5</v>
      </c>
      <c r="G537" s="90">
        <v>11.5</v>
      </c>
      <c r="H537" s="90">
        <v>11.5</v>
      </c>
      <c r="I537" s="90">
        <v>11</v>
      </c>
      <c r="J537" s="96">
        <v>12650</v>
      </c>
      <c r="K537" s="90">
        <v>3</v>
      </c>
    </row>
    <row r="538" spans="1:11" ht="21" x14ac:dyDescent="0.25">
      <c r="A538" s="91" t="s">
        <v>640</v>
      </c>
      <c r="B538" s="97">
        <v>0.73312499999999992</v>
      </c>
      <c r="C538" s="98">
        <v>8</v>
      </c>
      <c r="D538" s="93">
        <v>0</v>
      </c>
      <c r="E538" s="93">
        <v>8</v>
      </c>
      <c r="F538" s="93">
        <v>8</v>
      </c>
      <c r="G538" s="93">
        <v>8</v>
      </c>
      <c r="H538" s="93">
        <v>8</v>
      </c>
      <c r="I538" s="93">
        <v>3</v>
      </c>
      <c r="J538" s="99">
        <v>2400</v>
      </c>
      <c r="K538" s="93">
        <v>1</v>
      </c>
    </row>
    <row r="539" spans="1:11" ht="21" x14ac:dyDescent="0.25">
      <c r="A539" s="88" t="s">
        <v>641</v>
      </c>
      <c r="B539" s="94">
        <v>0.73315972222222225</v>
      </c>
      <c r="C539" s="95">
        <v>5</v>
      </c>
      <c r="D539" s="90">
        <v>25.41</v>
      </c>
      <c r="E539" s="90">
        <v>3.9870000000000001</v>
      </c>
      <c r="F539" s="90">
        <v>5</v>
      </c>
      <c r="G539" s="90">
        <v>5</v>
      </c>
      <c r="H539" s="90">
        <v>5</v>
      </c>
      <c r="I539" s="90">
        <v>20</v>
      </c>
      <c r="J539" s="96">
        <v>10000</v>
      </c>
      <c r="K539" s="90">
        <v>2</v>
      </c>
    </row>
    <row r="540" spans="1:11" ht="21" x14ac:dyDescent="0.25">
      <c r="A540" s="91" t="s">
        <v>642</v>
      </c>
      <c r="B540" s="97">
        <v>0.73315972222222225</v>
      </c>
      <c r="C540" s="98">
        <v>2.4</v>
      </c>
      <c r="D540" s="93">
        <v>0</v>
      </c>
      <c r="E540" s="93">
        <v>2.4</v>
      </c>
      <c r="F540" s="93">
        <v>2.4</v>
      </c>
      <c r="G540" s="93">
        <v>2.4</v>
      </c>
      <c r="H540" s="93">
        <v>2.4</v>
      </c>
      <c r="I540" s="93">
        <v>5</v>
      </c>
      <c r="J540" s="99">
        <v>1200</v>
      </c>
      <c r="K540" s="93">
        <v>1</v>
      </c>
    </row>
    <row r="541" spans="1:11" x14ac:dyDescent="0.25">
      <c r="A541" s="88" t="s">
        <v>643</v>
      </c>
      <c r="B541" s="94">
        <v>0.73310185185185184</v>
      </c>
      <c r="C541" s="95">
        <v>20</v>
      </c>
      <c r="D541" s="90">
        <v>0</v>
      </c>
      <c r="E541" s="90">
        <v>20</v>
      </c>
      <c r="F541" s="90">
        <v>20</v>
      </c>
      <c r="G541" s="90">
        <v>20</v>
      </c>
      <c r="H541" s="90">
        <v>19</v>
      </c>
      <c r="I541" s="90">
        <v>20</v>
      </c>
      <c r="J541" s="96">
        <v>39300</v>
      </c>
      <c r="K541" s="90">
        <v>8</v>
      </c>
    </row>
    <row r="542" spans="1:11" x14ac:dyDescent="0.25">
      <c r="A542" s="91" t="s">
        <v>644</v>
      </c>
      <c r="B542" s="97">
        <v>0.73310185185185184</v>
      </c>
      <c r="C542" s="98">
        <v>6.5</v>
      </c>
      <c r="D542" s="93">
        <v>-4.41</v>
      </c>
      <c r="E542" s="93">
        <v>6.8</v>
      </c>
      <c r="F542" s="93">
        <v>6.8</v>
      </c>
      <c r="G542" s="93">
        <v>7</v>
      </c>
      <c r="H542" s="93">
        <v>6.25</v>
      </c>
      <c r="I542" s="93">
        <v>35</v>
      </c>
      <c r="J542" s="99">
        <v>23165</v>
      </c>
      <c r="K542" s="93">
        <v>10</v>
      </c>
    </row>
    <row r="543" spans="1:11" x14ac:dyDescent="0.25">
      <c r="A543" s="88" t="s">
        <v>645</v>
      </c>
      <c r="B543" s="94">
        <v>0.73310185185185184</v>
      </c>
      <c r="C543" s="95">
        <v>5</v>
      </c>
      <c r="D543" s="90">
        <v>16.28</v>
      </c>
      <c r="E543" s="90">
        <v>4.3</v>
      </c>
      <c r="F543" s="90">
        <v>4</v>
      </c>
      <c r="G543" s="90">
        <v>5</v>
      </c>
      <c r="H543" s="90">
        <v>4</v>
      </c>
      <c r="I543" s="90">
        <v>84</v>
      </c>
      <c r="J543" s="96">
        <v>39600</v>
      </c>
      <c r="K543" s="90">
        <v>10</v>
      </c>
    </row>
    <row r="544" spans="1:11" x14ac:dyDescent="0.25">
      <c r="A544" s="91" t="s">
        <v>646</v>
      </c>
      <c r="B544" s="97">
        <v>0.73310185185185184</v>
      </c>
      <c r="C544" s="98">
        <v>1.6</v>
      </c>
      <c r="D544" s="93">
        <v>-11.11</v>
      </c>
      <c r="E544" s="93">
        <v>1.8</v>
      </c>
      <c r="F544" s="93">
        <v>1.6</v>
      </c>
      <c r="G544" s="93">
        <v>1.6</v>
      </c>
      <c r="H544" s="93">
        <v>1.6</v>
      </c>
      <c r="I544" s="93">
        <v>23</v>
      </c>
      <c r="J544" s="99">
        <v>3680</v>
      </c>
      <c r="K544" s="93">
        <v>2</v>
      </c>
    </row>
    <row r="545" spans="1:11" ht="21" x14ac:dyDescent="0.25">
      <c r="A545" s="88" t="s">
        <v>647</v>
      </c>
      <c r="B545" s="94">
        <v>0.7330902777777778</v>
      </c>
      <c r="C545" s="95">
        <v>30</v>
      </c>
      <c r="D545" s="90">
        <v>10.09</v>
      </c>
      <c r="E545" s="90">
        <v>27.25</v>
      </c>
      <c r="F545" s="90">
        <v>33</v>
      </c>
      <c r="G545" s="90">
        <v>33</v>
      </c>
      <c r="H545" s="90">
        <v>29</v>
      </c>
      <c r="I545" s="90">
        <v>21</v>
      </c>
      <c r="J545" s="96">
        <v>63900</v>
      </c>
      <c r="K545" s="90">
        <v>12</v>
      </c>
    </row>
    <row r="546" spans="1:11" ht="21" x14ac:dyDescent="0.25">
      <c r="A546" s="91" t="s">
        <v>648</v>
      </c>
      <c r="B546" s="97">
        <v>0.73312499999999992</v>
      </c>
      <c r="C546" s="98">
        <v>13.5</v>
      </c>
      <c r="D546" s="93">
        <v>9.4600000000000009</v>
      </c>
      <c r="E546" s="93">
        <v>12.333</v>
      </c>
      <c r="F546" s="93">
        <v>14.2</v>
      </c>
      <c r="G546" s="93">
        <v>14.5</v>
      </c>
      <c r="H546" s="93">
        <v>12</v>
      </c>
      <c r="I546" s="93">
        <v>132</v>
      </c>
      <c r="J546" s="99">
        <v>179320</v>
      </c>
      <c r="K546" s="93">
        <v>35</v>
      </c>
    </row>
    <row r="547" spans="1:11" ht="21" x14ac:dyDescent="0.25">
      <c r="A547" s="88" t="s">
        <v>649</v>
      </c>
      <c r="B547" s="94">
        <v>0.73311342592592599</v>
      </c>
      <c r="C547" s="95">
        <v>19</v>
      </c>
      <c r="D547" s="90">
        <v>2.0099999999999998</v>
      </c>
      <c r="E547" s="90">
        <v>18.625</v>
      </c>
      <c r="F547" s="90">
        <v>20</v>
      </c>
      <c r="G547" s="90">
        <v>20</v>
      </c>
      <c r="H547" s="90">
        <v>19</v>
      </c>
      <c r="I547" s="90">
        <v>9</v>
      </c>
      <c r="J547" s="96">
        <v>17900</v>
      </c>
      <c r="K547" s="90">
        <v>5</v>
      </c>
    </row>
    <row r="548" spans="1:11" ht="21" x14ac:dyDescent="0.25">
      <c r="A548" s="91" t="s">
        <v>650</v>
      </c>
      <c r="B548" s="97">
        <v>0.7330902777777778</v>
      </c>
      <c r="C548" s="98">
        <v>5</v>
      </c>
      <c r="D548" s="93">
        <v>8.6999999999999993</v>
      </c>
      <c r="E548" s="93">
        <v>4.5999999999999996</v>
      </c>
      <c r="F548" s="93">
        <v>5.5</v>
      </c>
      <c r="G548" s="93">
        <v>5.5</v>
      </c>
      <c r="H548" s="93">
        <v>4.2</v>
      </c>
      <c r="I548" s="93">
        <v>152</v>
      </c>
      <c r="J548" s="99">
        <v>73347</v>
      </c>
      <c r="K548" s="93">
        <v>18</v>
      </c>
    </row>
    <row r="549" spans="1:11" ht="21" x14ac:dyDescent="0.25">
      <c r="A549" s="88" t="s">
        <v>651</v>
      </c>
      <c r="B549" s="94">
        <v>0.73311342592592599</v>
      </c>
      <c r="C549" s="95">
        <v>0.4</v>
      </c>
      <c r="D549" s="90">
        <v>0</v>
      </c>
      <c r="E549" s="90">
        <v>0.4</v>
      </c>
      <c r="F549" s="90">
        <v>0.4</v>
      </c>
      <c r="G549" s="90">
        <v>0.4</v>
      </c>
      <c r="H549" s="90">
        <v>0.4</v>
      </c>
      <c r="I549" s="90">
        <v>10</v>
      </c>
      <c r="J549" s="90">
        <v>400</v>
      </c>
      <c r="K549" s="90">
        <v>1</v>
      </c>
    </row>
    <row r="550" spans="1:11" ht="21" x14ac:dyDescent="0.25">
      <c r="A550" s="91" t="s">
        <v>652</v>
      </c>
      <c r="B550" s="97">
        <v>0.73312499999999992</v>
      </c>
      <c r="C550" s="98">
        <v>19.899999999999999</v>
      </c>
      <c r="D550" s="93">
        <v>0</v>
      </c>
      <c r="E550" s="93">
        <v>0</v>
      </c>
      <c r="F550" s="93">
        <v>19.899999999999999</v>
      </c>
      <c r="G550" s="93">
        <v>19.899999999999999</v>
      </c>
      <c r="H550" s="93">
        <v>19.899999999999999</v>
      </c>
      <c r="I550" s="93">
        <v>1</v>
      </c>
      <c r="J550" s="99">
        <v>1990</v>
      </c>
      <c r="K550" s="93">
        <v>1</v>
      </c>
    </row>
    <row r="551" spans="1:11" ht="21" x14ac:dyDescent="0.25">
      <c r="A551" s="88" t="s">
        <v>653</v>
      </c>
      <c r="B551" s="94">
        <v>0.73312499999999992</v>
      </c>
      <c r="C551" s="95">
        <v>3.5</v>
      </c>
      <c r="D551" s="90">
        <v>-2.81</v>
      </c>
      <c r="E551" s="90">
        <v>3.601</v>
      </c>
      <c r="F551" s="90">
        <v>4</v>
      </c>
      <c r="G551" s="90">
        <v>4</v>
      </c>
      <c r="H551" s="90">
        <v>3.5</v>
      </c>
      <c r="I551" s="90">
        <v>13</v>
      </c>
      <c r="J551" s="96">
        <v>4750</v>
      </c>
      <c r="K551" s="90">
        <v>8</v>
      </c>
    </row>
    <row r="552" spans="1:11" x14ac:dyDescent="0.25">
      <c r="A552"/>
      <c r="B552"/>
      <c r="C552"/>
      <c r="D552"/>
      <c r="E552"/>
      <c r="F552"/>
      <c r="G552"/>
      <c r="H552"/>
      <c r="I552"/>
      <c r="J552"/>
      <c r="K552"/>
    </row>
    <row r="553" spans="1:11" x14ac:dyDescent="0.25">
      <c r="A553" s="85" t="s">
        <v>654</v>
      </c>
      <c r="B553"/>
      <c r="C553"/>
      <c r="D553"/>
      <c r="E553"/>
      <c r="F553"/>
      <c r="G553"/>
      <c r="H553"/>
      <c r="I553"/>
      <c r="J553"/>
      <c r="K553"/>
    </row>
    <row r="554" spans="1:11" x14ac:dyDescent="0.25">
      <c r="A554" s="84"/>
      <c r="B554"/>
      <c r="C554"/>
      <c r="D554"/>
      <c r="E554"/>
      <c r="F554"/>
      <c r="G554"/>
      <c r="H554"/>
      <c r="I554"/>
      <c r="J554"/>
      <c r="K554"/>
    </row>
    <row r="555" spans="1:11" x14ac:dyDescent="0.25">
      <c r="A555"/>
      <c r="B555"/>
      <c r="C555"/>
      <c r="D555"/>
      <c r="E555"/>
      <c r="F555"/>
      <c r="G555"/>
      <c r="H555"/>
      <c r="I555"/>
      <c r="J555"/>
      <c r="K555"/>
    </row>
    <row r="556" spans="1:11" ht="21" x14ac:dyDescent="0.25">
      <c r="A556" s="87" t="s">
        <v>145</v>
      </c>
      <c r="B556" s="87" t="s">
        <v>146</v>
      </c>
      <c r="C556" s="87" t="s">
        <v>133</v>
      </c>
      <c r="D556" s="87" t="s">
        <v>134</v>
      </c>
      <c r="E556" s="87" t="s">
        <v>135</v>
      </c>
      <c r="F556" s="87" t="s">
        <v>136</v>
      </c>
      <c r="G556" s="87" t="s">
        <v>137</v>
      </c>
      <c r="H556" s="87" t="s">
        <v>138</v>
      </c>
      <c r="I556" s="87" t="s">
        <v>147</v>
      </c>
      <c r="J556" s="87" t="s">
        <v>148</v>
      </c>
      <c r="K556" s="87" t="s">
        <v>149</v>
      </c>
    </row>
    <row r="557" spans="1:11" x14ac:dyDescent="0.25">
      <c r="A557"/>
      <c r="B557"/>
      <c r="C557"/>
      <c r="D557"/>
      <c r="E557"/>
      <c r="F557"/>
      <c r="G557"/>
      <c r="H557"/>
      <c r="I557"/>
      <c r="J557"/>
      <c r="K557"/>
    </row>
    <row r="558" spans="1:11" x14ac:dyDescent="0.25">
      <c r="A558" s="85" t="s">
        <v>655</v>
      </c>
      <c r="B558"/>
      <c r="C558"/>
      <c r="D558"/>
      <c r="E558"/>
      <c r="F558"/>
      <c r="G558"/>
      <c r="H558"/>
      <c r="I558"/>
      <c r="J558"/>
      <c r="K558"/>
    </row>
    <row r="559" spans="1:11" x14ac:dyDescent="0.25">
      <c r="A559" s="84"/>
      <c r="B559"/>
      <c r="C559"/>
      <c r="D559"/>
      <c r="E559"/>
      <c r="F559"/>
      <c r="G559"/>
      <c r="H559"/>
      <c r="I559"/>
      <c r="J559"/>
      <c r="K559"/>
    </row>
    <row r="560" spans="1:11" x14ac:dyDescent="0.25">
      <c r="A560"/>
      <c r="B560"/>
      <c r="C560"/>
      <c r="D560"/>
      <c r="E560"/>
      <c r="F560"/>
      <c r="G560"/>
      <c r="H560"/>
      <c r="I560"/>
      <c r="J560"/>
      <c r="K560"/>
    </row>
    <row r="561" spans="1:11" ht="21" x14ac:dyDescent="0.25">
      <c r="A561" s="87" t="s">
        <v>145</v>
      </c>
      <c r="B561" s="87" t="s">
        <v>146</v>
      </c>
      <c r="C561" s="87" t="s">
        <v>133</v>
      </c>
      <c r="D561" s="87" t="s">
        <v>134</v>
      </c>
      <c r="E561" s="87" t="s">
        <v>135</v>
      </c>
      <c r="F561" s="87" t="s">
        <v>136</v>
      </c>
      <c r="G561" s="87" t="s">
        <v>137</v>
      </c>
      <c r="H561" s="87" t="s">
        <v>138</v>
      </c>
      <c r="I561" s="87" t="s">
        <v>147</v>
      </c>
      <c r="J561" s="87" t="s">
        <v>148</v>
      </c>
      <c r="K561" s="87" t="s">
        <v>149</v>
      </c>
    </row>
    <row r="562" spans="1:11" ht="21" x14ac:dyDescent="0.25">
      <c r="A562" s="88" t="s">
        <v>656</v>
      </c>
      <c r="B562" s="94">
        <v>0.70989583333333339</v>
      </c>
      <c r="C562" s="95">
        <v>101.66</v>
      </c>
      <c r="D562" s="90">
        <v>0</v>
      </c>
      <c r="E562" s="90">
        <v>0</v>
      </c>
      <c r="F562" s="90">
        <v>101.66</v>
      </c>
      <c r="G562" s="90">
        <v>101.66</v>
      </c>
      <c r="H562" s="90">
        <v>101.66</v>
      </c>
      <c r="I562" s="96">
        <v>400000</v>
      </c>
      <c r="J562" s="96">
        <v>406640</v>
      </c>
      <c r="K562" s="90">
        <v>1</v>
      </c>
    </row>
    <row r="563" spans="1:11" ht="21" x14ac:dyDescent="0.25">
      <c r="A563" s="91" t="s">
        <v>657</v>
      </c>
      <c r="B563" s="97">
        <v>0.71020833333333344</v>
      </c>
      <c r="C563" s="98">
        <v>101.35</v>
      </c>
      <c r="D563" s="93">
        <v>0.45</v>
      </c>
      <c r="E563" s="93">
        <v>100.9</v>
      </c>
      <c r="F563" s="93">
        <v>101.35</v>
      </c>
      <c r="G563" s="93">
        <v>101.35</v>
      </c>
      <c r="H563" s="93">
        <v>101.35</v>
      </c>
      <c r="I563" s="99">
        <v>500000</v>
      </c>
      <c r="J563" s="99">
        <v>506750</v>
      </c>
      <c r="K563" s="93">
        <v>1</v>
      </c>
    </row>
    <row r="564" spans="1:11" x14ac:dyDescent="0.25">
      <c r="A564"/>
      <c r="B564"/>
      <c r="C564"/>
      <c r="D564"/>
      <c r="E564"/>
      <c r="F564"/>
      <c r="G564"/>
      <c r="H564"/>
      <c r="I564"/>
      <c r="J564"/>
      <c r="K564"/>
    </row>
    <row r="565" spans="1:11" x14ac:dyDescent="0.25">
      <c r="A565" s="85" t="s">
        <v>658</v>
      </c>
      <c r="B565"/>
      <c r="C565"/>
      <c r="D565"/>
      <c r="E565"/>
      <c r="F565"/>
      <c r="G565"/>
      <c r="H565"/>
      <c r="I565"/>
      <c r="J565"/>
      <c r="K565"/>
    </row>
    <row r="566" spans="1:11" x14ac:dyDescent="0.25">
      <c r="A566" s="84"/>
      <c r="B566"/>
      <c r="C566"/>
      <c r="D566"/>
      <c r="E566"/>
      <c r="F566"/>
      <c r="G566"/>
      <c r="H566"/>
      <c r="I566"/>
      <c r="J566"/>
      <c r="K566"/>
    </row>
    <row r="567" spans="1:11" x14ac:dyDescent="0.25">
      <c r="A567"/>
      <c r="B567"/>
      <c r="C567"/>
      <c r="D567"/>
      <c r="E567"/>
      <c r="F567"/>
      <c r="G567"/>
      <c r="H567"/>
      <c r="I567"/>
      <c r="J567"/>
      <c r="K567"/>
    </row>
    <row r="568" spans="1:11" ht="21" x14ac:dyDescent="0.25">
      <c r="A568" s="87" t="s">
        <v>145</v>
      </c>
      <c r="B568" s="87" t="s">
        <v>146</v>
      </c>
      <c r="C568" s="87" t="s">
        <v>133</v>
      </c>
      <c r="D568" s="87" t="s">
        <v>134</v>
      </c>
      <c r="E568" s="87" t="s">
        <v>135</v>
      </c>
      <c r="F568" s="87" t="s">
        <v>136</v>
      </c>
      <c r="G568" s="87" t="s">
        <v>137</v>
      </c>
      <c r="H568" s="87" t="s">
        <v>138</v>
      </c>
      <c r="I568" s="87" t="s">
        <v>147</v>
      </c>
      <c r="J568" s="87" t="s">
        <v>148</v>
      </c>
      <c r="K568" s="87" t="s">
        <v>149</v>
      </c>
    </row>
    <row r="569" spans="1:11" ht="21" x14ac:dyDescent="0.25">
      <c r="A569" s="88" t="s">
        <v>659</v>
      </c>
      <c r="B569" s="94">
        <v>0.66686342592592596</v>
      </c>
      <c r="C569" s="95">
        <v>101.9</v>
      </c>
      <c r="D569" s="90">
        <v>0.63</v>
      </c>
      <c r="E569" s="90">
        <v>101.259</v>
      </c>
      <c r="F569" s="90">
        <v>101.9</v>
      </c>
      <c r="G569" s="90">
        <v>101.9</v>
      </c>
      <c r="H569" s="90">
        <v>101.9</v>
      </c>
      <c r="I569" s="96">
        <v>5044</v>
      </c>
      <c r="J569" s="96">
        <v>5140</v>
      </c>
      <c r="K569" s="90">
        <v>2</v>
      </c>
    </row>
    <row r="570" spans="1:11" ht="21" x14ac:dyDescent="0.25">
      <c r="A570" s="91" t="s">
        <v>660</v>
      </c>
      <c r="B570" s="97">
        <v>0.66711805555555559</v>
      </c>
      <c r="C570" s="100">
        <v>1766</v>
      </c>
      <c r="D570" s="93">
        <v>1.69</v>
      </c>
      <c r="E570" s="92">
        <v>1736.7</v>
      </c>
      <c r="F570" s="92">
        <v>1766</v>
      </c>
      <c r="G570" s="92">
        <v>1766</v>
      </c>
      <c r="H570" s="92">
        <v>1766</v>
      </c>
      <c r="I570" s="99">
        <v>2637</v>
      </c>
      <c r="J570" s="99">
        <v>46569</v>
      </c>
      <c r="K570" s="93">
        <v>2</v>
      </c>
    </row>
    <row r="571" spans="1:11" ht="21" x14ac:dyDescent="0.25">
      <c r="A571" s="88" t="s">
        <v>661</v>
      </c>
      <c r="B571" s="94">
        <v>0.71013888888888888</v>
      </c>
      <c r="C571" s="95">
        <v>106</v>
      </c>
      <c r="D571" s="90">
        <v>4.5599999999999996</v>
      </c>
      <c r="E571" s="90">
        <v>101.375</v>
      </c>
      <c r="F571" s="90">
        <v>106</v>
      </c>
      <c r="G571" s="90">
        <v>106</v>
      </c>
      <c r="H571" s="90">
        <v>106</v>
      </c>
      <c r="I571" s="96">
        <v>14000</v>
      </c>
      <c r="J571" s="96">
        <v>14840</v>
      </c>
      <c r="K571" s="90">
        <v>1</v>
      </c>
    </row>
    <row r="572" spans="1:11" ht="21" x14ac:dyDescent="0.25">
      <c r="A572" s="91" t="s">
        <v>662</v>
      </c>
      <c r="B572" s="97">
        <v>0.66712962962962974</v>
      </c>
      <c r="C572" s="100">
        <v>1862</v>
      </c>
      <c r="D572" s="93">
        <v>10.18</v>
      </c>
      <c r="E572" s="92">
        <v>1690</v>
      </c>
      <c r="F572" s="92">
        <v>1862</v>
      </c>
      <c r="G572" s="92">
        <v>1862</v>
      </c>
      <c r="H572" s="92">
        <v>1862</v>
      </c>
      <c r="I572" s="99">
        <v>15000</v>
      </c>
      <c r="J572" s="99">
        <v>279300</v>
      </c>
      <c r="K572" s="93">
        <v>1</v>
      </c>
    </row>
    <row r="573" spans="1:11" x14ac:dyDescent="0.25">
      <c r="A573"/>
      <c r="B573"/>
      <c r="C573"/>
      <c r="D573"/>
      <c r="E573"/>
      <c r="F573"/>
      <c r="G573"/>
      <c r="H573"/>
      <c r="I573"/>
      <c r="J573"/>
      <c r="K573"/>
    </row>
    <row r="574" spans="1:11" x14ac:dyDescent="0.25">
      <c r="A574" s="85" t="s">
        <v>663</v>
      </c>
      <c r="B574"/>
      <c r="C574"/>
      <c r="D574"/>
      <c r="E574"/>
      <c r="F574"/>
      <c r="G574"/>
      <c r="H574"/>
      <c r="I574"/>
      <c r="J574"/>
      <c r="K574"/>
    </row>
    <row r="575" spans="1:11" x14ac:dyDescent="0.25">
      <c r="A575" s="84"/>
      <c r="B575"/>
      <c r="C575"/>
      <c r="D575"/>
      <c r="E575"/>
      <c r="F575"/>
      <c r="G575"/>
      <c r="H575"/>
      <c r="I575"/>
      <c r="J575"/>
      <c r="K575"/>
    </row>
    <row r="576" spans="1:11" x14ac:dyDescent="0.25">
      <c r="A576"/>
      <c r="B576"/>
      <c r="C576"/>
      <c r="D576"/>
      <c r="E576"/>
      <c r="F576"/>
      <c r="G576"/>
      <c r="H576"/>
      <c r="I576"/>
      <c r="J576"/>
      <c r="K576"/>
    </row>
    <row r="577" spans="1:11" x14ac:dyDescent="0.25">
      <c r="A577" s="87" t="s">
        <v>146</v>
      </c>
      <c r="B577" s="87" t="s">
        <v>664</v>
      </c>
      <c r="C577" s="87" t="s">
        <v>665</v>
      </c>
      <c r="D577" s="87" t="s">
        <v>666</v>
      </c>
      <c r="E577"/>
      <c r="F577"/>
      <c r="G577"/>
      <c r="H577"/>
      <c r="I577"/>
      <c r="J577"/>
      <c r="K577"/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3"/>
  <dimension ref="A1:G151"/>
  <sheetViews>
    <sheetView workbookViewId="0">
      <selection activeCell="C1" sqref="C1"/>
    </sheetView>
  </sheetViews>
  <sheetFormatPr baseColWidth="10" defaultRowHeight="15" x14ac:dyDescent="0.25"/>
  <cols>
    <col min="1" max="1" width="19.85546875" customWidth="1"/>
    <col min="2" max="3" width="15.7109375" style="138" customWidth="1"/>
    <col min="4" max="5" width="15.7109375" style="139" customWidth="1"/>
    <col min="6" max="6" width="15.7109375" style="140" customWidth="1"/>
    <col min="7" max="7" width="7.42578125" customWidth="1"/>
    <col min="257" max="262" width="15.7109375" customWidth="1"/>
    <col min="263" max="263" width="4.7109375" customWidth="1"/>
    <col min="513" max="518" width="15.7109375" customWidth="1"/>
    <col min="519" max="519" width="4.7109375" customWidth="1"/>
    <col min="769" max="774" width="15.7109375" customWidth="1"/>
    <col min="775" max="775" width="4.7109375" customWidth="1"/>
    <col min="1025" max="1030" width="15.7109375" customWidth="1"/>
    <col min="1031" max="1031" width="4.7109375" customWidth="1"/>
    <col min="1281" max="1286" width="15.7109375" customWidth="1"/>
    <col min="1287" max="1287" width="4.7109375" customWidth="1"/>
    <col min="1537" max="1542" width="15.7109375" customWidth="1"/>
    <col min="1543" max="1543" width="4.7109375" customWidth="1"/>
    <col min="1793" max="1798" width="15.7109375" customWidth="1"/>
    <col min="1799" max="1799" width="4.7109375" customWidth="1"/>
    <col min="2049" max="2054" width="15.7109375" customWidth="1"/>
    <col min="2055" max="2055" width="4.7109375" customWidth="1"/>
    <col min="2305" max="2310" width="15.7109375" customWidth="1"/>
    <col min="2311" max="2311" width="4.7109375" customWidth="1"/>
    <col min="2561" max="2566" width="15.7109375" customWidth="1"/>
    <col min="2567" max="2567" width="4.7109375" customWidth="1"/>
    <col min="2817" max="2822" width="15.7109375" customWidth="1"/>
    <col min="2823" max="2823" width="4.7109375" customWidth="1"/>
    <col min="3073" max="3078" width="15.7109375" customWidth="1"/>
    <col min="3079" max="3079" width="4.7109375" customWidth="1"/>
    <col min="3329" max="3334" width="15.7109375" customWidth="1"/>
    <col min="3335" max="3335" width="4.7109375" customWidth="1"/>
    <col min="3585" max="3590" width="15.7109375" customWidth="1"/>
    <col min="3591" max="3591" width="4.7109375" customWidth="1"/>
    <col min="3841" max="3846" width="15.7109375" customWidth="1"/>
    <col min="3847" max="3847" width="4.7109375" customWidth="1"/>
    <col min="4097" max="4102" width="15.7109375" customWidth="1"/>
    <col min="4103" max="4103" width="4.7109375" customWidth="1"/>
    <col min="4353" max="4358" width="15.7109375" customWidth="1"/>
    <col min="4359" max="4359" width="4.7109375" customWidth="1"/>
    <col min="4609" max="4614" width="15.7109375" customWidth="1"/>
    <col min="4615" max="4615" width="4.7109375" customWidth="1"/>
    <col min="4865" max="4870" width="15.7109375" customWidth="1"/>
    <col min="4871" max="4871" width="4.7109375" customWidth="1"/>
    <col min="5121" max="5126" width="15.7109375" customWidth="1"/>
    <col min="5127" max="5127" width="4.7109375" customWidth="1"/>
    <col min="5377" max="5382" width="15.7109375" customWidth="1"/>
    <col min="5383" max="5383" width="4.7109375" customWidth="1"/>
    <col min="5633" max="5638" width="15.7109375" customWidth="1"/>
    <col min="5639" max="5639" width="4.7109375" customWidth="1"/>
    <col min="5889" max="5894" width="15.7109375" customWidth="1"/>
    <col min="5895" max="5895" width="4.7109375" customWidth="1"/>
    <col min="6145" max="6150" width="15.7109375" customWidth="1"/>
    <col min="6151" max="6151" width="4.7109375" customWidth="1"/>
    <col min="6401" max="6406" width="15.7109375" customWidth="1"/>
    <col min="6407" max="6407" width="4.7109375" customWidth="1"/>
    <col min="6657" max="6662" width="15.7109375" customWidth="1"/>
    <col min="6663" max="6663" width="4.7109375" customWidth="1"/>
    <col min="6913" max="6918" width="15.7109375" customWidth="1"/>
    <col min="6919" max="6919" width="4.7109375" customWidth="1"/>
    <col min="7169" max="7174" width="15.7109375" customWidth="1"/>
    <col min="7175" max="7175" width="4.7109375" customWidth="1"/>
    <col min="7425" max="7430" width="15.7109375" customWidth="1"/>
    <col min="7431" max="7431" width="4.7109375" customWidth="1"/>
    <col min="7681" max="7686" width="15.7109375" customWidth="1"/>
    <col min="7687" max="7687" width="4.7109375" customWidth="1"/>
    <col min="7937" max="7942" width="15.7109375" customWidth="1"/>
    <col min="7943" max="7943" width="4.7109375" customWidth="1"/>
    <col min="8193" max="8198" width="15.7109375" customWidth="1"/>
    <col min="8199" max="8199" width="4.7109375" customWidth="1"/>
    <col min="8449" max="8454" width="15.7109375" customWidth="1"/>
    <col min="8455" max="8455" width="4.7109375" customWidth="1"/>
    <col min="8705" max="8710" width="15.7109375" customWidth="1"/>
    <col min="8711" max="8711" width="4.7109375" customWidth="1"/>
    <col min="8961" max="8966" width="15.7109375" customWidth="1"/>
    <col min="8967" max="8967" width="4.7109375" customWidth="1"/>
    <col min="9217" max="9222" width="15.7109375" customWidth="1"/>
    <col min="9223" max="9223" width="4.7109375" customWidth="1"/>
    <col min="9473" max="9478" width="15.7109375" customWidth="1"/>
    <col min="9479" max="9479" width="4.7109375" customWidth="1"/>
    <col min="9729" max="9734" width="15.7109375" customWidth="1"/>
    <col min="9735" max="9735" width="4.7109375" customWidth="1"/>
    <col min="9985" max="9990" width="15.7109375" customWidth="1"/>
    <col min="9991" max="9991" width="4.7109375" customWidth="1"/>
    <col min="10241" max="10246" width="15.7109375" customWidth="1"/>
    <col min="10247" max="10247" width="4.7109375" customWidth="1"/>
    <col min="10497" max="10502" width="15.7109375" customWidth="1"/>
    <col min="10503" max="10503" width="4.7109375" customWidth="1"/>
    <col min="10753" max="10758" width="15.7109375" customWidth="1"/>
    <col min="10759" max="10759" width="4.7109375" customWidth="1"/>
    <col min="11009" max="11014" width="15.7109375" customWidth="1"/>
    <col min="11015" max="11015" width="4.7109375" customWidth="1"/>
    <col min="11265" max="11270" width="15.7109375" customWidth="1"/>
    <col min="11271" max="11271" width="4.7109375" customWidth="1"/>
    <col min="11521" max="11526" width="15.7109375" customWidth="1"/>
    <col min="11527" max="11527" width="4.7109375" customWidth="1"/>
    <col min="11777" max="11782" width="15.7109375" customWidth="1"/>
    <col min="11783" max="11783" width="4.7109375" customWidth="1"/>
    <col min="12033" max="12038" width="15.7109375" customWidth="1"/>
    <col min="12039" max="12039" width="4.7109375" customWidth="1"/>
    <col min="12289" max="12294" width="15.7109375" customWidth="1"/>
    <col min="12295" max="12295" width="4.7109375" customWidth="1"/>
    <col min="12545" max="12550" width="15.7109375" customWidth="1"/>
    <col min="12551" max="12551" width="4.7109375" customWidth="1"/>
    <col min="12801" max="12806" width="15.7109375" customWidth="1"/>
    <col min="12807" max="12807" width="4.7109375" customWidth="1"/>
    <col min="13057" max="13062" width="15.7109375" customWidth="1"/>
    <col min="13063" max="13063" width="4.7109375" customWidth="1"/>
    <col min="13313" max="13318" width="15.7109375" customWidth="1"/>
    <col min="13319" max="13319" width="4.7109375" customWidth="1"/>
    <col min="13569" max="13574" width="15.7109375" customWidth="1"/>
    <col min="13575" max="13575" width="4.7109375" customWidth="1"/>
    <col min="13825" max="13830" width="15.7109375" customWidth="1"/>
    <col min="13831" max="13831" width="4.7109375" customWidth="1"/>
    <col min="14081" max="14086" width="15.7109375" customWidth="1"/>
    <col min="14087" max="14087" width="4.7109375" customWidth="1"/>
    <col min="14337" max="14342" width="15.7109375" customWidth="1"/>
    <col min="14343" max="14343" width="4.7109375" customWidth="1"/>
    <col min="14593" max="14598" width="15.7109375" customWidth="1"/>
    <col min="14599" max="14599" width="4.7109375" customWidth="1"/>
    <col min="14849" max="14854" width="15.7109375" customWidth="1"/>
    <col min="14855" max="14855" width="4.7109375" customWidth="1"/>
    <col min="15105" max="15110" width="15.7109375" customWidth="1"/>
    <col min="15111" max="15111" width="4.7109375" customWidth="1"/>
    <col min="15361" max="15366" width="15.7109375" customWidth="1"/>
    <col min="15367" max="15367" width="4.7109375" customWidth="1"/>
    <col min="15617" max="15622" width="15.7109375" customWidth="1"/>
    <col min="15623" max="15623" width="4.7109375" customWidth="1"/>
    <col min="15873" max="15878" width="15.7109375" customWidth="1"/>
    <col min="15879" max="15879" width="4.7109375" customWidth="1"/>
    <col min="16129" max="16134" width="15.7109375" customWidth="1"/>
    <col min="16135" max="16135" width="4.7109375" customWidth="1"/>
  </cols>
  <sheetData>
    <row r="1" spans="1:7" x14ac:dyDescent="0.25">
      <c r="A1" s="102"/>
      <c r="B1" s="103"/>
      <c r="C1" s="103"/>
      <c r="D1" s="104"/>
      <c r="E1" s="104"/>
      <c r="F1" s="105"/>
      <c r="G1" s="106"/>
    </row>
    <row r="2" spans="1:7" x14ac:dyDescent="0.25">
      <c r="A2" s="107"/>
      <c r="B2" s="108" t="s">
        <v>667</v>
      </c>
      <c r="C2" s="108"/>
      <c r="D2" s="108"/>
      <c r="E2" s="108"/>
      <c r="F2" s="109"/>
      <c r="G2" s="110"/>
    </row>
    <row r="3" spans="1:7" ht="9.75" customHeight="1" x14ac:dyDescent="0.25">
      <c r="A3" s="107"/>
      <c r="B3" s="111"/>
      <c r="C3" s="111"/>
      <c r="D3" s="112"/>
      <c r="E3" s="112"/>
      <c r="F3" s="109"/>
      <c r="G3" s="110"/>
    </row>
    <row r="4" spans="1:7" x14ac:dyDescent="0.25">
      <c r="A4" s="107"/>
      <c r="B4" s="113" t="s">
        <v>668</v>
      </c>
      <c r="C4" s="113"/>
      <c r="D4" s="113"/>
      <c r="E4" s="113"/>
      <c r="F4" s="109" t="s">
        <v>669</v>
      </c>
      <c r="G4" s="110"/>
    </row>
    <row r="5" spans="1:7" ht="6.75" customHeight="1" x14ac:dyDescent="0.25">
      <c r="A5" s="114"/>
      <c r="B5" s="115"/>
      <c r="C5" s="115"/>
      <c r="D5" s="116"/>
      <c r="E5" s="116"/>
      <c r="F5" s="117"/>
      <c r="G5" s="118"/>
    </row>
    <row r="6" spans="1:7" x14ac:dyDescent="0.25">
      <c r="A6" s="119" t="s">
        <v>670</v>
      </c>
      <c r="B6" s="120" t="s">
        <v>671</v>
      </c>
      <c r="C6" s="121"/>
      <c r="D6" s="121"/>
      <c r="E6" s="121"/>
      <c r="F6" s="122"/>
      <c r="G6" s="123"/>
    </row>
    <row r="7" spans="1:7" x14ac:dyDescent="0.25">
      <c r="A7" s="124" t="s">
        <v>672</v>
      </c>
      <c r="B7" s="125" t="s">
        <v>673</v>
      </c>
      <c r="C7" s="125" t="s">
        <v>674</v>
      </c>
      <c r="D7" s="126" t="s">
        <v>675</v>
      </c>
      <c r="E7" s="126" t="s">
        <v>676</v>
      </c>
      <c r="F7" s="127" t="s">
        <v>676</v>
      </c>
      <c r="G7" s="128" t="s">
        <v>677</v>
      </c>
    </row>
    <row r="8" spans="1:7" x14ac:dyDescent="0.25">
      <c r="A8" s="129"/>
      <c r="B8" s="130" t="s">
        <v>678</v>
      </c>
      <c r="C8" s="130" t="s">
        <v>679</v>
      </c>
      <c r="D8" s="131" t="s">
        <v>680</v>
      </c>
      <c r="E8" s="131" t="s">
        <v>681</v>
      </c>
      <c r="F8" s="132" t="s">
        <v>682</v>
      </c>
      <c r="G8" s="133"/>
    </row>
    <row r="9" spans="1:7" x14ac:dyDescent="0.25">
      <c r="A9" s="134" t="s">
        <v>683</v>
      </c>
      <c r="B9" s="135">
        <v>56000</v>
      </c>
      <c r="C9" s="135">
        <v>61460</v>
      </c>
      <c r="D9" s="136">
        <v>1.0974999999999999</v>
      </c>
      <c r="E9" s="136">
        <v>0</v>
      </c>
      <c r="F9" s="137">
        <v>1.0974999999999999</v>
      </c>
      <c r="G9" s="134" t="s">
        <v>684</v>
      </c>
    </row>
    <row r="10" spans="1:7" x14ac:dyDescent="0.25">
      <c r="A10" s="134" t="s">
        <v>685</v>
      </c>
      <c r="B10" s="135">
        <v>300000</v>
      </c>
      <c r="C10" s="135">
        <v>5641500</v>
      </c>
      <c r="D10" s="136">
        <v>18.805</v>
      </c>
      <c r="E10" s="136">
        <v>0</v>
      </c>
      <c r="F10" s="137">
        <v>18.805</v>
      </c>
      <c r="G10" s="134" t="s">
        <v>684</v>
      </c>
    </row>
    <row r="11" spans="1:7" x14ac:dyDescent="0.25">
      <c r="A11" s="134" t="s">
        <v>686</v>
      </c>
      <c r="B11" s="135">
        <v>5000000</v>
      </c>
      <c r="C11" s="135">
        <v>5405000</v>
      </c>
      <c r="D11" s="136">
        <v>1.081</v>
      </c>
      <c r="E11" s="136">
        <v>0</v>
      </c>
      <c r="F11" s="137">
        <v>1.081</v>
      </c>
      <c r="G11" s="134" t="s">
        <v>687</v>
      </c>
    </row>
    <row r="12" spans="1:7" x14ac:dyDescent="0.25">
      <c r="A12" s="134" t="s">
        <v>688</v>
      </c>
      <c r="B12" s="135">
        <v>500000</v>
      </c>
      <c r="C12" s="135">
        <v>9820200</v>
      </c>
      <c r="D12" s="136">
        <v>19.6404</v>
      </c>
      <c r="E12" s="136">
        <v>0</v>
      </c>
      <c r="F12" s="137">
        <v>19.540800000000001</v>
      </c>
      <c r="G12" s="134" t="s">
        <v>684</v>
      </c>
    </row>
    <row r="13" spans="1:7" x14ac:dyDescent="0.25">
      <c r="A13" s="134" t="s">
        <v>689</v>
      </c>
      <c r="B13" s="135">
        <v>2000000</v>
      </c>
      <c r="C13" s="135">
        <v>2241493.06</v>
      </c>
      <c r="D13" s="136">
        <v>1.1207465299999999</v>
      </c>
      <c r="E13" s="136">
        <v>0</v>
      </c>
      <c r="F13" s="137">
        <v>1.1207465299999999</v>
      </c>
      <c r="G13" s="134" t="s">
        <v>687</v>
      </c>
    </row>
    <row r="14" spans="1:7" x14ac:dyDescent="0.25">
      <c r="A14" s="134" t="s">
        <v>690</v>
      </c>
      <c r="B14" s="135">
        <v>27400000</v>
      </c>
      <c r="C14" s="135">
        <v>28692600</v>
      </c>
      <c r="D14" s="136">
        <v>1.04717518</v>
      </c>
      <c r="E14" s="136">
        <v>0</v>
      </c>
      <c r="F14" s="137">
        <v>1.0489999999999999</v>
      </c>
      <c r="G14" s="134" t="s">
        <v>684</v>
      </c>
    </row>
    <row r="15" spans="1:7" x14ac:dyDescent="0.25">
      <c r="A15" s="134" t="s">
        <v>691</v>
      </c>
      <c r="B15" s="135">
        <v>214000000</v>
      </c>
      <c r="C15" s="135">
        <v>213950000</v>
      </c>
      <c r="D15" s="136">
        <v>0.99976635000000003</v>
      </c>
      <c r="E15" s="136">
        <v>0</v>
      </c>
      <c r="F15" s="137">
        <v>1</v>
      </c>
      <c r="G15" s="134" t="s">
        <v>687</v>
      </c>
    </row>
    <row r="16" spans="1:7" x14ac:dyDescent="0.25">
      <c r="A16" s="134" t="s">
        <v>692</v>
      </c>
      <c r="B16" s="135">
        <v>204000000</v>
      </c>
      <c r="C16" s="135">
        <v>11737629.6</v>
      </c>
      <c r="D16" s="136">
        <v>5.7537400000000002E-2</v>
      </c>
      <c r="E16" s="136">
        <v>0</v>
      </c>
      <c r="F16" s="137">
        <v>5.7537400000000002E-2</v>
      </c>
      <c r="G16" s="134" t="s">
        <v>693</v>
      </c>
    </row>
    <row r="17" spans="1:7" x14ac:dyDescent="0.25">
      <c r="A17" s="134" t="s">
        <v>694</v>
      </c>
      <c r="B17" s="135">
        <v>2460000</v>
      </c>
      <c r="C17" s="135">
        <v>2846573.32</v>
      </c>
      <c r="D17" s="136">
        <v>1.15714362</v>
      </c>
      <c r="E17" s="136">
        <v>0</v>
      </c>
      <c r="F17" s="137">
        <v>1.1570419999999999</v>
      </c>
      <c r="G17" s="134" t="s">
        <v>687</v>
      </c>
    </row>
    <row r="18" spans="1:7" x14ac:dyDescent="0.25">
      <c r="A18" s="134" t="s">
        <v>695</v>
      </c>
      <c r="B18" s="135">
        <v>3800000</v>
      </c>
      <c r="C18" s="135">
        <v>4322500</v>
      </c>
      <c r="D18" s="136">
        <v>1.1375</v>
      </c>
      <c r="E18" s="136">
        <v>0</v>
      </c>
      <c r="F18" s="137">
        <v>1.1375</v>
      </c>
      <c r="G18" s="134" t="s">
        <v>693</v>
      </c>
    </row>
    <row r="19" spans="1:7" x14ac:dyDescent="0.25">
      <c r="A19" s="134" t="s">
        <v>696</v>
      </c>
      <c r="B19" s="135">
        <v>460000</v>
      </c>
      <c r="C19" s="135">
        <v>469338.95</v>
      </c>
      <c r="D19" s="136">
        <v>1.02030208</v>
      </c>
      <c r="E19" s="136">
        <v>0</v>
      </c>
      <c r="F19" s="137">
        <v>1.02030208</v>
      </c>
      <c r="G19" s="134" t="s">
        <v>684</v>
      </c>
    </row>
    <row r="20" spans="1:7" x14ac:dyDescent="0.25">
      <c r="A20" s="134" t="s">
        <v>697</v>
      </c>
      <c r="B20" s="135">
        <v>4400000</v>
      </c>
      <c r="C20" s="135">
        <v>75680000</v>
      </c>
      <c r="D20" s="136">
        <v>17.2</v>
      </c>
      <c r="E20" s="136">
        <v>0</v>
      </c>
      <c r="F20" s="137">
        <v>17.2</v>
      </c>
      <c r="G20" s="134" t="s">
        <v>687</v>
      </c>
    </row>
    <row r="21" spans="1:7" x14ac:dyDescent="0.25">
      <c r="A21" s="134" t="s">
        <v>698</v>
      </c>
      <c r="B21" s="135">
        <v>2000000</v>
      </c>
      <c r="C21" s="135">
        <v>34435000</v>
      </c>
      <c r="D21" s="136">
        <v>17.217500000000001</v>
      </c>
      <c r="E21" s="136">
        <v>0</v>
      </c>
      <c r="F21" s="137">
        <v>17.3</v>
      </c>
      <c r="G21" s="134" t="s">
        <v>684</v>
      </c>
    </row>
    <row r="22" spans="1:7" x14ac:dyDescent="0.25">
      <c r="A22" s="134" t="s">
        <v>699</v>
      </c>
      <c r="B22" s="135">
        <v>65000000</v>
      </c>
      <c r="C22" s="135">
        <v>68075000</v>
      </c>
      <c r="D22" s="136">
        <v>1.04730769</v>
      </c>
      <c r="E22" s="136">
        <v>1.0468</v>
      </c>
      <c r="F22" s="137">
        <v>1.05</v>
      </c>
      <c r="G22" s="134" t="s">
        <v>687</v>
      </c>
    </row>
    <row r="23" spans="1:7" x14ac:dyDescent="0.25">
      <c r="A23" s="134" t="s">
        <v>700</v>
      </c>
      <c r="B23" s="135">
        <v>9000000</v>
      </c>
      <c r="C23" s="135">
        <v>9202500</v>
      </c>
      <c r="D23" s="136">
        <v>1.0225</v>
      </c>
      <c r="E23" s="136">
        <v>0</v>
      </c>
      <c r="F23" s="137">
        <v>1.0225</v>
      </c>
      <c r="G23" s="134" t="s">
        <v>684</v>
      </c>
    </row>
    <row r="24" spans="1:7" x14ac:dyDescent="0.25">
      <c r="A24" s="134" t="s">
        <v>701</v>
      </c>
      <c r="B24" s="135">
        <v>20000000</v>
      </c>
      <c r="C24" s="135">
        <v>20450000</v>
      </c>
      <c r="D24" s="136">
        <v>1.0225</v>
      </c>
      <c r="E24" s="136">
        <v>1.0195000000000001</v>
      </c>
      <c r="F24" s="137">
        <v>1.0225</v>
      </c>
      <c r="G24" s="134" t="s">
        <v>684</v>
      </c>
    </row>
    <row r="25" spans="1:7" x14ac:dyDescent="0.25">
      <c r="A25" s="134" t="s">
        <v>702</v>
      </c>
      <c r="B25" s="135">
        <v>19000000</v>
      </c>
      <c r="C25" s="135">
        <v>19541500</v>
      </c>
      <c r="D25" s="136">
        <v>1.0285</v>
      </c>
      <c r="E25" s="136">
        <v>0</v>
      </c>
      <c r="F25" s="137">
        <v>1.0285</v>
      </c>
      <c r="G25" s="134" t="s">
        <v>687</v>
      </c>
    </row>
    <row r="26" spans="1:7" x14ac:dyDescent="0.25">
      <c r="A26" s="134" t="s">
        <v>703</v>
      </c>
      <c r="B26" s="135">
        <v>10000000</v>
      </c>
      <c r="C26" s="135">
        <v>10275000</v>
      </c>
      <c r="D26" s="136">
        <v>1.0275000000000001</v>
      </c>
      <c r="E26" s="136">
        <v>1.0265</v>
      </c>
      <c r="F26" s="137">
        <v>1.0275000000000001</v>
      </c>
      <c r="G26" s="134" t="s">
        <v>684</v>
      </c>
    </row>
    <row r="27" spans="1:7" x14ac:dyDescent="0.25">
      <c r="A27" s="134" t="s">
        <v>704</v>
      </c>
      <c r="B27" s="135">
        <v>500000</v>
      </c>
      <c r="C27" s="135">
        <v>9500000</v>
      </c>
      <c r="D27" s="136">
        <v>19</v>
      </c>
      <c r="E27" s="136">
        <v>0</v>
      </c>
      <c r="F27" s="137">
        <v>19</v>
      </c>
      <c r="G27" s="134" t="s">
        <v>693</v>
      </c>
    </row>
    <row r="28" spans="1:7" x14ac:dyDescent="0.25">
      <c r="A28" s="134" t="s">
        <v>705</v>
      </c>
      <c r="B28" s="135">
        <v>500000</v>
      </c>
      <c r="C28" s="135">
        <v>552500</v>
      </c>
      <c r="D28" s="136">
        <v>1.105</v>
      </c>
      <c r="E28" s="136">
        <v>0</v>
      </c>
      <c r="F28" s="137">
        <v>1.105</v>
      </c>
      <c r="G28" s="134" t="s">
        <v>693</v>
      </c>
    </row>
    <row r="29" spans="1:7" x14ac:dyDescent="0.25">
      <c r="A29" s="134" t="s">
        <v>706</v>
      </c>
      <c r="B29" s="135">
        <v>500000</v>
      </c>
      <c r="C29" s="135">
        <v>552500</v>
      </c>
      <c r="D29" s="136">
        <v>1.105</v>
      </c>
      <c r="E29" s="136">
        <v>0</v>
      </c>
      <c r="F29" s="137">
        <v>1.105</v>
      </c>
      <c r="G29" s="134" t="s">
        <v>687</v>
      </c>
    </row>
    <row r="30" spans="1:7" x14ac:dyDescent="0.25">
      <c r="A30" s="134" t="s">
        <v>707</v>
      </c>
      <c r="B30" s="135">
        <v>182000000</v>
      </c>
      <c r="C30" s="135">
        <v>191890800</v>
      </c>
      <c r="D30" s="136">
        <v>1.05434505</v>
      </c>
      <c r="E30" s="136">
        <v>1.054</v>
      </c>
      <c r="F30" s="137">
        <v>1.0543</v>
      </c>
      <c r="G30" s="134" t="s">
        <v>687</v>
      </c>
    </row>
    <row r="31" spans="1:7" x14ac:dyDescent="0.25">
      <c r="A31" s="134" t="s">
        <v>708</v>
      </c>
      <c r="B31" s="135">
        <v>79675000</v>
      </c>
      <c r="C31" s="135">
        <v>4840198.88</v>
      </c>
      <c r="D31" s="136">
        <v>6.0749280000000003E-2</v>
      </c>
      <c r="E31" s="136">
        <v>0</v>
      </c>
      <c r="F31" s="137">
        <v>6.0749280000000003E-2</v>
      </c>
      <c r="G31" s="134" t="s">
        <v>693</v>
      </c>
    </row>
    <row r="32" spans="1:7" x14ac:dyDescent="0.25">
      <c r="A32" s="134" t="s">
        <v>709</v>
      </c>
      <c r="B32" s="135">
        <v>2000000</v>
      </c>
      <c r="C32" s="135">
        <v>2295600</v>
      </c>
      <c r="D32" s="136">
        <v>1.1477999999999999</v>
      </c>
      <c r="E32" s="136">
        <v>0</v>
      </c>
      <c r="F32" s="137">
        <v>1.1477999999999999</v>
      </c>
      <c r="G32" s="134" t="s">
        <v>687</v>
      </c>
    </row>
    <row r="33" spans="1:7" x14ac:dyDescent="0.25">
      <c r="A33" s="134" t="s">
        <v>710</v>
      </c>
      <c r="B33" s="135">
        <v>840000</v>
      </c>
      <c r="C33" s="135">
        <v>16740360</v>
      </c>
      <c r="D33" s="136">
        <v>19.928999999999998</v>
      </c>
      <c r="E33" s="136">
        <v>20.135000000000002</v>
      </c>
      <c r="F33" s="137">
        <v>19.928000000000001</v>
      </c>
      <c r="G33" s="134" t="s">
        <v>684</v>
      </c>
    </row>
    <row r="34" spans="1:7" x14ac:dyDescent="0.25">
      <c r="A34" s="134" t="s">
        <v>711</v>
      </c>
      <c r="B34" s="135">
        <v>3000000</v>
      </c>
      <c r="C34" s="135">
        <v>3435700</v>
      </c>
      <c r="D34" s="136">
        <v>1.1452333299999999</v>
      </c>
      <c r="E34" s="136">
        <v>1.1445000000000001</v>
      </c>
      <c r="F34" s="137">
        <v>1.1479999999999999</v>
      </c>
      <c r="G34" s="134" t="s">
        <v>684</v>
      </c>
    </row>
    <row r="35" spans="1:7" x14ac:dyDescent="0.25">
      <c r="A35" s="134" t="s">
        <v>712</v>
      </c>
      <c r="B35" s="135">
        <v>9600000</v>
      </c>
      <c r="C35" s="135">
        <v>198375000</v>
      </c>
      <c r="D35" s="136">
        <v>20.6640625</v>
      </c>
      <c r="E35" s="136">
        <v>20.86</v>
      </c>
      <c r="F35" s="137">
        <v>20.65</v>
      </c>
      <c r="G35" s="134" t="s">
        <v>687</v>
      </c>
    </row>
    <row r="36" spans="1:7" x14ac:dyDescent="0.25">
      <c r="A36" s="134" t="s">
        <v>713</v>
      </c>
      <c r="B36" s="135">
        <v>5756000</v>
      </c>
      <c r="C36" s="135">
        <v>119184007.2</v>
      </c>
      <c r="D36" s="136">
        <v>20.70604711</v>
      </c>
      <c r="E36" s="136">
        <v>0</v>
      </c>
      <c r="F36" s="137">
        <v>20.7</v>
      </c>
      <c r="G36" s="134" t="s">
        <v>687</v>
      </c>
    </row>
    <row r="37" spans="1:7" x14ac:dyDescent="0.25">
      <c r="A37" s="134" t="s">
        <v>714</v>
      </c>
      <c r="B37" s="135">
        <v>1256000</v>
      </c>
      <c r="C37" s="135">
        <v>1497780</v>
      </c>
      <c r="D37" s="136">
        <v>1.1924999999999999</v>
      </c>
      <c r="E37" s="136">
        <v>0</v>
      </c>
      <c r="F37" s="137">
        <v>1.1924999999999999</v>
      </c>
      <c r="G37" s="134" t="s">
        <v>687</v>
      </c>
    </row>
    <row r="38" spans="1:7" x14ac:dyDescent="0.25">
      <c r="A38" s="134" t="s">
        <v>715</v>
      </c>
      <c r="B38" s="135">
        <v>6000000</v>
      </c>
      <c r="C38" s="135">
        <v>124500000</v>
      </c>
      <c r="D38" s="136">
        <v>20.75</v>
      </c>
      <c r="E38" s="136">
        <v>20.798749999999998</v>
      </c>
      <c r="F38" s="137">
        <v>20.75</v>
      </c>
      <c r="G38" s="134" t="s">
        <v>687</v>
      </c>
    </row>
    <row r="39" spans="1:7" x14ac:dyDescent="0.25">
      <c r="A39" s="134" t="s">
        <v>716</v>
      </c>
      <c r="B39" s="135">
        <v>11527880</v>
      </c>
      <c r="C39" s="135">
        <v>13769845.529999999</v>
      </c>
      <c r="D39" s="136">
        <v>1.1944820300000001</v>
      </c>
      <c r="E39" s="136">
        <v>1.1884999999999999</v>
      </c>
      <c r="F39" s="137">
        <v>1.194588</v>
      </c>
      <c r="G39" s="134" t="s">
        <v>687</v>
      </c>
    </row>
    <row r="40" spans="1:7" x14ac:dyDescent="0.25">
      <c r="A40" s="134" t="s">
        <v>717</v>
      </c>
      <c r="B40" s="135">
        <v>2000000</v>
      </c>
      <c r="C40" s="135">
        <v>37673500</v>
      </c>
      <c r="D40" s="136">
        <v>18.836749999999999</v>
      </c>
      <c r="E40" s="136">
        <v>0</v>
      </c>
      <c r="F40" s="137">
        <v>18.836749999999999</v>
      </c>
      <c r="G40" s="134" t="s">
        <v>693</v>
      </c>
    </row>
    <row r="41" spans="1:7" x14ac:dyDescent="0.25">
      <c r="A41" s="134" t="s">
        <v>718</v>
      </c>
      <c r="B41" s="135">
        <v>10000000</v>
      </c>
      <c r="C41" s="135">
        <v>10059000</v>
      </c>
      <c r="D41" s="136">
        <v>1.0059</v>
      </c>
      <c r="E41" s="136">
        <v>0</v>
      </c>
      <c r="F41" s="137">
        <v>1.0059</v>
      </c>
      <c r="G41" s="134" t="s">
        <v>687</v>
      </c>
    </row>
    <row r="42" spans="1:7" x14ac:dyDescent="0.25">
      <c r="A42" s="134" t="s">
        <v>719</v>
      </c>
      <c r="B42" s="135">
        <v>3140000</v>
      </c>
      <c r="C42" s="135">
        <v>36549600</v>
      </c>
      <c r="D42" s="136">
        <v>11.64</v>
      </c>
      <c r="E42" s="136">
        <v>11.78</v>
      </c>
      <c r="F42" s="137">
        <v>11.64</v>
      </c>
      <c r="G42" s="134" t="s">
        <v>687</v>
      </c>
    </row>
    <row r="43" spans="1:7" x14ac:dyDescent="0.25">
      <c r="A43" s="134" t="s">
        <v>720</v>
      </c>
      <c r="B43" s="135">
        <v>20000000</v>
      </c>
      <c r="C43" s="135">
        <v>21567375</v>
      </c>
      <c r="D43" s="136">
        <v>1.0783687500000001</v>
      </c>
      <c r="E43" s="136">
        <v>0</v>
      </c>
      <c r="F43" s="137">
        <v>1.0797749999999999</v>
      </c>
      <c r="G43" s="134" t="s">
        <v>684</v>
      </c>
    </row>
    <row r="44" spans="1:7" x14ac:dyDescent="0.25">
      <c r="A44" s="134" t="s">
        <v>721</v>
      </c>
      <c r="B44" s="135">
        <v>20000000</v>
      </c>
      <c r="C44" s="135">
        <v>19657000</v>
      </c>
      <c r="D44" s="136">
        <v>0.98285</v>
      </c>
      <c r="E44" s="136">
        <v>0</v>
      </c>
      <c r="F44" s="137">
        <v>0.98350000000000004</v>
      </c>
      <c r="G44" s="134" t="s">
        <v>687</v>
      </c>
    </row>
    <row r="45" spans="1:7" x14ac:dyDescent="0.25">
      <c r="A45" s="134" t="s">
        <v>722</v>
      </c>
      <c r="B45" s="135">
        <v>10000000</v>
      </c>
      <c r="C45" s="135">
        <v>10334000</v>
      </c>
      <c r="D45" s="136">
        <v>1.0334000000000001</v>
      </c>
      <c r="E45" s="136">
        <v>0</v>
      </c>
      <c r="F45" s="137">
        <v>1.0334000000000001</v>
      </c>
      <c r="G45" s="134" t="s">
        <v>687</v>
      </c>
    </row>
    <row r="46" spans="1:7" x14ac:dyDescent="0.25">
      <c r="A46" s="134" t="s">
        <v>723</v>
      </c>
      <c r="B46" s="135">
        <v>400000</v>
      </c>
      <c r="C46" s="135">
        <v>473525</v>
      </c>
      <c r="D46" s="136">
        <v>1.1838124999999999</v>
      </c>
      <c r="E46" s="136">
        <v>0</v>
      </c>
      <c r="F46" s="137">
        <v>1.1838124999999999</v>
      </c>
      <c r="G46" s="134" t="s">
        <v>687</v>
      </c>
    </row>
    <row r="47" spans="1:7" x14ac:dyDescent="0.25">
      <c r="A47" s="134" t="s">
        <v>724</v>
      </c>
      <c r="B47" s="135">
        <v>3000000</v>
      </c>
      <c r="C47" s="135">
        <v>3039300</v>
      </c>
      <c r="D47" s="136">
        <v>1.0130999999999999</v>
      </c>
      <c r="E47" s="136">
        <v>0</v>
      </c>
      <c r="F47" s="137">
        <v>1.0130999999999999</v>
      </c>
      <c r="G47" s="134" t="s">
        <v>687</v>
      </c>
    </row>
    <row r="48" spans="1:7" x14ac:dyDescent="0.25">
      <c r="A48" s="134" t="s">
        <v>725</v>
      </c>
      <c r="B48" s="135">
        <v>5000000</v>
      </c>
      <c r="C48" s="135">
        <v>5235500</v>
      </c>
      <c r="D48" s="136">
        <v>1.0470999999999999</v>
      </c>
      <c r="E48" s="136">
        <v>0</v>
      </c>
      <c r="F48" s="137">
        <v>1.0470999999999999</v>
      </c>
      <c r="G48" s="134" t="s">
        <v>687</v>
      </c>
    </row>
    <row r="49" spans="1:7" x14ac:dyDescent="0.25">
      <c r="A49" s="134" t="s">
        <v>726</v>
      </c>
      <c r="B49" s="135">
        <v>1000000</v>
      </c>
      <c r="C49" s="135">
        <v>1031100</v>
      </c>
      <c r="D49" s="136">
        <v>1.0310999999999999</v>
      </c>
      <c r="E49" s="136">
        <v>0</v>
      </c>
      <c r="F49" s="137">
        <v>1.0310999999999999</v>
      </c>
      <c r="G49" s="134" t="s">
        <v>684</v>
      </c>
    </row>
    <row r="50" spans="1:7" x14ac:dyDescent="0.25">
      <c r="A50" s="134" t="s">
        <v>727</v>
      </c>
      <c r="B50" s="135">
        <v>10000000</v>
      </c>
      <c r="C50" s="135">
        <v>10360000</v>
      </c>
      <c r="D50" s="136">
        <v>1.036</v>
      </c>
      <c r="E50" s="136">
        <v>0</v>
      </c>
      <c r="F50" s="137">
        <v>1.036</v>
      </c>
      <c r="G50" s="134" t="s">
        <v>687</v>
      </c>
    </row>
    <row r="51" spans="1:7" x14ac:dyDescent="0.25">
      <c r="A51" s="134" t="s">
        <v>728</v>
      </c>
      <c r="B51" s="135">
        <v>1000000</v>
      </c>
      <c r="C51" s="135">
        <v>1014100</v>
      </c>
      <c r="D51" s="136">
        <v>1.0141</v>
      </c>
      <c r="E51" s="136">
        <v>0</v>
      </c>
      <c r="F51" s="137">
        <v>1.0141</v>
      </c>
      <c r="G51" s="134" t="s">
        <v>684</v>
      </c>
    </row>
    <row r="52" spans="1:7" x14ac:dyDescent="0.25">
      <c r="A52" s="134" t="s">
        <v>729</v>
      </c>
      <c r="B52" s="135">
        <v>500000</v>
      </c>
      <c r="C52" s="135">
        <v>9390125</v>
      </c>
      <c r="D52" s="136">
        <v>18.780249999999999</v>
      </c>
      <c r="E52" s="136">
        <v>18.770250000000001</v>
      </c>
      <c r="F52" s="137">
        <v>18.780249999999999</v>
      </c>
      <c r="G52" s="134" t="s">
        <v>684</v>
      </c>
    </row>
    <row r="53" spans="1:7" x14ac:dyDescent="0.25">
      <c r="A53" s="134" t="s">
        <v>730</v>
      </c>
      <c r="B53" s="135">
        <v>240000</v>
      </c>
      <c r="C53" s="135">
        <v>5208000</v>
      </c>
      <c r="D53" s="136">
        <v>21.7</v>
      </c>
      <c r="E53" s="136">
        <v>0</v>
      </c>
      <c r="F53" s="137">
        <v>21.7</v>
      </c>
      <c r="G53" s="134" t="s">
        <v>693</v>
      </c>
    </row>
    <row r="54" spans="1:7" x14ac:dyDescent="0.25">
      <c r="A54" s="134" t="s">
        <v>731</v>
      </c>
      <c r="B54" s="135">
        <v>1000000</v>
      </c>
      <c r="C54" s="135">
        <v>1052500</v>
      </c>
      <c r="D54" s="136">
        <v>1.0525</v>
      </c>
      <c r="E54" s="136">
        <v>0</v>
      </c>
      <c r="F54" s="137">
        <v>1.0525</v>
      </c>
      <c r="G54" s="134" t="s">
        <v>684</v>
      </c>
    </row>
    <row r="55" spans="1:7" x14ac:dyDescent="0.25">
      <c r="A55" s="134" t="s">
        <v>732</v>
      </c>
      <c r="B55" s="135">
        <v>2150000</v>
      </c>
      <c r="C55" s="135">
        <v>2363632.6</v>
      </c>
      <c r="D55" s="136">
        <v>1.099364</v>
      </c>
      <c r="E55" s="136">
        <v>0</v>
      </c>
      <c r="F55" s="137">
        <v>1.099364</v>
      </c>
      <c r="G55" s="134" t="s">
        <v>687</v>
      </c>
    </row>
    <row r="56" spans="1:7" x14ac:dyDescent="0.25">
      <c r="A56" s="134" t="s">
        <v>733</v>
      </c>
      <c r="B56" s="135">
        <v>250000</v>
      </c>
      <c r="C56" s="135">
        <v>269046.2</v>
      </c>
      <c r="D56" s="136">
        <v>1.0761848199999999</v>
      </c>
      <c r="E56" s="136">
        <v>0</v>
      </c>
      <c r="F56" s="137">
        <v>1.0761848199999999</v>
      </c>
      <c r="G56" s="134" t="s">
        <v>687</v>
      </c>
    </row>
    <row r="57" spans="1:7" x14ac:dyDescent="0.25">
      <c r="A57" s="134" t="s">
        <v>734</v>
      </c>
      <c r="B57" s="135">
        <v>2660000</v>
      </c>
      <c r="C57" s="135">
        <v>4426197.0199999996</v>
      </c>
      <c r="D57" s="136">
        <v>1.66398384</v>
      </c>
      <c r="E57" s="136">
        <v>0</v>
      </c>
      <c r="F57" s="137">
        <v>1.6639999999999999</v>
      </c>
      <c r="G57" s="134" t="s">
        <v>687</v>
      </c>
    </row>
    <row r="58" spans="1:7" x14ac:dyDescent="0.25">
      <c r="A58" s="134" t="s">
        <v>735</v>
      </c>
      <c r="B58" s="135">
        <v>22000000</v>
      </c>
      <c r="C58" s="135">
        <v>167320000</v>
      </c>
      <c r="D58" s="136">
        <v>7.6054545400000002</v>
      </c>
      <c r="E58" s="136">
        <v>7.59</v>
      </c>
      <c r="F58" s="137">
        <v>7.6</v>
      </c>
      <c r="G58" s="134" t="s">
        <v>687</v>
      </c>
    </row>
    <row r="59" spans="1:7" x14ac:dyDescent="0.25">
      <c r="A59" s="134" t="s">
        <v>736</v>
      </c>
      <c r="B59" s="135">
        <v>53175</v>
      </c>
      <c r="C59" s="135">
        <v>87169.77</v>
      </c>
      <c r="D59" s="136">
        <v>1.6393</v>
      </c>
      <c r="E59" s="136">
        <v>1.65713</v>
      </c>
      <c r="F59" s="137">
        <v>1.6393</v>
      </c>
      <c r="G59" s="134" t="s">
        <v>693</v>
      </c>
    </row>
    <row r="60" spans="1:7" x14ac:dyDescent="0.25">
      <c r="A60" s="134" t="s">
        <v>737</v>
      </c>
      <c r="B60" s="135">
        <v>1000000</v>
      </c>
      <c r="C60" s="135">
        <v>1065868.1000000001</v>
      </c>
      <c r="D60" s="136">
        <v>1.0658681000000001</v>
      </c>
      <c r="E60" s="136">
        <v>1.06</v>
      </c>
      <c r="F60" s="137">
        <v>1.0658681000000001</v>
      </c>
      <c r="G60" s="134" t="s">
        <v>687</v>
      </c>
    </row>
    <row r="61" spans="1:7" x14ac:dyDescent="0.25">
      <c r="A61" s="134" t="s">
        <v>738</v>
      </c>
      <c r="B61" s="135">
        <v>5000000</v>
      </c>
      <c r="C61" s="135">
        <v>5170000</v>
      </c>
      <c r="D61" s="136">
        <v>1.034</v>
      </c>
      <c r="E61" s="136">
        <v>0</v>
      </c>
      <c r="F61" s="137">
        <v>1.034</v>
      </c>
      <c r="G61" s="134" t="s">
        <v>687</v>
      </c>
    </row>
    <row r="62" spans="1:7" x14ac:dyDescent="0.25">
      <c r="A62" s="134" t="s">
        <v>739</v>
      </c>
      <c r="B62" s="135">
        <v>2136070000</v>
      </c>
      <c r="C62" s="135">
        <v>2064406070.96</v>
      </c>
      <c r="D62" s="136">
        <v>0.96645057000000001</v>
      </c>
      <c r="E62" s="136">
        <v>0.96583300000000005</v>
      </c>
      <c r="F62" s="137">
        <v>0.96646200000000004</v>
      </c>
      <c r="G62" s="134" t="s">
        <v>687</v>
      </c>
    </row>
    <row r="63" spans="1:7" x14ac:dyDescent="0.25">
      <c r="A63" s="134" t="s">
        <v>740</v>
      </c>
      <c r="B63" s="135">
        <v>1252821213</v>
      </c>
      <c r="C63" s="135">
        <v>1213394462.9300001</v>
      </c>
      <c r="D63" s="136">
        <v>0.96852961999999998</v>
      </c>
      <c r="E63" s="136">
        <v>0.96652099999999996</v>
      </c>
      <c r="F63" s="137">
        <v>0.96853500000000003</v>
      </c>
      <c r="G63" s="134" t="s">
        <v>687</v>
      </c>
    </row>
    <row r="64" spans="1:7" x14ac:dyDescent="0.25">
      <c r="A64" s="134" t="s">
        <v>741</v>
      </c>
      <c r="B64" s="135">
        <v>270000000</v>
      </c>
      <c r="C64" s="135">
        <v>261695190</v>
      </c>
      <c r="D64" s="136">
        <v>0.96924144000000001</v>
      </c>
      <c r="E64" s="136">
        <v>0.96858999999999995</v>
      </c>
      <c r="F64" s="137">
        <v>0.96922799999999998</v>
      </c>
      <c r="G64" s="134" t="s">
        <v>687</v>
      </c>
    </row>
    <row r="65" spans="1:7" x14ac:dyDescent="0.25">
      <c r="A65" s="134" t="s">
        <v>742</v>
      </c>
      <c r="B65" s="135">
        <v>699753380</v>
      </c>
      <c r="C65" s="135">
        <v>597185701.48000002</v>
      </c>
      <c r="D65" s="136">
        <v>0.85342309999999999</v>
      </c>
      <c r="E65" s="136">
        <v>0.85321999999999998</v>
      </c>
      <c r="F65" s="137">
        <v>0.85343899999999995</v>
      </c>
      <c r="G65" s="134" t="s">
        <v>687</v>
      </c>
    </row>
    <row r="66" spans="1:7" x14ac:dyDescent="0.25">
      <c r="A66" s="134" t="s">
        <v>743</v>
      </c>
      <c r="B66" s="135">
        <v>117511573</v>
      </c>
      <c r="C66" s="135">
        <v>100495405.28</v>
      </c>
      <c r="D66" s="136">
        <v>0.85519581</v>
      </c>
      <c r="E66" s="136">
        <v>0.853491</v>
      </c>
      <c r="F66" s="137">
        <v>0.85518000000000005</v>
      </c>
      <c r="G66" s="134" t="s">
        <v>687</v>
      </c>
    </row>
    <row r="67" spans="1:7" x14ac:dyDescent="0.25">
      <c r="A67" s="134" t="s">
        <v>744</v>
      </c>
      <c r="B67" s="135">
        <v>15388500000</v>
      </c>
      <c r="C67" s="135">
        <v>14225484150.09</v>
      </c>
      <c r="D67" s="136">
        <v>0.92442305000000002</v>
      </c>
      <c r="E67" s="136">
        <v>0.92386100000000004</v>
      </c>
      <c r="F67" s="137">
        <v>0.92449599999999998</v>
      </c>
      <c r="G67" s="134" t="s">
        <v>687</v>
      </c>
    </row>
    <row r="68" spans="1:7" x14ac:dyDescent="0.25">
      <c r="A68" s="134" t="s">
        <v>745</v>
      </c>
      <c r="B68" s="135">
        <v>5080052671</v>
      </c>
      <c r="C68" s="135">
        <v>271334106.44999999</v>
      </c>
      <c r="D68" s="136">
        <v>5.3411670000000001E-2</v>
      </c>
      <c r="E68" s="136">
        <v>0</v>
      </c>
      <c r="F68" s="137">
        <v>5.345449E-2</v>
      </c>
      <c r="G68" s="134" t="s">
        <v>687</v>
      </c>
    </row>
    <row r="69" spans="1:7" x14ac:dyDescent="0.25">
      <c r="A69" s="134" t="s">
        <v>746</v>
      </c>
      <c r="B69" s="135">
        <v>2490832000</v>
      </c>
      <c r="C69" s="135">
        <v>2307346541.9699998</v>
      </c>
      <c r="D69" s="136">
        <v>0.92633567000000006</v>
      </c>
      <c r="E69" s="136">
        <v>0.92441799999999996</v>
      </c>
      <c r="F69" s="137">
        <v>0.92640299999999998</v>
      </c>
      <c r="G69" s="134" t="s">
        <v>687</v>
      </c>
    </row>
    <row r="70" spans="1:7" x14ac:dyDescent="0.25">
      <c r="A70" s="134" t="s">
        <v>747</v>
      </c>
      <c r="B70" s="135">
        <v>853000000</v>
      </c>
      <c r="C70" s="135">
        <v>741329235</v>
      </c>
      <c r="D70" s="136">
        <v>0.86908468000000005</v>
      </c>
      <c r="E70" s="136">
        <v>0.86849600000000005</v>
      </c>
      <c r="F70" s="137">
        <v>0.86910299999999996</v>
      </c>
      <c r="G70" s="134" t="s">
        <v>687</v>
      </c>
    </row>
    <row r="71" spans="1:7" x14ac:dyDescent="0.25">
      <c r="A71" s="134" t="s">
        <v>748</v>
      </c>
      <c r="B71" s="135">
        <v>300000000</v>
      </c>
      <c r="C71" s="135">
        <v>261228900</v>
      </c>
      <c r="D71" s="136">
        <v>0.87076299999999995</v>
      </c>
      <c r="E71" s="136">
        <v>0</v>
      </c>
      <c r="F71" s="137">
        <v>0.87080400000000002</v>
      </c>
      <c r="G71" s="134" t="s">
        <v>687</v>
      </c>
    </row>
    <row r="72" spans="1:7" x14ac:dyDescent="0.25">
      <c r="A72" s="134" t="s">
        <v>749</v>
      </c>
      <c r="B72" s="135">
        <v>12430749127</v>
      </c>
      <c r="C72" s="135">
        <v>12256839945.33</v>
      </c>
      <c r="D72" s="136">
        <v>0.98600975000000002</v>
      </c>
      <c r="E72" s="136">
        <v>0.98542099999999999</v>
      </c>
      <c r="F72" s="137">
        <v>0.98601300000000003</v>
      </c>
      <c r="G72" s="134" t="s">
        <v>687</v>
      </c>
    </row>
    <row r="73" spans="1:7" x14ac:dyDescent="0.25">
      <c r="A73" s="134" t="s">
        <v>750</v>
      </c>
      <c r="B73" s="135">
        <v>179060114</v>
      </c>
      <c r="C73" s="135">
        <v>10165500.51</v>
      </c>
      <c r="D73" s="136">
        <v>5.6771429999999998E-2</v>
      </c>
      <c r="E73" s="136">
        <v>5.6165350000000003E-2</v>
      </c>
      <c r="F73" s="137">
        <v>5.6771439999999999E-2</v>
      </c>
      <c r="G73" s="134" t="s">
        <v>687</v>
      </c>
    </row>
    <row r="74" spans="1:7" x14ac:dyDescent="0.25">
      <c r="A74" s="134" t="s">
        <v>751</v>
      </c>
      <c r="B74" s="135">
        <v>4478628189</v>
      </c>
      <c r="C74" s="135">
        <v>4424898200.1099997</v>
      </c>
      <c r="D74" s="136">
        <v>0.98800301999999995</v>
      </c>
      <c r="E74" s="136">
        <v>0.98593799999999998</v>
      </c>
      <c r="F74" s="137">
        <v>0.98804599999999998</v>
      </c>
      <c r="G74" s="134" t="s">
        <v>687</v>
      </c>
    </row>
    <row r="75" spans="1:7" x14ac:dyDescent="0.25">
      <c r="A75" s="134" t="s">
        <v>752</v>
      </c>
      <c r="B75" s="135">
        <v>249860114</v>
      </c>
      <c r="C75" s="135">
        <v>247063659.22</v>
      </c>
      <c r="D75" s="136">
        <v>0.98880791000000001</v>
      </c>
      <c r="E75" s="136">
        <v>0.98902599999999996</v>
      </c>
      <c r="F75" s="137">
        <v>0.98878500000000003</v>
      </c>
      <c r="G75" s="134" t="s">
        <v>687</v>
      </c>
    </row>
    <row r="76" spans="1:7" x14ac:dyDescent="0.25">
      <c r="A76" s="134" t="s">
        <v>753</v>
      </c>
      <c r="B76" s="135">
        <v>634604988</v>
      </c>
      <c r="C76" s="135">
        <v>598381461.39999998</v>
      </c>
      <c r="D76" s="136">
        <v>0.94291955999999999</v>
      </c>
      <c r="E76" s="136">
        <v>0.94215400000000005</v>
      </c>
      <c r="F76" s="137">
        <v>0.94381099999999996</v>
      </c>
      <c r="G76" s="134" t="s">
        <v>687</v>
      </c>
    </row>
    <row r="77" spans="1:7" x14ac:dyDescent="0.25">
      <c r="A77" s="134" t="s">
        <v>754</v>
      </c>
      <c r="B77" s="135">
        <v>125000000</v>
      </c>
      <c r="C77" s="135">
        <v>118074374.98999999</v>
      </c>
      <c r="D77" s="136">
        <v>0.94459499000000002</v>
      </c>
      <c r="E77" s="136">
        <v>0.94281099999999995</v>
      </c>
      <c r="F77" s="137">
        <v>0.94478812999999995</v>
      </c>
      <c r="G77" s="134" t="s">
        <v>684</v>
      </c>
    </row>
    <row r="78" spans="1:7" x14ac:dyDescent="0.25">
      <c r="A78" s="134" t="s">
        <v>755</v>
      </c>
      <c r="B78" s="135">
        <v>200000000</v>
      </c>
      <c r="C78" s="135">
        <v>180431800</v>
      </c>
      <c r="D78" s="136">
        <v>0.90215900000000004</v>
      </c>
      <c r="E78" s="136">
        <v>0.90155099999999999</v>
      </c>
      <c r="F78" s="137">
        <v>0.90215900000000004</v>
      </c>
      <c r="G78" s="134" t="s">
        <v>687</v>
      </c>
    </row>
    <row r="79" spans="1:7" x14ac:dyDescent="0.25">
      <c r="A79" s="134" t="s">
        <v>756</v>
      </c>
      <c r="B79" s="135">
        <v>60000000</v>
      </c>
      <c r="C79" s="135">
        <v>54239280</v>
      </c>
      <c r="D79" s="136">
        <v>0.90398800000000001</v>
      </c>
      <c r="E79" s="136">
        <v>0.90215900000000004</v>
      </c>
      <c r="F79" s="137">
        <v>0.90398800000000001</v>
      </c>
      <c r="G79" s="134" t="s">
        <v>684</v>
      </c>
    </row>
    <row r="80" spans="1:7" x14ac:dyDescent="0.25">
      <c r="A80" s="134" t="s">
        <v>757</v>
      </c>
      <c r="B80" s="135">
        <v>2463657580</v>
      </c>
      <c r="C80" s="135">
        <v>2055420631.21</v>
      </c>
      <c r="D80" s="136">
        <v>0.83429639</v>
      </c>
      <c r="E80" s="136">
        <v>0.83431500000000003</v>
      </c>
      <c r="F80" s="137">
        <v>0.83432899999999999</v>
      </c>
      <c r="G80" s="134" t="s">
        <v>687</v>
      </c>
    </row>
    <row r="81" spans="1:7" x14ac:dyDescent="0.25">
      <c r="A81" s="134" t="s">
        <v>758</v>
      </c>
      <c r="B81" s="135">
        <v>1165600000</v>
      </c>
      <c r="C81" s="135">
        <v>974282885.20000005</v>
      </c>
      <c r="D81" s="136">
        <v>0.83586382999999997</v>
      </c>
      <c r="E81" s="136">
        <v>0.83432899999999999</v>
      </c>
      <c r="F81" s="137">
        <v>0.835897</v>
      </c>
      <c r="G81" s="134" t="s">
        <v>687</v>
      </c>
    </row>
    <row r="82" spans="1:7" x14ac:dyDescent="0.25">
      <c r="A82" s="134" t="s">
        <v>759</v>
      </c>
      <c r="B82" s="135">
        <v>220000000</v>
      </c>
      <c r="C82" s="135">
        <v>184012620</v>
      </c>
      <c r="D82" s="136">
        <v>0.83642099999999997</v>
      </c>
      <c r="E82" s="136">
        <v>0.83584700000000001</v>
      </c>
      <c r="F82" s="137">
        <v>0.83642099999999997</v>
      </c>
      <c r="G82" s="134" t="s">
        <v>687</v>
      </c>
    </row>
    <row r="83" spans="1:7" x14ac:dyDescent="0.25">
      <c r="A83" s="134" t="s">
        <v>760</v>
      </c>
      <c r="B83" s="135">
        <v>750300000</v>
      </c>
      <c r="C83" s="135">
        <v>664248904.5</v>
      </c>
      <c r="D83" s="136">
        <v>0.88531108000000003</v>
      </c>
      <c r="E83" s="136">
        <v>0.88465800000000006</v>
      </c>
      <c r="F83" s="137">
        <v>0.88531899999999997</v>
      </c>
      <c r="G83" s="134" t="s">
        <v>687</v>
      </c>
    </row>
    <row r="84" spans="1:7" x14ac:dyDescent="0.25">
      <c r="A84" s="134" t="s">
        <v>761</v>
      </c>
      <c r="B84" s="135">
        <v>200000000</v>
      </c>
      <c r="C84" s="135">
        <v>177416400</v>
      </c>
      <c r="D84" s="136">
        <v>0.88708200000000004</v>
      </c>
      <c r="E84" s="136">
        <v>0.88528200000000001</v>
      </c>
      <c r="F84" s="137">
        <v>0.88708200000000004</v>
      </c>
      <c r="G84" s="134" t="s">
        <v>687</v>
      </c>
    </row>
    <row r="85" spans="1:7" x14ac:dyDescent="0.25">
      <c r="A85" s="134" t="s">
        <v>762</v>
      </c>
      <c r="B85" s="135">
        <v>1498000</v>
      </c>
      <c r="C85" s="135">
        <v>26544560</v>
      </c>
      <c r="D85" s="136">
        <v>17.72</v>
      </c>
      <c r="E85" s="136">
        <v>0</v>
      </c>
      <c r="F85" s="137">
        <v>17.72</v>
      </c>
      <c r="G85" s="134" t="s">
        <v>693</v>
      </c>
    </row>
    <row r="86" spans="1:7" x14ac:dyDescent="0.25">
      <c r="A86" s="134" t="s">
        <v>763</v>
      </c>
      <c r="B86" s="135">
        <v>500000</v>
      </c>
      <c r="C86" s="135">
        <v>526450</v>
      </c>
      <c r="D86" s="136">
        <v>1.0528999999999999</v>
      </c>
      <c r="E86" s="136">
        <v>1.0528999999999999</v>
      </c>
      <c r="F86" s="137">
        <v>1.0528999999999999</v>
      </c>
      <c r="G86" s="134" t="s">
        <v>687</v>
      </c>
    </row>
    <row r="87" spans="1:7" x14ac:dyDescent="0.25">
      <c r="A87" s="134" t="s">
        <v>764</v>
      </c>
      <c r="B87" s="135">
        <v>2295000</v>
      </c>
      <c r="C87" s="135">
        <v>2284607.1</v>
      </c>
      <c r="D87" s="136">
        <v>0.99547149999999995</v>
      </c>
      <c r="E87" s="136">
        <v>0.99542600000000003</v>
      </c>
      <c r="F87" s="137">
        <v>0.99538000000000004</v>
      </c>
      <c r="G87" s="134" t="s">
        <v>687</v>
      </c>
    </row>
    <row r="88" spans="1:7" x14ac:dyDescent="0.25">
      <c r="A88" s="134" t="s">
        <v>765</v>
      </c>
      <c r="B88" s="135">
        <v>7000000</v>
      </c>
      <c r="C88" s="135">
        <v>6969333</v>
      </c>
      <c r="D88" s="136">
        <v>0.99561900000000003</v>
      </c>
      <c r="E88" s="136">
        <v>0.99576052000000004</v>
      </c>
      <c r="F88" s="137">
        <v>0.99561900000000003</v>
      </c>
      <c r="G88" s="134" t="s">
        <v>687</v>
      </c>
    </row>
    <row r="89" spans="1:7" x14ac:dyDescent="0.25">
      <c r="A89" s="134" t="s">
        <v>766</v>
      </c>
      <c r="B89" s="135">
        <v>4000000</v>
      </c>
      <c r="C89" s="135">
        <v>3968740</v>
      </c>
      <c r="D89" s="136">
        <v>0.99218499999999998</v>
      </c>
      <c r="E89" s="136">
        <v>0</v>
      </c>
      <c r="F89" s="137">
        <v>0.99218499999999998</v>
      </c>
      <c r="G89" s="134" t="s">
        <v>687</v>
      </c>
    </row>
    <row r="90" spans="1:7" x14ac:dyDescent="0.25">
      <c r="A90" s="134" t="s">
        <v>767</v>
      </c>
      <c r="B90" s="135">
        <v>1000000</v>
      </c>
      <c r="C90" s="135">
        <v>990814</v>
      </c>
      <c r="D90" s="136">
        <v>0.99081399999999997</v>
      </c>
      <c r="E90" s="136">
        <v>0.99054500000000001</v>
      </c>
      <c r="F90" s="137">
        <v>0.99081399999999997</v>
      </c>
      <c r="G90" s="134" t="s">
        <v>684</v>
      </c>
    </row>
    <row r="91" spans="1:7" x14ac:dyDescent="0.25">
      <c r="A91" s="134" t="s">
        <v>768</v>
      </c>
      <c r="B91" s="135">
        <v>830798</v>
      </c>
      <c r="C91" s="135">
        <v>822421.06</v>
      </c>
      <c r="D91" s="136">
        <v>0.98991699</v>
      </c>
      <c r="E91" s="136">
        <v>0</v>
      </c>
      <c r="F91" s="137">
        <v>0.98991700000000005</v>
      </c>
      <c r="G91" s="134" t="s">
        <v>684</v>
      </c>
    </row>
    <row r="92" spans="1:7" x14ac:dyDescent="0.25">
      <c r="A92" s="134" t="s">
        <v>769</v>
      </c>
      <c r="B92" s="135">
        <v>76400</v>
      </c>
      <c r="C92" s="135">
        <v>1328596</v>
      </c>
      <c r="D92" s="136">
        <v>17.39</v>
      </c>
      <c r="E92" s="136">
        <v>0</v>
      </c>
      <c r="F92" s="137">
        <v>17.39</v>
      </c>
      <c r="G92" s="134" t="s">
        <v>684</v>
      </c>
    </row>
    <row r="93" spans="1:7" x14ac:dyDescent="0.25">
      <c r="A93" s="134" t="s">
        <v>770</v>
      </c>
      <c r="B93" s="135">
        <v>227882</v>
      </c>
      <c r="C93" s="135">
        <v>227498.01</v>
      </c>
      <c r="D93" s="136">
        <v>0.99831499000000001</v>
      </c>
      <c r="E93" s="136">
        <v>0</v>
      </c>
      <c r="F93" s="137">
        <v>0.99831499999999995</v>
      </c>
      <c r="G93" s="134" t="s">
        <v>684</v>
      </c>
    </row>
    <row r="94" spans="1:7" x14ac:dyDescent="0.25">
      <c r="A94" s="134" t="s">
        <v>771</v>
      </c>
      <c r="B94" s="135">
        <v>260382</v>
      </c>
      <c r="C94" s="135">
        <v>4390040.5199999996</v>
      </c>
      <c r="D94" s="136">
        <v>16.86</v>
      </c>
      <c r="E94" s="136">
        <v>0</v>
      </c>
      <c r="F94" s="137">
        <v>16.86</v>
      </c>
      <c r="G94" s="134" t="s">
        <v>687</v>
      </c>
    </row>
    <row r="95" spans="1:7" x14ac:dyDescent="0.25">
      <c r="A95" s="134" t="s">
        <v>772</v>
      </c>
      <c r="B95" s="135">
        <v>3124582</v>
      </c>
      <c r="C95" s="135">
        <v>3030875.78</v>
      </c>
      <c r="D95" s="136">
        <v>0.97000998999999999</v>
      </c>
      <c r="E95" s="136">
        <v>0</v>
      </c>
      <c r="F95" s="137">
        <v>0.97001000000000004</v>
      </c>
      <c r="G95" s="134" t="s">
        <v>687</v>
      </c>
    </row>
    <row r="96" spans="1:7" x14ac:dyDescent="0.25">
      <c r="A96" s="134" t="s">
        <v>773</v>
      </c>
      <c r="B96" s="135">
        <v>1369306</v>
      </c>
      <c r="C96" s="135">
        <v>1346360.62</v>
      </c>
      <c r="D96" s="136">
        <v>0.98324305999999995</v>
      </c>
      <c r="E96" s="136">
        <v>0</v>
      </c>
      <c r="F96" s="137">
        <v>0.98340300000000003</v>
      </c>
      <c r="G96" s="134" t="s">
        <v>687</v>
      </c>
    </row>
    <row r="97" spans="1:7" x14ac:dyDescent="0.25">
      <c r="A97" s="134" t="s">
        <v>774</v>
      </c>
      <c r="B97" s="135">
        <v>777918</v>
      </c>
      <c r="C97" s="135">
        <v>764633.21</v>
      </c>
      <c r="D97" s="136">
        <v>0.98292263999999996</v>
      </c>
      <c r="E97" s="136">
        <v>0</v>
      </c>
      <c r="F97" s="137">
        <v>0.98280999999999996</v>
      </c>
      <c r="G97" s="134" t="s">
        <v>687</v>
      </c>
    </row>
    <row r="98" spans="1:7" x14ac:dyDescent="0.25">
      <c r="A98" s="134" t="s">
        <v>775</v>
      </c>
      <c r="B98" s="135">
        <v>600000</v>
      </c>
      <c r="C98" s="135">
        <v>591282</v>
      </c>
      <c r="D98" s="136">
        <v>0.98546999999999996</v>
      </c>
      <c r="E98" s="136">
        <v>0.98553999999999997</v>
      </c>
      <c r="F98" s="137">
        <v>0.98546999999999996</v>
      </c>
      <c r="G98" s="134" t="s">
        <v>687</v>
      </c>
    </row>
    <row r="99" spans="1:7" x14ac:dyDescent="0.25">
      <c r="A99" s="134" t="s">
        <v>776</v>
      </c>
      <c r="B99" s="135">
        <v>1000000</v>
      </c>
      <c r="C99" s="135">
        <v>987107.83</v>
      </c>
      <c r="D99" s="136">
        <v>0.98710783000000002</v>
      </c>
      <c r="E99" s="136">
        <v>0.98675400000000002</v>
      </c>
      <c r="F99" s="137">
        <v>0.98710783000000002</v>
      </c>
      <c r="G99" s="134" t="s">
        <v>687</v>
      </c>
    </row>
    <row r="100" spans="1:7" x14ac:dyDescent="0.25">
      <c r="A100" s="134" t="s">
        <v>777</v>
      </c>
      <c r="B100" s="135">
        <v>487000</v>
      </c>
      <c r="C100" s="135">
        <v>484851.84</v>
      </c>
      <c r="D100" s="136">
        <v>0.99558899999999995</v>
      </c>
      <c r="E100" s="136">
        <v>0.99500299999999997</v>
      </c>
      <c r="F100" s="137">
        <v>0.99558899999999995</v>
      </c>
      <c r="G100" s="134" t="s">
        <v>684</v>
      </c>
    </row>
    <row r="101" spans="1:7" x14ac:dyDescent="0.25">
      <c r="A101" s="134" t="s">
        <v>778</v>
      </c>
      <c r="B101" s="135">
        <v>1500000</v>
      </c>
      <c r="C101" s="135">
        <v>1493428.5</v>
      </c>
      <c r="D101" s="136">
        <v>0.99561900000000003</v>
      </c>
      <c r="E101" s="136">
        <v>0.99545907</v>
      </c>
      <c r="F101" s="137">
        <v>0.99561900000000003</v>
      </c>
      <c r="G101" s="134" t="s">
        <v>687</v>
      </c>
    </row>
    <row r="102" spans="1:7" x14ac:dyDescent="0.25">
      <c r="A102" s="134" t="s">
        <v>779</v>
      </c>
      <c r="B102" s="135">
        <v>6000000</v>
      </c>
      <c r="C102" s="135">
        <v>5961784</v>
      </c>
      <c r="D102" s="136">
        <v>0.99363066</v>
      </c>
      <c r="E102" s="136">
        <v>0</v>
      </c>
      <c r="F102" s="137">
        <v>0.99353899999999995</v>
      </c>
      <c r="G102" s="134" t="s">
        <v>687</v>
      </c>
    </row>
    <row r="103" spans="1:7" x14ac:dyDescent="0.25">
      <c r="A103" s="134" t="s">
        <v>780</v>
      </c>
      <c r="B103" s="135">
        <v>1000000</v>
      </c>
      <c r="C103" s="135">
        <v>991875</v>
      </c>
      <c r="D103" s="136">
        <v>0.99187499999999995</v>
      </c>
      <c r="E103" s="136">
        <v>0.99150899999999997</v>
      </c>
      <c r="F103" s="137">
        <v>0.99187499999999995</v>
      </c>
      <c r="G103" s="134" t="s">
        <v>687</v>
      </c>
    </row>
    <row r="104" spans="1:7" x14ac:dyDescent="0.25">
      <c r="A104" s="134" t="s">
        <v>781</v>
      </c>
      <c r="B104" s="135">
        <v>878044</v>
      </c>
      <c r="C104" s="135">
        <v>14735553.91</v>
      </c>
      <c r="D104" s="136">
        <v>16.782250000000001</v>
      </c>
      <c r="E104" s="136">
        <v>0</v>
      </c>
      <c r="F104" s="137">
        <v>16.782250000000001</v>
      </c>
      <c r="G104" s="134" t="s">
        <v>687</v>
      </c>
    </row>
    <row r="105" spans="1:7" x14ac:dyDescent="0.25">
      <c r="A105" s="134" t="s">
        <v>782</v>
      </c>
      <c r="B105" s="135">
        <v>1500000</v>
      </c>
      <c r="C105" s="135">
        <v>1467802.9</v>
      </c>
      <c r="D105" s="136">
        <v>0.97853526000000002</v>
      </c>
      <c r="E105" s="136">
        <v>0.97876200000000002</v>
      </c>
      <c r="F105" s="137">
        <v>0.97921100000000005</v>
      </c>
      <c r="G105" s="134" t="s">
        <v>687</v>
      </c>
    </row>
    <row r="106" spans="1:7" x14ac:dyDescent="0.25">
      <c r="A106" s="134" t="s">
        <v>783</v>
      </c>
      <c r="B106" s="135">
        <v>4000000</v>
      </c>
      <c r="C106" s="135">
        <v>3917696.16</v>
      </c>
      <c r="D106" s="136">
        <v>0.97942404000000005</v>
      </c>
      <c r="E106" s="136">
        <v>0.97808200000000001</v>
      </c>
      <c r="F106" s="137">
        <v>0.97942404000000005</v>
      </c>
      <c r="G106" s="134" t="s">
        <v>687</v>
      </c>
    </row>
    <row r="107" spans="1:7" x14ac:dyDescent="0.25">
      <c r="A107" s="134" t="s">
        <v>784</v>
      </c>
      <c r="B107" s="135">
        <v>660000</v>
      </c>
      <c r="C107" s="135">
        <v>646614.54</v>
      </c>
      <c r="D107" s="136">
        <v>0.97971900000000001</v>
      </c>
      <c r="E107" s="136">
        <v>0</v>
      </c>
      <c r="F107" s="137">
        <v>0.97971900000000001</v>
      </c>
      <c r="G107" s="134" t="s">
        <v>684</v>
      </c>
    </row>
    <row r="108" spans="1:7" x14ac:dyDescent="0.25">
      <c r="A108" s="134" t="s">
        <v>785</v>
      </c>
      <c r="B108" s="135">
        <v>1348636</v>
      </c>
      <c r="C108" s="135">
        <v>1331778.05</v>
      </c>
      <c r="D108" s="136">
        <v>0.98750000000000004</v>
      </c>
      <c r="E108" s="136">
        <v>0.98855700000000002</v>
      </c>
      <c r="F108" s="137">
        <v>0.98750000000000004</v>
      </c>
      <c r="G108" s="134" t="s">
        <v>684</v>
      </c>
    </row>
    <row r="109" spans="1:7" x14ac:dyDescent="0.25">
      <c r="A109" s="134" t="s">
        <v>786</v>
      </c>
      <c r="B109" s="135">
        <v>1000000</v>
      </c>
      <c r="C109" s="135">
        <v>989267</v>
      </c>
      <c r="D109" s="136">
        <v>0.98926700000000001</v>
      </c>
      <c r="E109" s="136">
        <v>0.98862399999999995</v>
      </c>
      <c r="F109" s="137">
        <v>0.98926700000000001</v>
      </c>
      <c r="G109" s="134" t="s">
        <v>684</v>
      </c>
    </row>
    <row r="110" spans="1:7" x14ac:dyDescent="0.25">
      <c r="A110" s="134" t="s">
        <v>787</v>
      </c>
      <c r="B110" s="135">
        <v>1108000</v>
      </c>
      <c r="C110" s="135">
        <v>1105482.1399999999</v>
      </c>
      <c r="D110" s="136">
        <v>0.99772755999999996</v>
      </c>
      <c r="E110" s="136">
        <v>0</v>
      </c>
      <c r="F110" s="137">
        <v>0.99776100000000001</v>
      </c>
      <c r="G110" s="134" t="s">
        <v>687</v>
      </c>
    </row>
    <row r="111" spans="1:7" x14ac:dyDescent="0.25">
      <c r="A111" s="134" t="s">
        <v>788</v>
      </c>
      <c r="B111" s="135">
        <v>600000</v>
      </c>
      <c r="C111" s="135">
        <v>599602.19999999995</v>
      </c>
      <c r="D111" s="136">
        <v>0.99933700000000003</v>
      </c>
      <c r="E111" s="136">
        <v>0</v>
      </c>
      <c r="F111" s="137">
        <v>0.99933700000000003</v>
      </c>
      <c r="G111" s="134" t="s">
        <v>687</v>
      </c>
    </row>
    <row r="112" spans="1:7" x14ac:dyDescent="0.25">
      <c r="A112" s="134" t="s">
        <v>789</v>
      </c>
      <c r="B112" s="135">
        <v>167000</v>
      </c>
      <c r="C112" s="135">
        <v>3203060</v>
      </c>
      <c r="D112" s="136">
        <v>19.18</v>
      </c>
      <c r="E112" s="136">
        <v>0</v>
      </c>
      <c r="F112" s="137">
        <v>19.18</v>
      </c>
      <c r="G112" s="134" t="s">
        <v>684</v>
      </c>
    </row>
    <row r="113" spans="1:7" x14ac:dyDescent="0.25">
      <c r="A113" s="134" t="s">
        <v>790</v>
      </c>
      <c r="B113" s="135">
        <v>4000000</v>
      </c>
      <c r="C113" s="135">
        <v>4472400</v>
      </c>
      <c r="D113" s="136">
        <v>1.1181000000000001</v>
      </c>
      <c r="E113" s="136">
        <v>0</v>
      </c>
      <c r="F113" s="137">
        <v>1.1181000000000001</v>
      </c>
      <c r="G113" s="134" t="s">
        <v>687</v>
      </c>
    </row>
    <row r="114" spans="1:7" x14ac:dyDescent="0.25">
      <c r="A114" s="134" t="s">
        <v>791</v>
      </c>
      <c r="B114" s="135">
        <v>895000</v>
      </c>
      <c r="C114" s="135">
        <v>1046911.93</v>
      </c>
      <c r="D114" s="136">
        <v>1.1697340000000001</v>
      </c>
      <c r="E114" s="136">
        <v>1.1595759999999999</v>
      </c>
      <c r="F114" s="137">
        <v>1.1697340000000001</v>
      </c>
      <c r="G114" s="134" t="s">
        <v>687</v>
      </c>
    </row>
    <row r="115" spans="1:7" x14ac:dyDescent="0.25">
      <c r="A115" s="134" t="s">
        <v>792</v>
      </c>
      <c r="B115" s="135">
        <v>300000</v>
      </c>
      <c r="C115" s="135">
        <v>350220</v>
      </c>
      <c r="D115" s="136">
        <v>1.1674</v>
      </c>
      <c r="E115" s="136">
        <v>0</v>
      </c>
      <c r="F115" s="137">
        <v>1.1715</v>
      </c>
      <c r="G115" s="134" t="s">
        <v>684</v>
      </c>
    </row>
    <row r="116" spans="1:7" x14ac:dyDescent="0.25">
      <c r="A116" s="134" t="s">
        <v>793</v>
      </c>
      <c r="B116" s="135">
        <v>20000000</v>
      </c>
      <c r="C116" s="135">
        <v>20620000</v>
      </c>
      <c r="D116" s="136">
        <v>1.0309999999999999</v>
      </c>
      <c r="E116" s="136">
        <v>0</v>
      </c>
      <c r="F116" s="137">
        <v>1.0309999999999999</v>
      </c>
      <c r="G116" s="134" t="s">
        <v>687</v>
      </c>
    </row>
    <row r="117" spans="1:7" x14ac:dyDescent="0.25">
      <c r="A117" s="134" t="s">
        <v>794</v>
      </c>
      <c r="B117" s="135">
        <v>20000000</v>
      </c>
      <c r="C117" s="135">
        <v>20400000</v>
      </c>
      <c r="D117" s="136">
        <v>1.02</v>
      </c>
      <c r="E117" s="136">
        <v>0</v>
      </c>
      <c r="F117" s="137">
        <v>1.02</v>
      </c>
      <c r="G117" s="134" t="s">
        <v>687</v>
      </c>
    </row>
    <row r="118" spans="1:7" x14ac:dyDescent="0.25">
      <c r="A118" s="134" t="s">
        <v>795</v>
      </c>
      <c r="B118" s="135">
        <v>2000000</v>
      </c>
      <c r="C118" s="135">
        <v>1556000</v>
      </c>
      <c r="D118" s="136">
        <v>0.77800000000000002</v>
      </c>
      <c r="E118" s="136">
        <v>0</v>
      </c>
      <c r="F118" s="137">
        <v>0.77800000000000002</v>
      </c>
      <c r="G118" s="134" t="s">
        <v>684</v>
      </c>
    </row>
    <row r="119" spans="1:7" x14ac:dyDescent="0.25">
      <c r="A119" s="134" t="s">
        <v>796</v>
      </c>
      <c r="B119" s="135">
        <v>13000000</v>
      </c>
      <c r="C119" s="135">
        <v>50270000</v>
      </c>
      <c r="D119" s="136">
        <v>3.8669230699999999</v>
      </c>
      <c r="E119" s="136">
        <v>3.8424999999999998</v>
      </c>
      <c r="F119" s="137">
        <v>3.87</v>
      </c>
      <c r="G119" s="134" t="s">
        <v>687</v>
      </c>
    </row>
    <row r="120" spans="1:7" x14ac:dyDescent="0.25">
      <c r="A120" s="134" t="s">
        <v>797</v>
      </c>
      <c r="B120" s="135">
        <v>28000000</v>
      </c>
      <c r="C120" s="135">
        <v>47985000</v>
      </c>
      <c r="D120" s="136">
        <v>1.7137500000000001</v>
      </c>
      <c r="E120" s="136">
        <v>1.71</v>
      </c>
      <c r="F120" s="137">
        <v>1.7150000000000001</v>
      </c>
      <c r="G120" s="134" t="s">
        <v>687</v>
      </c>
    </row>
    <row r="121" spans="1:7" x14ac:dyDescent="0.25">
      <c r="A121" s="134" t="s">
        <v>798</v>
      </c>
      <c r="B121" s="135">
        <v>4000000</v>
      </c>
      <c r="C121" s="135">
        <v>4180000</v>
      </c>
      <c r="D121" s="136">
        <v>1.0449999999999999</v>
      </c>
      <c r="E121" s="136">
        <v>0</v>
      </c>
      <c r="F121" s="137">
        <v>1.0449999999999999</v>
      </c>
      <c r="G121" s="134" t="s">
        <v>693</v>
      </c>
    </row>
    <row r="122" spans="1:7" x14ac:dyDescent="0.25">
      <c r="A122" s="134" t="s">
        <v>799</v>
      </c>
      <c r="B122" s="135">
        <v>2000000</v>
      </c>
      <c r="C122" s="135">
        <v>35640000</v>
      </c>
      <c r="D122" s="136">
        <v>17.82</v>
      </c>
      <c r="E122" s="136">
        <v>0</v>
      </c>
      <c r="F122" s="137">
        <v>17.82</v>
      </c>
      <c r="G122" s="134" t="s">
        <v>687</v>
      </c>
    </row>
    <row r="123" spans="1:7" x14ac:dyDescent="0.25">
      <c r="A123" s="134" t="s">
        <v>800</v>
      </c>
      <c r="B123" s="135">
        <v>100000</v>
      </c>
      <c r="C123" s="135">
        <v>1815000</v>
      </c>
      <c r="D123" s="136">
        <v>18.149999999999999</v>
      </c>
      <c r="E123" s="136">
        <v>0</v>
      </c>
      <c r="F123" s="137">
        <v>18.149999999999999</v>
      </c>
      <c r="G123" s="134" t="s">
        <v>684</v>
      </c>
    </row>
    <row r="124" spans="1:7" x14ac:dyDescent="0.25">
      <c r="A124" s="134" t="s">
        <v>801</v>
      </c>
      <c r="B124" s="135">
        <v>24000000</v>
      </c>
      <c r="C124" s="135">
        <v>27117000</v>
      </c>
      <c r="D124" s="136">
        <v>1.129875</v>
      </c>
      <c r="E124" s="136">
        <v>1.1225000000000001</v>
      </c>
      <c r="F124" s="137">
        <v>1.1294999999999999</v>
      </c>
      <c r="G124" s="134" t="s">
        <v>687</v>
      </c>
    </row>
    <row r="125" spans="1:7" x14ac:dyDescent="0.25">
      <c r="A125" s="134" t="s">
        <v>802</v>
      </c>
      <c r="B125" s="135">
        <v>2968777</v>
      </c>
      <c r="C125" s="135">
        <v>192765.54</v>
      </c>
      <c r="D125" s="136">
        <v>6.4930950000000001E-2</v>
      </c>
      <c r="E125" s="136">
        <v>0</v>
      </c>
      <c r="F125" s="137">
        <v>6.4930950000000001E-2</v>
      </c>
      <c r="G125" s="134" t="s">
        <v>693</v>
      </c>
    </row>
    <row r="126" spans="1:7" x14ac:dyDescent="0.25">
      <c r="A126" s="134" t="s">
        <v>803</v>
      </c>
      <c r="B126" s="135">
        <v>36000000</v>
      </c>
      <c r="C126" s="135">
        <v>42030000</v>
      </c>
      <c r="D126" s="136">
        <v>1.1675</v>
      </c>
      <c r="E126" s="136">
        <v>0</v>
      </c>
      <c r="F126" s="137">
        <v>1.1675</v>
      </c>
      <c r="G126" s="134" t="s">
        <v>687</v>
      </c>
    </row>
    <row r="127" spans="1:7" x14ac:dyDescent="0.25">
      <c r="A127" s="134" t="s">
        <v>804</v>
      </c>
      <c r="B127" s="135">
        <v>36000000</v>
      </c>
      <c r="C127" s="135">
        <v>42078400</v>
      </c>
      <c r="D127" s="136">
        <v>1.16884444</v>
      </c>
      <c r="E127" s="136">
        <v>0</v>
      </c>
      <c r="F127" s="137">
        <v>1.1689000000000001</v>
      </c>
      <c r="G127" s="134" t="s">
        <v>687</v>
      </c>
    </row>
    <row r="128" spans="1:7" x14ac:dyDescent="0.25">
      <c r="A128" s="134" t="s">
        <v>805</v>
      </c>
      <c r="B128" s="135">
        <v>154570302</v>
      </c>
      <c r="C128" s="135">
        <v>180938308.18000001</v>
      </c>
      <c r="D128" s="136">
        <v>1.1705890800000001</v>
      </c>
      <c r="E128" s="136">
        <v>1.1675</v>
      </c>
      <c r="F128" s="137">
        <v>1.1715</v>
      </c>
      <c r="G128" s="134" t="s">
        <v>687</v>
      </c>
    </row>
    <row r="129" spans="1:7" x14ac:dyDescent="0.25">
      <c r="A129" s="134" t="s">
        <v>806</v>
      </c>
      <c r="B129" s="135">
        <v>200000000</v>
      </c>
      <c r="C129" s="135">
        <v>13500288</v>
      </c>
      <c r="D129" s="136">
        <v>6.7501439999999996E-2</v>
      </c>
      <c r="E129" s="136">
        <v>0</v>
      </c>
      <c r="F129" s="137">
        <v>6.7501439999999996E-2</v>
      </c>
      <c r="G129" s="134" t="s">
        <v>687</v>
      </c>
    </row>
    <row r="130" spans="1:7" x14ac:dyDescent="0.25">
      <c r="A130" s="134" t="s">
        <v>807</v>
      </c>
      <c r="B130" s="135">
        <v>25000000</v>
      </c>
      <c r="C130" s="135">
        <v>26400000</v>
      </c>
      <c r="D130" s="136">
        <v>1.056</v>
      </c>
      <c r="E130" s="136">
        <v>1.056</v>
      </c>
      <c r="F130" s="137">
        <v>1.056</v>
      </c>
      <c r="G130" s="134" t="s">
        <v>684</v>
      </c>
    </row>
    <row r="131" spans="1:7" x14ac:dyDescent="0.25">
      <c r="A131" s="134" t="s">
        <v>808</v>
      </c>
      <c r="B131" s="135">
        <v>54750000</v>
      </c>
      <c r="C131" s="135">
        <v>58121250</v>
      </c>
      <c r="D131" s="136">
        <v>1.0615753400000001</v>
      </c>
      <c r="E131" s="136">
        <v>0</v>
      </c>
      <c r="F131" s="137">
        <v>1.06</v>
      </c>
      <c r="G131" s="134" t="s">
        <v>684</v>
      </c>
    </row>
    <row r="132" spans="1:7" x14ac:dyDescent="0.25">
      <c r="A132" s="134" t="s">
        <v>809</v>
      </c>
      <c r="B132" s="135">
        <v>746962146</v>
      </c>
      <c r="C132" s="135">
        <v>792968134.75999999</v>
      </c>
      <c r="D132" s="136">
        <v>1.0615907899999999</v>
      </c>
      <c r="E132" s="136">
        <v>1.0549999999999999</v>
      </c>
      <c r="F132" s="137">
        <v>1.0575000000000001</v>
      </c>
      <c r="G132" s="134" t="s">
        <v>687</v>
      </c>
    </row>
    <row r="133" spans="1:7" x14ac:dyDescent="0.25">
      <c r="A133" s="134" t="s">
        <v>810</v>
      </c>
      <c r="B133" s="135">
        <v>550971073</v>
      </c>
      <c r="C133" s="135">
        <v>33639129.200000003</v>
      </c>
      <c r="D133" s="136">
        <v>6.1054249999999997E-2</v>
      </c>
      <c r="E133" s="136">
        <v>6.0417859999999997E-2</v>
      </c>
      <c r="F133" s="137">
        <v>6.0860270000000001E-2</v>
      </c>
      <c r="G133" s="134" t="s">
        <v>687</v>
      </c>
    </row>
    <row r="134" spans="1:7" x14ac:dyDescent="0.25">
      <c r="A134" s="134" t="s">
        <v>811</v>
      </c>
      <c r="B134" s="135">
        <v>10000000</v>
      </c>
      <c r="C134" s="135">
        <v>10310000</v>
      </c>
      <c r="D134" s="136">
        <v>1.0309999999999999</v>
      </c>
      <c r="E134" s="136">
        <v>0</v>
      </c>
      <c r="F134" s="137">
        <v>1.0309999999999999</v>
      </c>
      <c r="G134" s="134" t="s">
        <v>684</v>
      </c>
    </row>
    <row r="135" spans="1:7" x14ac:dyDescent="0.25">
      <c r="A135" s="134" t="s">
        <v>812</v>
      </c>
      <c r="B135" s="135">
        <v>4250000</v>
      </c>
      <c r="C135" s="135">
        <v>4318000</v>
      </c>
      <c r="D135" s="136">
        <v>1.016</v>
      </c>
      <c r="E135" s="136">
        <v>0</v>
      </c>
      <c r="F135" s="137">
        <v>1.016</v>
      </c>
      <c r="G135" s="134" t="s">
        <v>684</v>
      </c>
    </row>
    <row r="136" spans="1:7" x14ac:dyDescent="0.25">
      <c r="A136" s="134" t="s">
        <v>813</v>
      </c>
      <c r="B136" s="135">
        <v>25000000</v>
      </c>
      <c r="C136" s="135">
        <v>1454742.5</v>
      </c>
      <c r="D136" s="136">
        <v>5.8189699999999997E-2</v>
      </c>
      <c r="E136" s="136">
        <v>0</v>
      </c>
      <c r="F136" s="137">
        <v>5.8189699999999997E-2</v>
      </c>
      <c r="G136" s="134" t="s">
        <v>693</v>
      </c>
    </row>
    <row r="137" spans="1:7" x14ac:dyDescent="0.25">
      <c r="A137" s="134" t="s">
        <v>814</v>
      </c>
      <c r="B137" s="135">
        <v>61000000</v>
      </c>
      <c r="C137" s="135">
        <v>68965000</v>
      </c>
      <c r="D137" s="136">
        <v>1.13057377</v>
      </c>
      <c r="E137" s="136">
        <v>0</v>
      </c>
      <c r="F137" s="137">
        <v>1.1274999999999999</v>
      </c>
      <c r="G137" s="134" t="s">
        <v>687</v>
      </c>
    </row>
    <row r="138" spans="1:7" x14ac:dyDescent="0.25">
      <c r="A138" s="134" t="s">
        <v>815</v>
      </c>
      <c r="B138" s="135">
        <v>36000000</v>
      </c>
      <c r="C138" s="135">
        <v>40658400</v>
      </c>
      <c r="D138" s="136">
        <v>1.1294</v>
      </c>
      <c r="E138" s="136">
        <v>0</v>
      </c>
      <c r="F138" s="137">
        <v>1.1294</v>
      </c>
      <c r="G138" s="134" t="s">
        <v>687</v>
      </c>
    </row>
    <row r="139" spans="1:7" x14ac:dyDescent="0.25">
      <c r="A139" s="134" t="s">
        <v>816</v>
      </c>
      <c r="B139" s="135">
        <v>37570000</v>
      </c>
      <c r="C139" s="135">
        <v>2431889.94</v>
      </c>
      <c r="D139" s="136">
        <v>6.472957E-2</v>
      </c>
      <c r="E139" s="136">
        <v>0</v>
      </c>
      <c r="F139" s="137">
        <v>6.472957E-2</v>
      </c>
      <c r="G139" s="134" t="s">
        <v>693</v>
      </c>
    </row>
    <row r="140" spans="1:7" x14ac:dyDescent="0.25">
      <c r="A140" s="134" t="s">
        <v>817</v>
      </c>
      <c r="B140" s="135">
        <v>112020000</v>
      </c>
      <c r="C140" s="135">
        <v>6676248.4000000004</v>
      </c>
      <c r="D140" s="136">
        <v>5.9598709999999999E-2</v>
      </c>
      <c r="E140" s="136">
        <v>0</v>
      </c>
      <c r="F140" s="137">
        <v>5.9462880000000003E-2</v>
      </c>
      <c r="G140" s="134" t="s">
        <v>687</v>
      </c>
    </row>
    <row r="141" spans="1:7" x14ac:dyDescent="0.25">
      <c r="A141" s="134" t="s">
        <v>818</v>
      </c>
      <c r="B141" s="135">
        <v>48803040</v>
      </c>
      <c r="C141" s="135">
        <v>54903420</v>
      </c>
      <c r="D141" s="136">
        <v>1.125</v>
      </c>
      <c r="E141" s="136">
        <v>0</v>
      </c>
      <c r="F141" s="137">
        <v>1.125</v>
      </c>
      <c r="G141" s="134" t="s">
        <v>687</v>
      </c>
    </row>
    <row r="142" spans="1:7" x14ac:dyDescent="0.25">
      <c r="A142" s="134" t="s">
        <v>819</v>
      </c>
      <c r="B142" s="135">
        <v>51450000</v>
      </c>
      <c r="C142" s="135">
        <v>3341609.95</v>
      </c>
      <c r="D142" s="136">
        <v>6.4948679999999995E-2</v>
      </c>
      <c r="E142" s="136">
        <v>0</v>
      </c>
      <c r="F142" s="137">
        <v>6.4948679999999995E-2</v>
      </c>
      <c r="G142" s="134" t="s">
        <v>693</v>
      </c>
    </row>
    <row r="143" spans="1:7" x14ac:dyDescent="0.25">
      <c r="A143" s="134" t="s">
        <v>820</v>
      </c>
      <c r="B143" s="135">
        <v>18600000</v>
      </c>
      <c r="C143" s="135">
        <v>21297000</v>
      </c>
      <c r="D143" s="136">
        <v>1.145</v>
      </c>
      <c r="E143" s="136">
        <v>0</v>
      </c>
      <c r="F143" s="137">
        <v>1.145</v>
      </c>
      <c r="G143" s="134" t="s">
        <v>687</v>
      </c>
    </row>
    <row r="144" spans="1:7" x14ac:dyDescent="0.25">
      <c r="A144" s="134" t="s">
        <v>821</v>
      </c>
      <c r="B144" s="135">
        <v>26115000</v>
      </c>
      <c r="C144" s="135">
        <v>1714881.88</v>
      </c>
      <c r="D144" s="136">
        <v>6.5666539999999995E-2</v>
      </c>
      <c r="E144" s="136">
        <v>0</v>
      </c>
      <c r="F144" s="137">
        <v>6.5666539999999995E-2</v>
      </c>
      <c r="G144" s="134" t="s">
        <v>693</v>
      </c>
    </row>
    <row r="145" spans="1:7" x14ac:dyDescent="0.25">
      <c r="A145" s="134" t="s">
        <v>822</v>
      </c>
      <c r="B145" s="135">
        <v>28450000</v>
      </c>
      <c r="C145" s="135">
        <v>28450000</v>
      </c>
      <c r="D145" s="136">
        <v>1</v>
      </c>
      <c r="E145" s="136">
        <v>0</v>
      </c>
      <c r="F145" s="137">
        <v>1</v>
      </c>
      <c r="G145" s="134" t="s">
        <v>693</v>
      </c>
    </row>
    <row r="146" spans="1:7" x14ac:dyDescent="0.25">
      <c r="A146" s="134" t="s">
        <v>823</v>
      </c>
      <c r="B146" s="135">
        <v>103200000</v>
      </c>
      <c r="C146" s="135">
        <v>103974000</v>
      </c>
      <c r="D146" s="136">
        <v>1.0075000000000001</v>
      </c>
      <c r="E146" s="136">
        <v>0</v>
      </c>
      <c r="F146" s="137">
        <v>1.0075000000000001</v>
      </c>
      <c r="G146" s="134" t="s">
        <v>687</v>
      </c>
    </row>
    <row r="147" spans="1:7" x14ac:dyDescent="0.25">
      <c r="A147" s="134" t="s">
        <v>824</v>
      </c>
      <c r="B147" s="135">
        <v>143655000</v>
      </c>
      <c r="C147" s="135">
        <v>8342714.5</v>
      </c>
      <c r="D147" s="136">
        <v>5.8074649999999998E-2</v>
      </c>
      <c r="E147" s="136">
        <v>0</v>
      </c>
      <c r="F147" s="137">
        <v>5.8789630000000002E-2</v>
      </c>
      <c r="G147" s="134" t="s">
        <v>684</v>
      </c>
    </row>
    <row r="148" spans="1:7" x14ac:dyDescent="0.25">
      <c r="A148" s="134" t="s">
        <v>825</v>
      </c>
      <c r="B148" s="135">
        <v>120000</v>
      </c>
      <c r="C148" s="135">
        <v>1758000</v>
      </c>
      <c r="D148" s="136">
        <v>14.65</v>
      </c>
      <c r="E148" s="136">
        <v>0</v>
      </c>
      <c r="F148" s="137">
        <v>14.65</v>
      </c>
      <c r="G148" s="134" t="s">
        <v>687</v>
      </c>
    </row>
    <row r="149" spans="1:7" x14ac:dyDescent="0.25">
      <c r="A149" s="134" t="s">
        <v>826</v>
      </c>
      <c r="B149" s="135">
        <v>660000</v>
      </c>
      <c r="C149" s="135">
        <v>1221000</v>
      </c>
      <c r="D149" s="136">
        <v>1.85</v>
      </c>
      <c r="E149" s="136">
        <v>1.92</v>
      </c>
      <c r="F149" s="137">
        <v>1.85</v>
      </c>
      <c r="G149" s="134" t="s">
        <v>693</v>
      </c>
    </row>
    <row r="150" spans="1:7" x14ac:dyDescent="0.25">
      <c r="A150" s="134" t="s">
        <v>827</v>
      </c>
      <c r="B150" s="135">
        <v>4000000</v>
      </c>
      <c r="C150" s="135">
        <v>4071124</v>
      </c>
      <c r="D150" s="136">
        <v>1.017781</v>
      </c>
      <c r="E150" s="136">
        <v>0</v>
      </c>
      <c r="F150" s="137">
        <v>1.017781</v>
      </c>
      <c r="G150" s="134" t="s">
        <v>693</v>
      </c>
    </row>
    <row r="151" spans="1:7" x14ac:dyDescent="0.25">
      <c r="A151" s="134" t="s">
        <v>828</v>
      </c>
      <c r="B151" s="135">
        <v>7000000</v>
      </c>
      <c r="C151" s="135">
        <v>6599761</v>
      </c>
      <c r="D151" s="136">
        <v>0.94282299999999997</v>
      </c>
      <c r="E151" s="136">
        <v>0</v>
      </c>
      <c r="F151" s="137">
        <v>0.94282299999999997</v>
      </c>
      <c r="G151" s="134" t="s">
        <v>684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4"/>
  <dimension ref="A1:C43"/>
  <sheetViews>
    <sheetView workbookViewId="0">
      <selection activeCell="G1" sqref="G1"/>
    </sheetView>
  </sheetViews>
  <sheetFormatPr baseColWidth="10" defaultRowHeight="15" x14ac:dyDescent="0.25"/>
  <cols>
    <col min="1" max="1" width="41.42578125" bestFit="1" customWidth="1"/>
    <col min="2" max="2" width="15.140625" bestFit="1" customWidth="1"/>
  </cols>
  <sheetData>
    <row r="1" spans="1:3" x14ac:dyDescent="0.25">
      <c r="A1" t="s">
        <v>29</v>
      </c>
      <c r="B1" t="s">
        <v>855</v>
      </c>
      <c r="C1">
        <v>5327</v>
      </c>
    </row>
    <row r="2" spans="1:3" x14ac:dyDescent="0.25">
      <c r="A2" t="s">
        <v>67</v>
      </c>
      <c r="B2" t="s">
        <v>856</v>
      </c>
      <c r="C2">
        <v>52584</v>
      </c>
    </row>
    <row r="3" spans="1:3" x14ac:dyDescent="0.25">
      <c r="A3" t="s">
        <v>120</v>
      </c>
      <c r="B3">
        <v>0</v>
      </c>
      <c r="C3">
        <v>46824</v>
      </c>
    </row>
    <row r="4" spans="1:3" x14ac:dyDescent="0.25">
      <c r="A4" t="s">
        <v>121</v>
      </c>
      <c r="B4">
        <v>0</v>
      </c>
      <c r="C4">
        <v>46825</v>
      </c>
    </row>
    <row r="5" spans="1:3" x14ac:dyDescent="0.25">
      <c r="A5" t="s">
        <v>122</v>
      </c>
      <c r="B5">
        <v>0</v>
      </c>
      <c r="C5">
        <v>46827</v>
      </c>
    </row>
    <row r="6" spans="1:3" x14ac:dyDescent="0.25">
      <c r="A6" t="s">
        <v>25</v>
      </c>
      <c r="B6" t="s">
        <v>857</v>
      </c>
      <c r="C6">
        <v>2571</v>
      </c>
    </row>
    <row r="7" spans="1:3" x14ac:dyDescent="0.25">
      <c r="A7" t="s">
        <v>35</v>
      </c>
      <c r="B7" t="s">
        <v>858</v>
      </c>
      <c r="C7">
        <v>2405</v>
      </c>
    </row>
    <row r="8" spans="1:3" x14ac:dyDescent="0.25">
      <c r="A8" t="s">
        <v>110</v>
      </c>
      <c r="B8" t="s">
        <v>859</v>
      </c>
      <c r="C8">
        <v>38678</v>
      </c>
    </row>
    <row r="9" spans="1:3" x14ac:dyDescent="0.25">
      <c r="A9" t="str">
        <f>+Valuacion!A71</f>
        <v>IMPSA - OMPE11</v>
      </c>
      <c r="B9" t="s">
        <v>860</v>
      </c>
      <c r="C9">
        <v>38679</v>
      </c>
    </row>
    <row r="10" spans="1:3" x14ac:dyDescent="0.25">
      <c r="A10" t="s">
        <v>18</v>
      </c>
      <c r="B10" t="s">
        <v>861</v>
      </c>
      <c r="C10">
        <v>5454</v>
      </c>
    </row>
    <row r="11" spans="1:3" x14ac:dyDescent="0.25">
      <c r="A11" t="s">
        <v>94</v>
      </c>
      <c r="B11" t="s">
        <v>862</v>
      </c>
      <c r="C11">
        <v>90154</v>
      </c>
    </row>
    <row r="12" spans="1:3" x14ac:dyDescent="0.25">
      <c r="A12" t="s">
        <v>40</v>
      </c>
      <c r="B12" t="s">
        <v>863</v>
      </c>
      <c r="C12">
        <v>5462</v>
      </c>
    </row>
    <row r="13" spans="1:3" x14ac:dyDescent="0.25">
      <c r="A13" t="s">
        <v>79</v>
      </c>
      <c r="B13" t="s">
        <v>864</v>
      </c>
      <c r="C13">
        <v>50108</v>
      </c>
    </row>
    <row r="14" spans="1:3" x14ac:dyDescent="0.25">
      <c r="A14" t="s">
        <v>108</v>
      </c>
      <c r="B14" t="s">
        <v>865</v>
      </c>
      <c r="C14">
        <v>50879</v>
      </c>
    </row>
    <row r="15" spans="1:3" x14ac:dyDescent="0.25">
      <c r="A15" t="s">
        <v>13</v>
      </c>
      <c r="B15" t="s">
        <v>866</v>
      </c>
      <c r="C15">
        <v>5467</v>
      </c>
    </row>
    <row r="16" spans="1:3" x14ac:dyDescent="0.25">
      <c r="A16" t="s">
        <v>104</v>
      </c>
      <c r="B16" t="s">
        <v>867</v>
      </c>
      <c r="C16">
        <v>51035</v>
      </c>
    </row>
    <row r="17" spans="1:3" x14ac:dyDescent="0.25">
      <c r="A17" t="s">
        <v>101</v>
      </c>
      <c r="B17" t="s">
        <v>868</v>
      </c>
      <c r="C17">
        <v>51097</v>
      </c>
    </row>
    <row r="18" spans="1:3" x14ac:dyDescent="0.25">
      <c r="A18" t="s">
        <v>90</v>
      </c>
      <c r="B18" t="s">
        <v>869</v>
      </c>
      <c r="C18">
        <v>51296</v>
      </c>
    </row>
    <row r="19" spans="1:3" x14ac:dyDescent="0.25">
      <c r="A19" t="s">
        <v>16</v>
      </c>
      <c r="B19" t="s">
        <v>870</v>
      </c>
      <c r="C19">
        <v>5475</v>
      </c>
    </row>
    <row r="20" spans="1:3" x14ac:dyDescent="0.25">
      <c r="A20" t="s">
        <v>20</v>
      </c>
      <c r="B20" t="s">
        <v>871</v>
      </c>
      <c r="C20">
        <v>5476</v>
      </c>
    </row>
    <row r="21" spans="1:3" x14ac:dyDescent="0.25">
      <c r="A21" t="s">
        <v>70</v>
      </c>
      <c r="B21" t="s">
        <v>872</v>
      </c>
      <c r="C21">
        <v>51350</v>
      </c>
    </row>
    <row r="22" spans="1:3" x14ac:dyDescent="0.25">
      <c r="A22" t="s">
        <v>64</v>
      </c>
      <c r="B22" t="s">
        <v>873</v>
      </c>
      <c r="C22">
        <v>51579</v>
      </c>
    </row>
    <row r="23" spans="1:3" x14ac:dyDescent="0.25">
      <c r="A23" t="s">
        <v>55</v>
      </c>
      <c r="B23" t="s">
        <v>874</v>
      </c>
      <c r="C23">
        <v>51630</v>
      </c>
    </row>
    <row r="24" spans="1:3" x14ac:dyDescent="0.25">
      <c r="A24" t="s">
        <v>32</v>
      </c>
      <c r="B24" t="s">
        <v>875</v>
      </c>
      <c r="C24">
        <v>5315</v>
      </c>
    </row>
    <row r="25" spans="1:3" x14ac:dyDescent="0.25">
      <c r="A25" t="s">
        <v>72</v>
      </c>
      <c r="B25" t="s">
        <v>876</v>
      </c>
      <c r="C25">
        <v>51685</v>
      </c>
    </row>
    <row r="26" spans="1:3" x14ac:dyDescent="0.25">
      <c r="A26" t="s">
        <v>58</v>
      </c>
      <c r="B26" t="s">
        <v>877</v>
      </c>
      <c r="C26">
        <v>51730</v>
      </c>
    </row>
    <row r="27" spans="1:3" x14ac:dyDescent="0.25">
      <c r="A27" t="s">
        <v>60</v>
      </c>
      <c r="B27" t="s">
        <v>878</v>
      </c>
      <c r="C27">
        <v>51734</v>
      </c>
    </row>
    <row r="28" spans="1:3" x14ac:dyDescent="0.25">
      <c r="A28" t="s">
        <v>83</v>
      </c>
      <c r="B28" t="s">
        <v>879</v>
      </c>
      <c r="C28">
        <v>51769</v>
      </c>
    </row>
    <row r="29" spans="1:3" x14ac:dyDescent="0.25">
      <c r="A29" t="s">
        <v>75</v>
      </c>
      <c r="B29" t="s">
        <v>880</v>
      </c>
      <c r="C29">
        <v>51856</v>
      </c>
    </row>
    <row r="30" spans="1:3" x14ac:dyDescent="0.25">
      <c r="A30" t="s">
        <v>92</v>
      </c>
      <c r="B30" t="s">
        <v>881</v>
      </c>
      <c r="C30">
        <v>51863</v>
      </c>
    </row>
    <row r="31" spans="1:3" x14ac:dyDescent="0.25">
      <c r="A31" t="s">
        <v>86</v>
      </c>
      <c r="B31" t="s">
        <v>882</v>
      </c>
      <c r="C31">
        <v>51916</v>
      </c>
    </row>
    <row r="32" spans="1:3" x14ac:dyDescent="0.25">
      <c r="A32" t="s">
        <v>77</v>
      </c>
      <c r="B32" t="s">
        <v>883</v>
      </c>
      <c r="C32">
        <v>51938</v>
      </c>
    </row>
    <row r="33" spans="1:3" x14ac:dyDescent="0.25">
      <c r="A33" t="s">
        <v>82</v>
      </c>
      <c r="B33" t="s">
        <v>884</v>
      </c>
      <c r="C33">
        <v>51988</v>
      </c>
    </row>
    <row r="34" spans="1:3" x14ac:dyDescent="0.25">
      <c r="A34" t="s">
        <v>62</v>
      </c>
      <c r="B34" t="s">
        <v>885</v>
      </c>
      <c r="C34">
        <v>52167</v>
      </c>
    </row>
    <row r="35" spans="1:3" x14ac:dyDescent="0.25">
      <c r="A35" t="s">
        <v>80</v>
      </c>
      <c r="B35" t="s">
        <v>886</v>
      </c>
      <c r="C35">
        <v>52186</v>
      </c>
    </row>
    <row r="36" spans="1:3" x14ac:dyDescent="0.25">
      <c r="A36" t="s">
        <v>48</v>
      </c>
      <c r="B36" t="s">
        <v>887</v>
      </c>
      <c r="C36">
        <v>52259</v>
      </c>
    </row>
    <row r="37" spans="1:3" x14ac:dyDescent="0.25">
      <c r="A37" t="s">
        <v>51</v>
      </c>
      <c r="B37" t="s">
        <v>888</v>
      </c>
      <c r="C37">
        <v>52261</v>
      </c>
    </row>
    <row r="38" spans="1:3" x14ac:dyDescent="0.25">
      <c r="A38" t="s">
        <v>47</v>
      </c>
      <c r="B38" t="s">
        <v>889</v>
      </c>
      <c r="C38">
        <v>52320</v>
      </c>
    </row>
    <row r="39" spans="1:3" x14ac:dyDescent="0.25">
      <c r="A39" t="s">
        <v>23</v>
      </c>
      <c r="B39" t="s">
        <v>890</v>
      </c>
      <c r="C39">
        <v>5480</v>
      </c>
    </row>
    <row r="40" spans="1:3" x14ac:dyDescent="0.25">
      <c r="A40" t="s">
        <v>43</v>
      </c>
      <c r="B40" t="s">
        <v>891</v>
      </c>
      <c r="C40" t="s">
        <v>896</v>
      </c>
    </row>
    <row r="41" spans="1:3" x14ac:dyDescent="0.25">
      <c r="A41" t="s">
        <v>46</v>
      </c>
      <c r="B41" t="s">
        <v>892</v>
      </c>
      <c r="C41">
        <v>52407</v>
      </c>
    </row>
    <row r="42" spans="1:3" x14ac:dyDescent="0.25">
      <c r="A42" t="s">
        <v>53</v>
      </c>
      <c r="B42" t="s">
        <v>893</v>
      </c>
      <c r="C42">
        <v>52435</v>
      </c>
    </row>
    <row r="43" spans="1:3" x14ac:dyDescent="0.25">
      <c r="A43" t="s">
        <v>125</v>
      </c>
      <c r="B43" t="s">
        <v>897</v>
      </c>
      <c r="C43">
        <v>5458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4</vt:i4>
      </vt:variant>
    </vt:vector>
  </HeadingPairs>
  <TitlesOfParts>
    <vt:vector size="4" baseType="lpstr">
      <vt:lpstr>Valuacion</vt:lpstr>
      <vt:lpstr>BCBA</vt:lpstr>
      <vt:lpstr>MAE</vt:lpstr>
      <vt:lpstr>Identidad de Codigos</vt:lpstr>
    </vt:vector>
  </TitlesOfParts>
  <Company>Shiffel Corp.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Veronica Otaegui</dc:creator>
  <cp:lastModifiedBy>Administrador</cp:lastModifiedBy>
  <dcterms:created xsi:type="dcterms:W3CDTF">2017-10-09T13:57:45Z</dcterms:created>
  <dcterms:modified xsi:type="dcterms:W3CDTF">2017-11-17T15:19:57Z</dcterms:modified>
</cp:coreProperties>
</file>