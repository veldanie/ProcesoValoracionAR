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5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Inversiones Internacionales Grupo Sura S.A\Argentina\valoración\tpcg\"/>
    </mc:Choice>
  </mc:AlternateContent>
  <bookViews>
    <workbookView xWindow="240" yWindow="45" windowWidth="28380" windowHeight="12660"/>
  </bookViews>
  <sheets>
    <sheet name="Valuacion" sheetId="1" r:id="rId1"/>
    <sheet name="FCI" sheetId="9" r:id="rId2"/>
    <sheet name="Pos Tit Sura" sheetId="4" r:id="rId3"/>
    <sheet name="Pos PF Sura" sheetId="7" r:id="rId4"/>
    <sheet name="Pos Tit ACG" sheetId="6" r:id="rId5"/>
    <sheet name="Pos PF ACG" sheetId="8" r:id="rId6"/>
    <sheet name="Identidad de Codigos" sheetId="5" r:id="rId7"/>
    <sheet name="Precios para Valuar" sheetId="10" r:id="rId8"/>
  </sheets>
  <definedNames>
    <definedName name="Badlar">Valuacion!$D$103</definedName>
    <definedName name="cccccccccccccc">Valuacion!#REF!</definedName>
    <definedName name="CER">Valuacion!$D$105</definedName>
    <definedName name="dev" localSheetId="5">Valuacion!#REF!</definedName>
    <definedName name="dev" localSheetId="3">Valuacion!#REF!</definedName>
    <definedName name="dev" localSheetId="4">Valuacion!#REF!</definedName>
    <definedName name="Dev">Valuacion!$D$106</definedName>
    <definedName name="inf" localSheetId="5">Valuacion!#REF!</definedName>
    <definedName name="inf" localSheetId="3">Valuacion!#REF!</definedName>
    <definedName name="inf" localSheetId="4">Valuacion!#REF!</definedName>
    <definedName name="inf">Valuacion!#REF!</definedName>
    <definedName name="Tasatm20">Valuacion!$D$104</definedName>
  </definedNames>
  <calcPr calcId="171027"/>
</workbook>
</file>

<file path=xl/calcChain.xml><?xml version="1.0" encoding="utf-8"?>
<calcChain xmlns="http://schemas.openxmlformats.org/spreadsheetml/2006/main">
  <c r="N75" i="1" l="1"/>
  <c r="N74" i="1"/>
  <c r="N73" i="1"/>
  <c r="N72" i="1"/>
  <c r="N71" i="1"/>
  <c r="N70" i="1"/>
  <c r="N69" i="1"/>
  <c r="N93" i="1"/>
  <c r="N92" i="1"/>
  <c r="N91" i="1"/>
  <c r="N79" i="1"/>
  <c r="N78" i="1"/>
  <c r="H97" i="1" l="1"/>
  <c r="H96" i="1"/>
  <c r="H95" i="1"/>
  <c r="H93" i="1"/>
  <c r="H92" i="1"/>
  <c r="H91" i="1"/>
  <c r="H88" i="1"/>
  <c r="H86" i="1"/>
  <c r="H85" i="1"/>
  <c r="H84" i="1"/>
  <c r="H83" i="1"/>
  <c r="H82" i="1"/>
  <c r="H81" i="1"/>
  <c r="H79" i="1"/>
  <c r="H78" i="1"/>
  <c r="H75" i="1"/>
  <c r="H74" i="1"/>
  <c r="H73" i="1"/>
  <c r="H72" i="1"/>
  <c r="H71" i="1"/>
  <c r="H70" i="1"/>
  <c r="H69" i="1"/>
  <c r="P66" i="1"/>
  <c r="P65" i="1"/>
  <c r="P64" i="1"/>
  <c r="Q64" i="1" s="1"/>
  <c r="P62" i="1"/>
  <c r="P51" i="1"/>
  <c r="Q51" i="1" s="1"/>
  <c r="H49" i="1"/>
  <c r="H48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1" i="1"/>
  <c r="H20" i="1"/>
  <c r="H19" i="1"/>
  <c r="H18" i="1"/>
  <c r="H15" i="1"/>
  <c r="H13" i="1"/>
  <c r="H12" i="1"/>
  <c r="H10" i="1"/>
  <c r="H8" i="1"/>
  <c r="H7" i="1"/>
  <c r="H6" i="1"/>
  <c r="R64" i="1"/>
  <c r="T64" i="1" s="1"/>
  <c r="R62" i="1"/>
  <c r="T62" i="1" s="1"/>
  <c r="R61" i="1"/>
  <c r="T61" i="1" s="1"/>
  <c r="P61" i="1"/>
  <c r="Q61" i="1" s="1"/>
  <c r="P67" i="1"/>
  <c r="P63" i="1"/>
  <c r="P60" i="1"/>
  <c r="P59" i="1"/>
  <c r="P58" i="1"/>
  <c r="R60" i="1"/>
  <c r="T60" i="1" s="1"/>
  <c r="D106" i="1"/>
  <c r="R51" i="1" s="1"/>
  <c r="T51" i="1" s="1"/>
  <c r="S64" i="1" l="1"/>
  <c r="Q62" i="1"/>
  <c r="S62" i="1"/>
  <c r="S61" i="1"/>
  <c r="S60" i="1"/>
  <c r="Q60" i="1"/>
  <c r="S51" i="1"/>
  <c r="W36" i="1"/>
  <c r="T36" i="1"/>
  <c r="R36" i="1"/>
  <c r="S36" i="1" s="1"/>
  <c r="P36" i="1" l="1"/>
  <c r="Q36" i="1" s="1"/>
  <c r="I36" i="1"/>
  <c r="W12" i="1" l="1"/>
  <c r="T12" i="1"/>
  <c r="R12" i="1"/>
  <c r="S12" i="1" s="1"/>
  <c r="I12" i="1" l="1"/>
  <c r="P12" i="1"/>
  <c r="Q12" i="1" s="1"/>
  <c r="N88" i="1"/>
  <c r="N86" i="1"/>
  <c r="N85" i="1"/>
  <c r="N84" i="1"/>
  <c r="N83" i="1"/>
  <c r="N15" i="1"/>
  <c r="W48" i="1" l="1"/>
  <c r="T48" i="1"/>
  <c r="R48" i="1"/>
  <c r="S48" i="1" s="1"/>
  <c r="P48" i="1"/>
  <c r="Q48" i="1" s="1"/>
  <c r="I48" i="1"/>
  <c r="W25" i="1" l="1"/>
  <c r="T25" i="1"/>
  <c r="R25" i="1"/>
  <c r="S25" i="1" s="1"/>
  <c r="I25" i="1" l="1"/>
  <c r="P25" i="1"/>
  <c r="Q25" i="1" s="1"/>
  <c r="W39" i="1" l="1"/>
  <c r="T39" i="1"/>
  <c r="R39" i="1"/>
  <c r="S39" i="1" s="1"/>
  <c r="I39" i="1" l="1"/>
  <c r="P39" i="1"/>
  <c r="Q39" i="1" s="1"/>
  <c r="P88" i="1"/>
  <c r="P86" i="1"/>
  <c r="P82" i="1"/>
  <c r="P81" i="1"/>
  <c r="P46" i="1"/>
  <c r="P45" i="1"/>
  <c r="P44" i="1"/>
  <c r="P42" i="1"/>
  <c r="P41" i="1"/>
  <c r="P38" i="1"/>
  <c r="P37" i="1"/>
  <c r="P33" i="1"/>
  <c r="P32" i="1"/>
  <c r="P31" i="1"/>
  <c r="P28" i="1"/>
  <c r="P27" i="1"/>
  <c r="P26" i="1"/>
  <c r="P24" i="1"/>
  <c r="R59" i="1"/>
  <c r="T59" i="1" s="1"/>
  <c r="Q59" i="1"/>
  <c r="R58" i="1"/>
  <c r="R67" i="1"/>
  <c r="Q67" i="1"/>
  <c r="R66" i="1"/>
  <c r="T66" i="1" s="1"/>
  <c r="R65" i="1"/>
  <c r="T65" i="1" s="1"/>
  <c r="Q65" i="1"/>
  <c r="R63" i="1"/>
  <c r="P97" i="1"/>
  <c r="Q97" i="1" s="1"/>
  <c r="P96" i="1"/>
  <c r="Q96" i="1" s="1"/>
  <c r="P95" i="1"/>
  <c r="Q95" i="1" s="1"/>
  <c r="P85" i="1"/>
  <c r="P84" i="1"/>
  <c r="P83" i="1"/>
  <c r="P35" i="1"/>
  <c r="P43" i="1"/>
  <c r="P40" i="1"/>
  <c r="P34" i="1"/>
  <c r="P30" i="1"/>
  <c r="P19" i="1"/>
  <c r="H5" i="1"/>
  <c r="P29" i="1"/>
  <c r="S67" i="1" l="1"/>
  <c r="T67" i="1"/>
  <c r="S63" i="1"/>
  <c r="T63" i="1"/>
  <c r="S58" i="1"/>
  <c r="T58" i="1"/>
  <c r="P5" i="1"/>
  <c r="P6" i="1"/>
  <c r="P13" i="1"/>
  <c r="S59" i="1"/>
  <c r="Q58" i="1"/>
  <c r="S66" i="1"/>
  <c r="Q66" i="1"/>
  <c r="S65" i="1"/>
  <c r="Q63" i="1"/>
  <c r="T88" i="1" l="1"/>
  <c r="T85" i="1"/>
  <c r="T84" i="1"/>
  <c r="T83" i="1"/>
  <c r="T49" i="1"/>
  <c r="T35" i="1"/>
  <c r="T46" i="1"/>
  <c r="T45" i="1"/>
  <c r="T44" i="1"/>
  <c r="T43" i="1"/>
  <c r="T42" i="1"/>
  <c r="T41" i="1"/>
  <c r="T40" i="1"/>
  <c r="T38" i="1"/>
  <c r="T37" i="1"/>
  <c r="T34" i="1"/>
  <c r="T33" i="1"/>
  <c r="T32" i="1"/>
  <c r="T31" i="1"/>
  <c r="T30" i="1"/>
  <c r="T29" i="1"/>
  <c r="T28" i="1"/>
  <c r="T27" i="1"/>
  <c r="T26" i="1"/>
  <c r="T24" i="1"/>
  <c r="T21" i="1"/>
  <c r="T20" i="1"/>
  <c r="T19" i="1"/>
  <c r="T18" i="1"/>
  <c r="T15" i="1"/>
  <c r="T13" i="1"/>
  <c r="T10" i="1"/>
  <c r="T8" i="1"/>
  <c r="T7" i="1"/>
  <c r="T6" i="1"/>
  <c r="T5" i="1"/>
  <c r="W88" i="1" l="1"/>
  <c r="R88" i="1"/>
  <c r="S88" i="1" s="1"/>
  <c r="W86" i="1"/>
  <c r="R86" i="1"/>
  <c r="S86" i="1" s="1"/>
  <c r="W85" i="1"/>
  <c r="R85" i="1"/>
  <c r="S85" i="1" s="1"/>
  <c r="W84" i="1"/>
  <c r="R84" i="1"/>
  <c r="S84" i="1" s="1"/>
  <c r="W83" i="1"/>
  <c r="R83" i="1"/>
  <c r="S83" i="1" s="1"/>
  <c r="W49" i="1"/>
  <c r="R49" i="1"/>
  <c r="S49" i="1" s="1"/>
  <c r="W35" i="1"/>
  <c r="R35" i="1"/>
  <c r="S35" i="1" s="1"/>
  <c r="W46" i="1"/>
  <c r="R46" i="1"/>
  <c r="S46" i="1" s="1"/>
  <c r="W45" i="1"/>
  <c r="R45" i="1"/>
  <c r="S45" i="1" s="1"/>
  <c r="W44" i="1"/>
  <c r="R44" i="1"/>
  <c r="S44" i="1" s="1"/>
  <c r="W43" i="1"/>
  <c r="R43" i="1"/>
  <c r="S43" i="1" s="1"/>
  <c r="W42" i="1"/>
  <c r="R42" i="1"/>
  <c r="S42" i="1" s="1"/>
  <c r="W41" i="1"/>
  <c r="R41" i="1"/>
  <c r="S41" i="1" s="1"/>
  <c r="W40" i="1"/>
  <c r="R40" i="1"/>
  <c r="S40" i="1" s="1"/>
  <c r="W38" i="1"/>
  <c r="R38" i="1"/>
  <c r="S38" i="1" s="1"/>
  <c r="W37" i="1"/>
  <c r="R37" i="1"/>
  <c r="S37" i="1" s="1"/>
  <c r="W34" i="1"/>
  <c r="R34" i="1"/>
  <c r="S34" i="1" s="1"/>
  <c r="W33" i="1"/>
  <c r="R33" i="1"/>
  <c r="S33" i="1" s="1"/>
  <c r="W32" i="1"/>
  <c r="R32" i="1"/>
  <c r="S32" i="1" s="1"/>
  <c r="W31" i="1"/>
  <c r="R31" i="1"/>
  <c r="S31" i="1" s="1"/>
  <c r="W30" i="1"/>
  <c r="R30" i="1"/>
  <c r="S30" i="1" s="1"/>
  <c r="W29" i="1"/>
  <c r="R29" i="1"/>
  <c r="S29" i="1" s="1"/>
  <c r="W28" i="1"/>
  <c r="R28" i="1"/>
  <c r="S28" i="1" s="1"/>
  <c r="W27" i="1"/>
  <c r="R27" i="1"/>
  <c r="S27" i="1" s="1"/>
  <c r="W26" i="1"/>
  <c r="R26" i="1"/>
  <c r="S26" i="1" s="1"/>
  <c r="W24" i="1"/>
  <c r="R24" i="1"/>
  <c r="S24" i="1" s="1"/>
  <c r="W21" i="1"/>
  <c r="R21" i="1"/>
  <c r="S21" i="1" s="1"/>
  <c r="W20" i="1"/>
  <c r="R20" i="1"/>
  <c r="S20" i="1" s="1"/>
  <c r="W19" i="1"/>
  <c r="R19" i="1"/>
  <c r="S19" i="1" s="1"/>
  <c r="W18" i="1"/>
  <c r="R18" i="1"/>
  <c r="S18" i="1" s="1"/>
  <c r="W15" i="1"/>
  <c r="R15" i="1"/>
  <c r="S15" i="1" s="1"/>
  <c r="W13" i="1"/>
  <c r="R13" i="1"/>
  <c r="S13" i="1" s="1"/>
  <c r="W10" i="1"/>
  <c r="R10" i="1"/>
  <c r="S10" i="1" s="1"/>
  <c r="W8" i="1"/>
  <c r="R8" i="1"/>
  <c r="S8" i="1" s="1"/>
  <c r="W7" i="1"/>
  <c r="R7" i="1"/>
  <c r="S7" i="1" s="1"/>
  <c r="W6" i="1"/>
  <c r="R6" i="1"/>
  <c r="S6" i="1" s="1"/>
  <c r="W5" i="1"/>
  <c r="R5" i="1"/>
  <c r="S5" i="1" s="1"/>
  <c r="Q19" i="1"/>
  <c r="E57" i="1" l="1"/>
  <c r="E56" i="1"/>
  <c r="E55" i="1"/>
  <c r="E54" i="1"/>
  <c r="E53" i="1"/>
  <c r="D57" i="1"/>
  <c r="P57" i="1" s="1"/>
  <c r="D56" i="1"/>
  <c r="P56" i="1" s="1"/>
  <c r="D55" i="1"/>
  <c r="P55" i="1" s="1"/>
  <c r="D54" i="1"/>
  <c r="P54" i="1" s="1"/>
  <c r="D53" i="1"/>
  <c r="P53" i="1" s="1"/>
  <c r="P52" i="1"/>
  <c r="A52" i="1"/>
  <c r="A53" i="1"/>
  <c r="A54" i="1"/>
  <c r="A55" i="1"/>
  <c r="A56" i="1"/>
  <c r="A57" i="1"/>
  <c r="Q35" i="1"/>
  <c r="Q33" i="1"/>
  <c r="C33" i="1"/>
  <c r="B33" i="1"/>
  <c r="I33" i="1" l="1"/>
  <c r="R55" i="1"/>
  <c r="S55" i="1" s="1"/>
  <c r="Q55" i="1"/>
  <c r="R56" i="1"/>
  <c r="S56" i="1" s="1"/>
  <c r="Q56" i="1"/>
  <c r="R52" i="1"/>
  <c r="S52" i="1" s="1"/>
  <c r="Q52" i="1"/>
  <c r="R57" i="1"/>
  <c r="S57" i="1" s="1"/>
  <c r="Q57" i="1"/>
  <c r="R53" i="1"/>
  <c r="S53" i="1" s="1"/>
  <c r="Q53" i="1"/>
  <c r="Q54" i="1"/>
  <c r="R54" i="1"/>
  <c r="S54" i="1" s="1"/>
  <c r="T57" i="1" l="1"/>
  <c r="T55" i="1"/>
  <c r="T52" i="1"/>
  <c r="T54" i="1"/>
  <c r="T56" i="1"/>
  <c r="T53" i="1"/>
  <c r="A10" i="5"/>
  <c r="C81" i="1"/>
  <c r="B81" i="1"/>
  <c r="C18" i="1"/>
  <c r="C10" i="1"/>
  <c r="B10" i="1"/>
  <c r="C8" i="1"/>
  <c r="B8" i="1"/>
  <c r="B36" i="1" l="1"/>
  <c r="C36" i="1"/>
  <c r="B12" i="1"/>
  <c r="C12" i="1"/>
  <c r="C48" i="1"/>
  <c r="B48" i="1"/>
  <c r="C25" i="1"/>
  <c r="B25" i="1"/>
  <c r="C88" i="1"/>
  <c r="B39" i="1"/>
  <c r="C39" i="1"/>
  <c r="B28" i="1"/>
  <c r="C29" i="1"/>
  <c r="B31" i="1"/>
  <c r="C26" i="1"/>
  <c r="C46" i="1"/>
  <c r="B6" i="1"/>
  <c r="C32" i="1"/>
  <c r="C7" i="1"/>
  <c r="C41" i="1"/>
  <c r="C37" i="1"/>
  <c r="C44" i="1"/>
  <c r="B24" i="1"/>
  <c r="C82" i="1"/>
  <c r="B27" i="1"/>
  <c r="B30" i="1"/>
  <c r="B34" i="1"/>
  <c r="B38" i="1"/>
  <c r="B42" i="1"/>
  <c r="B45" i="1"/>
  <c r="B49" i="1"/>
  <c r="B83" i="1"/>
  <c r="C6" i="1"/>
  <c r="B7" i="1"/>
  <c r="C27" i="1"/>
  <c r="C30" i="1"/>
  <c r="C34" i="1"/>
  <c r="C38" i="1"/>
  <c r="C42" i="1"/>
  <c r="C45" i="1"/>
  <c r="C49" i="1"/>
  <c r="C83" i="1"/>
  <c r="B40" i="1"/>
  <c r="B43" i="1"/>
  <c r="B84" i="1"/>
  <c r="B5" i="1"/>
  <c r="B13" i="1"/>
  <c r="C24" i="1"/>
  <c r="C28" i="1"/>
  <c r="C31" i="1"/>
  <c r="C40" i="1"/>
  <c r="C43" i="1"/>
  <c r="B86" i="1"/>
  <c r="C5" i="1"/>
  <c r="C13" i="1"/>
  <c r="B26" i="1"/>
  <c r="B29" i="1"/>
  <c r="B32" i="1"/>
  <c r="B37" i="1"/>
  <c r="B41" i="1"/>
  <c r="B44" i="1"/>
  <c r="B46" i="1"/>
  <c r="B82" i="1"/>
  <c r="C86" i="1"/>
  <c r="C84" i="1"/>
  <c r="B85" i="1"/>
  <c r="B15" i="1"/>
  <c r="C15" i="1"/>
  <c r="B35" i="1"/>
  <c r="C35" i="1"/>
  <c r="B88" i="1"/>
  <c r="C21" i="1"/>
  <c r="C19" i="1"/>
  <c r="C20" i="1"/>
  <c r="C85" i="1"/>
  <c r="I8" i="1" l="1"/>
  <c r="I10" i="1"/>
  <c r="P18" i="1"/>
  <c r="Q18" i="1" s="1"/>
  <c r="P8" i="1"/>
  <c r="P10" i="1"/>
  <c r="I35" i="1"/>
  <c r="I24" i="1"/>
  <c r="I13" i="1"/>
  <c r="I6" i="1"/>
  <c r="I5" i="1"/>
  <c r="I85" i="1"/>
  <c r="I84" i="1"/>
  <c r="I43" i="1"/>
  <c r="I31" i="1"/>
  <c r="I86" i="1"/>
  <c r="I45" i="1"/>
  <c r="I34" i="1"/>
  <c r="I82" i="1"/>
  <c r="I41" i="1"/>
  <c r="I29" i="1"/>
  <c r="I81" i="1"/>
  <c r="I40" i="1"/>
  <c r="I28" i="1"/>
  <c r="I83" i="1"/>
  <c r="I42" i="1"/>
  <c r="I30" i="1"/>
  <c r="I46" i="1"/>
  <c r="I37" i="1"/>
  <c r="I88" i="1"/>
  <c r="I26" i="1"/>
  <c r="I49" i="1"/>
  <c r="I38" i="1"/>
  <c r="I27" i="1"/>
  <c r="I44" i="1"/>
  <c r="I32" i="1"/>
  <c r="I7" i="1" l="1"/>
  <c r="P21" i="1"/>
  <c r="Q21" i="1" s="1"/>
  <c r="P7" i="1"/>
  <c r="P20" i="1"/>
  <c r="Q20" i="1" s="1"/>
  <c r="P15" i="1"/>
  <c r="Q15" i="1" s="1"/>
  <c r="I15" i="1"/>
  <c r="P93" i="1"/>
  <c r="Q93" i="1" s="1"/>
  <c r="P91" i="1"/>
  <c r="Q91" i="1" s="1"/>
  <c r="P92" i="1"/>
  <c r="Q92" i="1" s="1"/>
  <c r="P79" i="1"/>
  <c r="Q79" i="1" s="1"/>
  <c r="P78" i="1"/>
  <c r="Q78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l="1"/>
  <c r="Q13" i="1"/>
  <c r="Q82" i="1" l="1"/>
  <c r="Q85" i="1"/>
  <c r="Q81" i="1"/>
  <c r="Q30" i="1"/>
  <c r="Q6" i="1"/>
  <c r="Q8" i="1"/>
  <c r="Q5" i="1"/>
  <c r="Q7" i="1"/>
  <c r="Q40" i="1"/>
  <c r="Q43" i="1" l="1"/>
  <c r="Q83" i="1"/>
  <c r="Q84" i="1"/>
  <c r="Q31" i="1"/>
  <c r="Q28" i="1"/>
  <c r="P49" i="1"/>
  <c r="Q29" i="1"/>
  <c r="Q37" i="1"/>
  <c r="Q34" i="1"/>
  <c r="Q38" i="1"/>
  <c r="Q86" i="1"/>
  <c r="Q45" i="1"/>
  <c r="Q24" i="1"/>
  <c r="Q46" i="1"/>
  <c r="Q41" i="1"/>
  <c r="Q27" i="1"/>
  <c r="Q32" i="1"/>
  <c r="Q44" i="1"/>
  <c r="Q26" i="1"/>
  <c r="Q42" i="1"/>
  <c r="Q49" i="1" l="1"/>
  <c r="P99" i="1"/>
  <c r="D124" i="1" s="1"/>
  <c r="Q88" i="1"/>
  <c r="D119" i="1" l="1"/>
  <c r="D123" i="1"/>
  <c r="D121" i="1"/>
  <c r="D122" i="1"/>
  <c r="D120" i="1"/>
  <c r="D110" i="1"/>
  <c r="D117" i="1"/>
  <c r="D111" i="1"/>
  <c r="D116" i="1"/>
  <c r="D115" i="1"/>
  <c r="D114" i="1"/>
  <c r="D112" i="1"/>
  <c r="D113" i="1"/>
  <c r="U64" i="1"/>
  <c r="U61" i="1"/>
  <c r="U62" i="1"/>
  <c r="U51" i="1"/>
  <c r="U60" i="1"/>
  <c r="U36" i="1"/>
  <c r="Q99" i="1"/>
  <c r="U48" i="1"/>
  <c r="U12" i="1"/>
  <c r="U39" i="1"/>
  <c r="U25" i="1"/>
  <c r="U59" i="1"/>
  <c r="U58" i="1"/>
  <c r="U65" i="1"/>
  <c r="U67" i="1"/>
  <c r="U66" i="1"/>
  <c r="U63" i="1"/>
  <c r="U88" i="1"/>
  <c r="U49" i="1"/>
  <c r="U86" i="1"/>
  <c r="U84" i="1"/>
  <c r="U85" i="1"/>
  <c r="U83" i="1"/>
  <c r="U35" i="1"/>
  <c r="U46" i="1"/>
  <c r="U45" i="1"/>
  <c r="U43" i="1"/>
  <c r="U41" i="1"/>
  <c r="U38" i="1"/>
  <c r="U33" i="1"/>
  <c r="U31" i="1"/>
  <c r="U29" i="1"/>
  <c r="U27" i="1"/>
  <c r="U24" i="1"/>
  <c r="U44" i="1"/>
  <c r="U42" i="1"/>
  <c r="U40" i="1"/>
  <c r="U37" i="1"/>
  <c r="U34" i="1"/>
  <c r="U32" i="1"/>
  <c r="U30" i="1"/>
  <c r="U28" i="1"/>
  <c r="U26" i="1"/>
  <c r="U21" i="1"/>
  <c r="U19" i="1"/>
  <c r="U20" i="1"/>
  <c r="U18" i="1"/>
  <c r="U15" i="1"/>
  <c r="U10" i="1"/>
  <c r="U13" i="1"/>
  <c r="U8" i="1"/>
  <c r="U6" i="1"/>
  <c r="U7" i="1"/>
  <c r="U5" i="1"/>
  <c r="U57" i="1"/>
  <c r="U56" i="1"/>
  <c r="U52" i="1"/>
  <c r="U55" i="1"/>
  <c r="U54" i="1"/>
  <c r="U53" i="1"/>
  <c r="U81" i="1"/>
  <c r="U78" i="1"/>
  <c r="U92" i="1"/>
  <c r="U71" i="1"/>
  <c r="U82" i="1"/>
  <c r="U91" i="1"/>
  <c r="U95" i="1"/>
  <c r="U79" i="1"/>
  <c r="U96" i="1"/>
  <c r="U73" i="1"/>
  <c r="U74" i="1"/>
  <c r="U70" i="1"/>
  <c r="U93" i="1"/>
  <c r="U69" i="1"/>
  <c r="U75" i="1"/>
  <c r="U97" i="1"/>
  <c r="U72" i="1"/>
  <c r="AB97" i="1" l="1"/>
  <c r="AA97" i="1"/>
  <c r="AB96" i="1"/>
  <c r="AA96" i="1"/>
  <c r="AB95" i="1"/>
  <c r="AA95" i="1"/>
  <c r="AB91" i="1"/>
  <c r="AA91" i="1"/>
  <c r="AB92" i="1"/>
  <c r="AA92" i="1"/>
  <c r="AB93" i="1"/>
  <c r="AA93" i="1"/>
  <c r="AB88" i="1"/>
  <c r="AA88" i="1"/>
  <c r="AB83" i="1"/>
  <c r="AA83" i="1"/>
  <c r="AB84" i="1"/>
  <c r="AA84" i="1"/>
  <c r="AB82" i="1"/>
  <c r="AA82" i="1"/>
  <c r="AB85" i="1"/>
  <c r="AA85" i="1"/>
  <c r="AB86" i="1"/>
  <c r="AA86" i="1"/>
  <c r="AB81" i="1"/>
  <c r="AA81" i="1"/>
  <c r="AB79" i="1"/>
  <c r="AA79" i="1"/>
  <c r="AB78" i="1"/>
  <c r="AA78" i="1"/>
  <c r="AB72" i="1"/>
  <c r="AA72" i="1"/>
  <c r="AB74" i="1"/>
  <c r="AA74" i="1"/>
  <c r="AB73" i="1"/>
  <c r="AA73" i="1"/>
  <c r="AB71" i="1"/>
  <c r="AA71" i="1"/>
  <c r="AB75" i="1"/>
  <c r="AA75" i="1"/>
  <c r="AB69" i="1"/>
  <c r="AA69" i="1"/>
  <c r="AB70" i="1"/>
  <c r="AA70" i="1"/>
  <c r="AB63" i="1"/>
  <c r="AA63" i="1"/>
  <c r="AB60" i="1"/>
  <c r="AA60" i="1"/>
  <c r="AB67" i="1"/>
  <c r="AA67" i="1"/>
  <c r="AB62" i="1"/>
  <c r="AA62" i="1"/>
  <c r="AB56" i="1"/>
  <c r="AA56" i="1"/>
  <c r="AB65" i="1"/>
  <c r="AA65" i="1"/>
  <c r="AB61" i="1"/>
  <c r="AA61" i="1"/>
  <c r="AB57" i="1"/>
  <c r="AA57" i="1"/>
  <c r="AB58" i="1"/>
  <c r="AA58" i="1"/>
  <c r="AB64" i="1"/>
  <c r="AA64" i="1"/>
  <c r="AB54" i="1"/>
  <c r="AA54" i="1"/>
  <c r="AB55" i="1"/>
  <c r="AA55" i="1"/>
  <c r="AB66" i="1"/>
  <c r="AA66" i="1"/>
  <c r="AB51" i="1"/>
  <c r="AA51" i="1"/>
  <c r="AB52" i="1"/>
  <c r="AA52" i="1"/>
  <c r="AB53" i="1"/>
  <c r="AA53" i="1"/>
  <c r="AB59" i="1"/>
  <c r="AA59" i="1"/>
  <c r="AB48" i="1"/>
  <c r="AA48" i="1"/>
  <c r="AB49" i="1"/>
  <c r="AA49" i="1"/>
  <c r="AB32" i="1"/>
  <c r="AA32" i="1"/>
  <c r="AB30" i="1"/>
  <c r="AA30" i="1"/>
  <c r="AB44" i="1"/>
  <c r="AA44" i="1"/>
  <c r="AB38" i="1"/>
  <c r="AA38" i="1"/>
  <c r="AB25" i="1"/>
  <c r="AA25" i="1"/>
  <c r="AB24" i="1"/>
  <c r="AA24" i="1"/>
  <c r="AB41" i="1"/>
  <c r="AA41" i="1"/>
  <c r="AB39" i="1"/>
  <c r="AA39" i="1"/>
  <c r="AB34" i="1"/>
  <c r="AA34" i="1"/>
  <c r="AB27" i="1"/>
  <c r="AA27" i="1"/>
  <c r="AB43" i="1"/>
  <c r="AA43" i="1"/>
  <c r="AB37" i="1"/>
  <c r="AA37" i="1"/>
  <c r="AB29" i="1"/>
  <c r="AA29" i="1"/>
  <c r="AB45" i="1"/>
  <c r="AA45" i="1"/>
  <c r="AB26" i="1"/>
  <c r="AA26" i="1"/>
  <c r="AB40" i="1"/>
  <c r="AA40" i="1"/>
  <c r="AB31" i="1"/>
  <c r="AA31" i="1"/>
  <c r="AB46" i="1"/>
  <c r="AA46" i="1"/>
  <c r="AB28" i="1"/>
  <c r="AA28" i="1"/>
  <c r="AB42" i="1"/>
  <c r="AA42" i="1"/>
  <c r="AB33" i="1"/>
  <c r="AA33" i="1"/>
  <c r="AB35" i="1"/>
  <c r="AA35" i="1"/>
  <c r="AB36" i="1"/>
  <c r="AA36" i="1"/>
  <c r="AB18" i="1"/>
  <c r="AA18" i="1"/>
  <c r="AB20" i="1"/>
  <c r="AA20" i="1"/>
  <c r="AB19" i="1"/>
  <c r="AA19" i="1"/>
  <c r="AB21" i="1"/>
  <c r="AA21" i="1"/>
  <c r="AB15" i="1"/>
  <c r="AA15" i="1"/>
  <c r="AB12" i="1"/>
  <c r="AA12" i="1"/>
  <c r="AB13" i="1"/>
  <c r="AA13" i="1"/>
  <c r="AB10" i="1"/>
  <c r="F124" i="1" s="1"/>
  <c r="AA10" i="1"/>
  <c r="E124" i="1" s="1"/>
  <c r="AB8" i="1"/>
  <c r="AA8" i="1"/>
  <c r="AB7" i="1"/>
  <c r="AA7" i="1"/>
  <c r="AB6" i="1"/>
  <c r="AA6" i="1"/>
  <c r="AB5" i="1"/>
  <c r="AA5" i="1"/>
  <c r="S99" i="1"/>
  <c r="T99" i="1"/>
  <c r="E122" i="1" l="1"/>
  <c r="E115" i="1"/>
  <c r="F119" i="1"/>
  <c r="F122" i="1"/>
  <c r="F123" i="1"/>
  <c r="F120" i="1"/>
  <c r="F121" i="1"/>
  <c r="E120" i="1"/>
  <c r="E123" i="1"/>
  <c r="E121" i="1"/>
  <c r="F110" i="1"/>
  <c r="F117" i="1"/>
  <c r="F114" i="1"/>
  <c r="F116" i="1"/>
  <c r="F115" i="1"/>
  <c r="F112" i="1"/>
  <c r="F111" i="1"/>
  <c r="F113" i="1"/>
  <c r="E117" i="1"/>
  <c r="E114" i="1"/>
  <c r="E112" i="1"/>
  <c r="E116" i="1"/>
  <c r="E111" i="1"/>
  <c r="E113" i="1"/>
  <c r="E110" i="1"/>
  <c r="E119" i="1"/>
</calcChain>
</file>

<file path=xl/sharedStrings.xml><?xml version="1.0" encoding="utf-8"?>
<sst xmlns="http://schemas.openxmlformats.org/spreadsheetml/2006/main" count="862" uniqueCount="345">
  <si>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</si>
  <si>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</si>
  <si>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</si>
  <si>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</si>
  <si>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</si>
  <si>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</si>
  <si>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</si>
  <si>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</si>
  <si>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</si>
  <si>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</si>
  <si>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Sovereign</t>
  </si>
  <si>
    <t>FRN Badlar rate</t>
  </si>
  <si>
    <t>Argentina Government - AO17P</t>
  </si>
  <si>
    <t>BAD</t>
  </si>
  <si>
    <t>Argentina Government - AMX8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</si>
  <si>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</si>
  <si>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</si>
  <si>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</si>
  <si>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</si>
  <si>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</si>
  <si>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</si>
  <si>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</si>
  <si>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</si>
  <si>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</si>
  <si>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</si>
  <si>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</si>
  <si>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</si>
  <si>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</si>
  <si>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</si>
  <si>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</si>
  <si>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</si>
  <si>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</si>
  <si>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</si>
  <si>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CER</t>
  </si>
  <si>
    <t>USD (hard and linked)</t>
  </si>
  <si>
    <t>Argentina Government - AM18</t>
  </si>
  <si>
    <t>USD</t>
  </si>
  <si>
    <t>Argentina Government - A2E2D</t>
  </si>
  <si>
    <t>Fondo Lombard Capital</t>
  </si>
  <si>
    <t>Corporate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</si>
  <si>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</si>
  <si>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</si>
  <si>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</si>
  <si>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</si>
  <si>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</si>
  <si>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</si>
  <si>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</si>
  <si>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</si>
  <si>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</si>
  <si>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</si>
  <si>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BBVA - BFCLO</t>
  </si>
  <si>
    <t>B+3.23%</t>
  </si>
  <si>
    <t>B+2.78%</t>
  </si>
  <si>
    <t>GPAT Compañía Financiera - GPRBO</t>
  </si>
  <si>
    <t>B+3.44%</t>
  </si>
  <si>
    <t>GPAT Compañía Financiera - GPOBO</t>
  </si>
  <si>
    <t>B+3.50%</t>
  </si>
  <si>
    <t>GPAT Compañía Financiera - GPUBO</t>
  </si>
  <si>
    <t>B+3.97%</t>
  </si>
  <si>
    <t>Schroder Desarrollo y Crecimiento Clase A</t>
  </si>
  <si>
    <t>Tarjetas Cuyanas Clase 25 - TCQ2O</t>
  </si>
  <si>
    <t>B+3.94</t>
  </si>
  <si>
    <t>Gainvest Infraestructura - Clase A</t>
  </si>
  <si>
    <t>Tarjeta Naranja - T352O</t>
  </si>
  <si>
    <t>B+3.99%</t>
  </si>
  <si>
    <t>B+4.0%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</si>
  <si>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</si>
  <si>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</si>
  <si>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</si>
  <si>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</si>
  <si>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</si>
  <si>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</si>
  <si>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</si>
  <si>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</si>
  <si>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B+2.9%</t>
  </si>
  <si>
    <t>Lombard Renta en Pesos</t>
  </si>
  <si>
    <t>TOYOTA CIA FIN. CLASE 20  - TYCLO</t>
  </si>
  <si>
    <t>B+2.95%</t>
  </si>
  <si>
    <t>YPF S.A. - YPCUO</t>
  </si>
  <si>
    <t>C+2.75%</t>
  </si>
  <si>
    <t>Term Deposits</t>
  </si>
  <si>
    <t>ARS</t>
  </si>
  <si>
    <t>Premier Abierto Pymes - Clase A</t>
  </si>
  <si>
    <t>Mutual Funds</t>
  </si>
  <si>
    <t>Goal Capital Plus Pesos B</t>
  </si>
  <si>
    <t>OPTIMUM RENTA FIJA ARGENTINA Unico</t>
  </si>
  <si>
    <t>Fima Ahorro Plus C $</t>
  </si>
  <si>
    <t>Regulatory Requirement - Item K</t>
  </si>
  <si>
    <t>Schroder Infraestructura</t>
  </si>
  <si>
    <t>YPF S.A. - YCA8O</t>
  </si>
  <si>
    <t>Corporate Bonds FRN</t>
  </si>
  <si>
    <t>IMPSA - OMPE10</t>
  </si>
  <si>
    <t>IMPSA - OMPE11</t>
  </si>
  <si>
    <t>BLAR + 0%</t>
  </si>
  <si>
    <t>Corporate Bonds USD</t>
  </si>
  <si>
    <t>Regulatory Requirement - Item L</t>
  </si>
  <si>
    <t>Provisions</t>
  </si>
  <si>
    <t>Cash</t>
  </si>
  <si>
    <t>BCRA</t>
  </si>
  <si>
    <t>Seguros Sura</t>
  </si>
  <si>
    <t>Bills</t>
  </si>
  <si>
    <t>zero coupon</t>
  </si>
  <si>
    <t>ACG</t>
  </si>
  <si>
    <t>Argentina Government - AY24</t>
  </si>
  <si>
    <t>YTM o Margen</t>
  </si>
  <si>
    <t>Fuente de Precios</t>
  </si>
  <si>
    <t>ARARGE3204M0</t>
  </si>
  <si>
    <t>ARGPAT5600E6</t>
  </si>
  <si>
    <t>ON GPAT CIA.FIN.28 CL.B. V.27/</t>
  </si>
  <si>
    <t>ARARGE03G621</t>
  </si>
  <si>
    <t>ARBNAC030255</t>
  </si>
  <si>
    <t>BONOS GARANTIZADOS DEC 1579/02</t>
  </si>
  <si>
    <t>ARIPSA050207</t>
  </si>
  <si>
    <t>ON IND MET PESCARMONA CL10 $</t>
  </si>
  <si>
    <t>ARIPSA050215</t>
  </si>
  <si>
    <t>ON IND MET PESCARMONA CL11 U$S</t>
  </si>
  <si>
    <t>ARARGE03H348</t>
  </si>
  <si>
    <t>USP989MJAY76</t>
  </si>
  <si>
    <t>ON YPF SA CL 28 Vto 4/4/2024</t>
  </si>
  <si>
    <t>ARARGE320093</t>
  </si>
  <si>
    <t>ARYPFS560010</t>
  </si>
  <si>
    <t>O.N. YPF S.A. CLASE 36 $ ESC.</t>
  </si>
  <si>
    <t>ARYPFS560085</t>
  </si>
  <si>
    <t>O.N. YPF S.A. CLASE 41 $ ESC</t>
  </si>
  <si>
    <t>ARARGE3200T3</t>
  </si>
  <si>
    <t>ARPANE560055</t>
  </si>
  <si>
    <t>ON PAN AMERICAN ENERGY 7</t>
  </si>
  <si>
    <t>ARPANE560063</t>
  </si>
  <si>
    <t>ON PAN AMERICAN ENERGY 8 $ CG.</t>
  </si>
  <si>
    <t>ARTCFA5600A4</t>
  </si>
  <si>
    <t>ON TOYOTA CIA.FIN. 18 $</t>
  </si>
  <si>
    <t>ARARGE3201A1</t>
  </si>
  <si>
    <t>BONO NACION ARG $ BADLAR+275</t>
  </si>
  <si>
    <t>ARARGE3201B9</t>
  </si>
  <si>
    <t>BONO NACION ARG $ BADLAR+325</t>
  </si>
  <si>
    <t>ARJDCC560022</t>
  </si>
  <si>
    <t>ON JHON DEERE CRED CIA FIN 6 $</t>
  </si>
  <si>
    <t>ARGPAT560065</t>
  </si>
  <si>
    <t>ARITAU560074</t>
  </si>
  <si>
    <t>O.N. BCO. ITAU CL19 V 13/07/19</t>
  </si>
  <si>
    <t>ARARGE320283</t>
  </si>
  <si>
    <t>ARTACU5600D7</t>
  </si>
  <si>
    <t>ON T.CUYANAS C25 S2 V 26/07/20</t>
  </si>
  <si>
    <t>ARFRAN560094</t>
  </si>
  <si>
    <t>ON BBVA BCO.FRANCES C 20</t>
  </si>
  <si>
    <t>ARFICR560057</t>
  </si>
  <si>
    <t>ON FCA COMP.FINAN. CL.11</t>
  </si>
  <si>
    <t>ARROMB560069</t>
  </si>
  <si>
    <t>ON ROMBO CIA.FIN. S.33</t>
  </si>
  <si>
    <t>ARTANA5600C8</t>
  </si>
  <si>
    <t>ON TARJETA NARANJA C.35 S.2 $</t>
  </si>
  <si>
    <t>ARTCFA5600E6</t>
  </si>
  <si>
    <t>ON TOYOTA CIA.FIN.20 28/9/18 $</t>
  </si>
  <si>
    <t>ARTACU5600F2</t>
  </si>
  <si>
    <t>ON TARJETAS CUYANAS 26 S2 V24/</t>
  </si>
  <si>
    <t>ARROMB5600A7</t>
  </si>
  <si>
    <t>ON ROMBO CIA.FIN. S.35 V.28/10</t>
  </si>
  <si>
    <t>ARTELM560034</t>
  </si>
  <si>
    <t>ON TELECOM PERSONAL SERIE III</t>
  </si>
  <si>
    <t>ARGPAT5600A4</t>
  </si>
  <si>
    <t>ON GPAT CIA.FIN.26 CL.B. V.24/</t>
  </si>
  <si>
    <t>ARROMB5600B5</t>
  </si>
  <si>
    <t>ON ROMBO CIA.FIN. S.36 V.30/01</t>
  </si>
  <si>
    <t>ARBHIP5600O4</t>
  </si>
  <si>
    <t>ON BCO.HIPOTECARIO CL. 42 V.20</t>
  </si>
  <si>
    <t>ARBRIO5600D9</t>
  </si>
  <si>
    <t>ON BCO.SANTANDER RIO CL.17 V.2</t>
  </si>
  <si>
    <t>ARBRIO5600F4</t>
  </si>
  <si>
    <t>ON BCO.SANTANDER RIO CL.19 V.3</t>
  </si>
  <si>
    <t>ARARGE3203R1</t>
  </si>
  <si>
    <t>US040114HK99</t>
  </si>
  <si>
    <t>BONO REP. ARGENTINA USD 5,625%</t>
  </si>
  <si>
    <t>ARARCS560050</t>
  </si>
  <si>
    <t>O.N. ARCOR S.A.I.C. CL.11 V.03</t>
  </si>
  <si>
    <t>ARBHIP5600P1</t>
  </si>
  <si>
    <t>ON BCO.HIPOTECARIO CL.43 V.08/</t>
  </si>
  <si>
    <t>ISIN</t>
  </si>
  <si>
    <t>Codigo de Caja</t>
  </si>
  <si>
    <t>ARARGE03H413</t>
  </si>
  <si>
    <t>N</t>
  </si>
  <si>
    <t>BANCO DE GALICIA Y BS AS</t>
  </si>
  <si>
    <t>BANCO ITAU ARGENTINA SA</t>
  </si>
  <si>
    <t>BBVA BANCO FRANCES SA</t>
  </si>
  <si>
    <t>BCO.PATAGONIA SA</t>
  </si>
  <si>
    <t>STANDARD BANK ARGENTINA SA</t>
  </si>
  <si>
    <t>RSAI</t>
  </si>
  <si>
    <t>Timestamp</t>
  </si>
  <si>
    <t>Net Asset Value</t>
  </si>
  <si>
    <t>John Deere Clase 6 - JHC6O</t>
  </si>
  <si>
    <t>TOYOTA CIA FIN. CLASE 18 - TYCJO</t>
  </si>
  <si>
    <t>BONOS DEL TESORO $ TPM V.2020</t>
  </si>
  <si>
    <t>LEBAC INT $ V.18/04/18 273dias</t>
  </si>
  <si>
    <t>LEBAC INT $ V.16/05/18 273dias</t>
  </si>
  <si>
    <t>LEBAC INT $ V.21/06/18 274dias</t>
  </si>
  <si>
    <t>ARGPAT5600H9</t>
  </si>
  <si>
    <t>ON GPAT C FIN 30 CL B 5/10/18</t>
  </si>
  <si>
    <t>LEBAC INT $ V.18/07/18 273dias</t>
  </si>
  <si>
    <t>ARROBE560051</t>
  </si>
  <si>
    <t>ON HSBC ARG. CL. 7 V.07/12/20</t>
  </si>
  <si>
    <t>BONOS DE CONSOLIDACION SERIE 8</t>
  </si>
  <si>
    <t>BONO NAC ARG $ TBADLAR V.2019</t>
  </si>
  <si>
    <t>BONO NACION ARG. U$S 2.4% 2018</t>
  </si>
  <si>
    <t>ON GPAT CIA. FIN. S.23 Cl. "B"</t>
  </si>
  <si>
    <t>BONO TES NAC 2,5% $ 22/07/21</t>
  </si>
  <si>
    <t>BONO NACION ARG. $ BADLAR+200</t>
  </si>
  <si>
    <t>CESVI0000001</t>
  </si>
  <si>
    <t>CESVI ARGENTINA S.A.</t>
  </si>
  <si>
    <t>SSN570000001</t>
  </si>
  <si>
    <t>FORESTADORA SAN JAVIER S.A.</t>
  </si>
  <si>
    <t>copiar y pegar de Historia Precios Sura.xls</t>
  </si>
  <si>
    <t>Valuado</t>
  </si>
  <si>
    <t>Operado</t>
  </si>
  <si>
    <t>Precio</t>
  </si>
  <si>
    <t>Ruta</t>
  </si>
  <si>
    <t>Cashflow</t>
  </si>
  <si>
    <t>Codigo</t>
  </si>
  <si>
    <t>Mercado</t>
  </si>
  <si>
    <t>TIR o Margen</t>
  </si>
  <si>
    <t>K:\BondsBase\Cash Flows\Argentina\Sovereign\BODEN\</t>
  </si>
  <si>
    <t>x</t>
  </si>
  <si>
    <t>mas Badlar</t>
  </si>
  <si>
    <t>devengado</t>
  </si>
  <si>
    <t>BOCAN 2019 Badlar + 250.xlsm</t>
  </si>
  <si>
    <t>IAMC</t>
  </si>
  <si>
    <t>Bonar 2020 Badlar + 325.xlsm</t>
  </si>
  <si>
    <t>Bocan 2022 Badlar + 200.xlsm</t>
  </si>
  <si>
    <t>K:\BondsBase\Cash Flows\Argentina\Sovereign\Bocones\Bocones Nuevos\</t>
  </si>
  <si>
    <t>PR15.xlsm</t>
  </si>
  <si>
    <t>Bonar 2020 Repo.xlsm</t>
  </si>
  <si>
    <t>mas Inflacion Esperada</t>
  </si>
  <si>
    <t>K:\BondsBase\Cash Flows\Argentina\Sovereign\CER\</t>
  </si>
  <si>
    <t>BONCER 2021.xlsm</t>
  </si>
  <si>
    <t>mas Devaluacion Esperada</t>
  </si>
  <si>
    <t>Argentina 2022 5.625% USD.xlsm</t>
  </si>
  <si>
    <t>K:\BondsBase\Cash Flows\Argentina\Corporate\Corp Badlar\</t>
  </si>
  <si>
    <t>Banco Hipotecario 2020 Badlar + 320.xlsm</t>
  </si>
  <si>
    <t>Banco Santander Río 2020 Badlar + 277.xlsm</t>
  </si>
  <si>
    <t>VT</t>
  </si>
  <si>
    <t>Banco Santander Río 2020 Badlar + 247.xlsm</t>
  </si>
  <si>
    <t>Banco Santander Río 2019 Badlar + 399.xlsm</t>
  </si>
  <si>
    <t>Banco Frances 2019 Badlar + 323 - Clase 20.xlsm</t>
  </si>
  <si>
    <t>FCA Compania Financiera 2018 Badlar + 278 - FTCBO.xlsm</t>
  </si>
  <si>
    <t>GPAT 2019 Badlar + 344 - Serie XXVI.xlsm</t>
  </si>
  <si>
    <t>GPAT 2019 Badlar + 350 - Serie XXIII.xlsm</t>
  </si>
  <si>
    <t>GPAT 2020 Badlar + 397 - Serie XXVIII.xlsm</t>
  </si>
  <si>
    <t>GPAT 2020 Badlar + 417 - Serie XXX.xlsm</t>
  </si>
  <si>
    <t>John Deere B+420 2018.xlsm</t>
  </si>
  <si>
    <t>Tarjetas Cuyanas 2020 Badlar + 394 - Clase 25 Serie 2.xlsm</t>
  </si>
  <si>
    <t>Tarjeta Naranja 2020 Badlar + 399 - Clase 35 Serie II.xlsm</t>
  </si>
  <si>
    <t>Rombo Cia Financiera 2019 Badlar + 400 Serie 35.xlsm</t>
  </si>
  <si>
    <t>Rombo Cia Financiera 2019 Badlar + 324 Serie 36.xlsm</t>
  </si>
  <si>
    <t>Rombo Cia Financiera 2019 Badlar + 324 Serie 33.xlsm</t>
  </si>
  <si>
    <t>Arcor 2021 Badlar + 299 - Clase xi.xlsm</t>
  </si>
  <si>
    <t>Tarjetas Cuyanas 2020 Badlar + 400 - Clase 26 Serie 2.xlsm</t>
  </si>
  <si>
    <t>Telecom 2018 Badlar + 290 - Serie III.xlsm</t>
  </si>
  <si>
    <t>Toyota 2018 Badlar + 295.xlsm</t>
  </si>
  <si>
    <t>K:\BondsBase\Cash Flows\Argentina\Corporate\</t>
  </si>
  <si>
    <t>BHIP  UVA 2,75% 2020.xlsm</t>
  </si>
  <si>
    <t>YPF 2020 Badlar + 474 Clase XXXVI.xlsm</t>
  </si>
  <si>
    <t>Pan American Energy 2020 B+0 - Clase 7 Inciso K.xlsm</t>
  </si>
  <si>
    <t>Pan American Energy 2020 B+0 - Clase 8 Inciso K.xlsm</t>
  </si>
  <si>
    <t>YPF 2020 Badlar + 0 Clase XLI - Inciso K.xlsm</t>
  </si>
  <si>
    <t>ypf 2024.xlsm</t>
  </si>
  <si>
    <t>MAE</t>
  </si>
  <si>
    <t>K:\BondsBase\Cash Flows\Argentina\Corporate\TM20\</t>
  </si>
  <si>
    <t>HSBC 2020.xlsm</t>
  </si>
  <si>
    <t>Duration</t>
  </si>
  <si>
    <t>Badlar</t>
  </si>
  <si>
    <t>Inflacion esperada</t>
  </si>
  <si>
    <t>Devaluacion esperada</t>
  </si>
  <si>
    <t>Informacion Adicional:</t>
  </si>
  <si>
    <t>D+5,625%</t>
  </si>
  <si>
    <t>Banco de Galicia y Buenos Aires S.A.</t>
  </si>
  <si>
    <t>BBVA – Banco Francés S.A.</t>
  </si>
  <si>
    <t>Banco Santander Río S.A.</t>
  </si>
  <si>
    <t>Updated at 18:01:58</t>
  </si>
  <si>
    <t>SURA</t>
  </si>
  <si>
    <t>Sovereign / Government guaranteed</t>
  </si>
  <si>
    <t>Industry</t>
  </si>
  <si>
    <t>Price MO</t>
  </si>
  <si>
    <t>BCRA Bill - 16/05/2018</t>
  </si>
  <si>
    <t>Central Bank</t>
  </si>
  <si>
    <t>BCRA Bill - 21/06/2018</t>
  </si>
  <si>
    <t>BCRA Bill - 18/07/2018</t>
  </si>
  <si>
    <t>BCRA Bill - 18/04/2018</t>
  </si>
  <si>
    <t>Banks</t>
  </si>
  <si>
    <t>BANCO HIPOTECARIO NACIONAL XLII - BH49O</t>
  </si>
  <si>
    <t>FCA Compañía Financiera - FTB10</t>
  </si>
  <si>
    <t>Financials (Non-Banks)</t>
  </si>
  <si>
    <t>GPAT Compañía Financiera - GPWBO</t>
  </si>
  <si>
    <t>B+4.17%</t>
  </si>
  <si>
    <t>HSBC Bank Argentina S.A. - HSC7O</t>
  </si>
  <si>
    <t>ICBC Argentina S.A. - NDC7O</t>
  </si>
  <si>
    <t>PSA Finance - PSSRO</t>
  </si>
  <si>
    <t>Rombo Compañía Financiera - RMB35</t>
  </si>
  <si>
    <t>Arcor S.A.I.C - RC11O</t>
  </si>
  <si>
    <t>ICBC Argentina S.A.</t>
  </si>
  <si>
    <t>Industrials</t>
  </si>
  <si>
    <t>YPF S.A. - OYPF36</t>
  </si>
  <si>
    <t>Pan American Energy VII</t>
  </si>
  <si>
    <t>Pan American Energy VIII</t>
  </si>
  <si>
    <t>ARPSAF560083</t>
  </si>
  <si>
    <t>TM20</t>
  </si>
  <si>
    <t>PSA 2020 TM20+275 - PSSRO.xlsm</t>
  </si>
  <si>
    <t>TM+2,75%</t>
  </si>
  <si>
    <t>TM+4.2%</t>
  </si>
  <si>
    <t>ARBHIP5600W7</t>
  </si>
  <si>
    <t>B+3,60%</t>
  </si>
  <si>
    <t>Banco Hipotecario 2020 Badlar + 360.xlsm</t>
  </si>
  <si>
    <t>ICBC UVA  2020.xlsm</t>
  </si>
  <si>
    <t>ARBBOS560053</t>
  </si>
  <si>
    <t>Bolsa</t>
  </si>
  <si>
    <t>Mutual Fund</t>
  </si>
  <si>
    <t>Market Value USD</t>
  </si>
  <si>
    <t>Comentario</t>
  </si>
  <si>
    <t>Argentina Government - A2M2P</t>
  </si>
  <si>
    <t>BOGATO 0320.xlsm</t>
  </si>
  <si>
    <t>ARARGE3205N5</t>
  </si>
  <si>
    <t>Max(21%;C+4%)</t>
  </si>
  <si>
    <t>C+2.50%</t>
  </si>
  <si>
    <t>HSBC Bank Argentina S.A. - HSC9O</t>
  </si>
  <si>
    <t>TM+2,65%</t>
  </si>
  <si>
    <t>Rating</t>
  </si>
  <si>
    <t>AA(arg) - FIX SCR SA</t>
  </si>
  <si>
    <t>Aaa.ar - Moodys Latin America</t>
  </si>
  <si>
    <t>AAA(arg) perspectiva estable - FIX SCR SA</t>
  </si>
  <si>
    <t>AAA(arg) - FIX SCR SA</t>
  </si>
  <si>
    <t>Aa3.ar - Moodys Latin America</t>
  </si>
  <si>
    <t>AA-(arg) - FIX SCR SA</t>
  </si>
  <si>
    <t>AA+(arg) - FIX SCR SA</t>
  </si>
  <si>
    <t>Default</t>
  </si>
  <si>
    <t>A-bf.ar - Moodys Latin America</t>
  </si>
  <si>
    <t>BBB+f(arg) - FIX SCR SA</t>
  </si>
  <si>
    <t>Banco Supervielle</t>
  </si>
  <si>
    <t/>
  </si>
  <si>
    <t>B+ - S&amp;P</t>
  </si>
  <si>
    <t>B2 - Moodys</t>
  </si>
  <si>
    <t>Dur</t>
  </si>
  <si>
    <t>CA</t>
  </si>
  <si>
    <t>Share</t>
  </si>
  <si>
    <t>I18A8</t>
  </si>
  <si>
    <t>I16Y8</t>
  </si>
  <si>
    <t>I21J8</t>
  </si>
  <si>
    <t>I18L8</t>
  </si>
  <si>
    <t>Price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</si>
</sst>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3">
    <numFmt numFmtId="164" formatCode="_-* #,##0.00\ _€_-;\-* #,##0.00\ _€_-;_-* &quot;-&quot;??\ _€_-;_-@_-"/>
    <numFmt numFmtId="165" formatCode="_ * #,##0.00_ ;_ * \-#,##0.00_ ;_ * &quot;-&quot;??_ ;_ @_ "/>
    <numFmt numFmtId="166" formatCode="#,##0.0000"/>
    <numFmt numFmtId="167" formatCode="#,##0.00_ ;\-#,##0.00\ "/>
    <numFmt numFmtId="168" formatCode="_(* #,##0.00_);_(* \(#,##0.00\);_(* &quot;-&quot;??_);_(@_)"/>
    <numFmt numFmtId="169" formatCode="#,##0_ ;\-#,##0\ "/>
    <numFmt numFmtId="170" formatCode="0.000000"/>
    <numFmt numFmtId="171" formatCode="_-* #,##0\ _€_-;\-* #,##0\ _€_-;_-* &quot;-&quot;??\ _€_-;_-@_-"/>
    <numFmt numFmtId="172" formatCode="0.000"/>
    <numFmt numFmtId="173" formatCode="_(&quot;$&quot;* #,##0.00_);_(&quot;$&quot;* \(#,##0.00\);_(&quot;$&quot;* &quot;-&quot;??_);_(@_)"/>
    <numFmt numFmtId="174" formatCode="dd\ mmmyy"/>
    <numFmt numFmtId="175" formatCode="dd\ mmmyy\ hh:mm"/>
    <numFmt numFmtId="176" formatCode="#.##000"/>
    <numFmt numFmtId="177" formatCode="\$#,#00"/>
    <numFmt numFmtId="178" formatCode="\$#,##0\ ;\(\$#,##0\)"/>
    <numFmt numFmtId="179" formatCode="_ [$€-2]\ * #,##0.00_ ;_ [$€-2]\ * \-#,##0.00_ ;_ [$€-2]\ * &quot;-&quot;??_ "/>
    <numFmt numFmtId="180" formatCode="#,#00"/>
    <numFmt numFmtId="181" formatCode="\$#,"/>
    <numFmt numFmtId="182" formatCode="General_)"/>
    <numFmt numFmtId="183" formatCode="#.##0,"/>
    <numFmt numFmtId="184" formatCode="#,##0.000000"/>
    <numFmt numFmtId="185" formatCode="_-* #,##0.00\ [$€-1]_-;\-* #,##0.00\ [$€-1]_-;_-* &quot;-&quot;??\ [$€-1]_-"/>
    <numFmt numFmtId="186" formatCode="#,##0.00000_ ;\-#,##0.00000\ 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</font>
    <font>
      <b/>
      <sz val="10"/>
      <name val="Calibri"/>
      <family val="2"/>
      <scheme val="minor"/>
    </font>
    <font>
      <sz val="10"/>
      <name val="Arial"/>
      <family val="2"/>
    </font>
    <font>
      <sz val="9"/>
      <name val="Tahoma"/>
      <family val="2"/>
    </font>
    <font>
      <b/>
      <sz val="9"/>
      <color indexed="12"/>
      <name val="Tahoma"/>
      <family val="2"/>
    </font>
    <font>
      <b/>
      <sz val="9"/>
      <color indexed="20"/>
      <name val="Tahoma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sz val="9"/>
      <name val="Tahoma"/>
      <family val="2"/>
    </font>
    <font>
      <b/>
      <sz val="12"/>
      <color indexed="61"/>
      <name val="Tahoma"/>
      <family val="2"/>
    </font>
    <font>
      <b/>
      <sz val="9"/>
      <color indexed="42"/>
      <name val="Tahoma"/>
      <family val="2"/>
    </font>
    <font>
      <b/>
      <sz val="8"/>
      <color indexed="9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sz val="1"/>
      <color indexed="8"/>
      <name val="Courier"/>
      <family val="3"/>
    </font>
    <font>
      <sz val="10"/>
      <color indexed="22"/>
      <name val="MS Sans Serif"/>
      <family val="2"/>
    </font>
    <font>
      <b/>
      <sz val="1"/>
      <color indexed="8"/>
      <name val="Courier"/>
      <family val="3"/>
    </font>
    <font>
      <sz val="22"/>
      <name val="UBSHeadline"/>
      <family val="1"/>
    </font>
    <font>
      <sz val="10"/>
      <name val="Frutiger 45 Light"/>
      <family val="2"/>
    </font>
    <font>
      <sz val="11"/>
      <color indexed="8"/>
      <name val="Times New Roman"/>
      <family val="2"/>
    </font>
    <font>
      <sz val="10"/>
      <color indexed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0"/>
      <name val="Arial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5"/>
      <color indexed="57"/>
      <name val="Calibri"/>
      <family val="2"/>
    </font>
    <font>
      <b/>
      <sz val="13"/>
      <color indexed="57"/>
      <name val="Calibri"/>
      <family val="2"/>
    </font>
    <font>
      <b/>
      <sz val="11"/>
      <color indexed="57"/>
      <name val="Calibri"/>
      <family val="2"/>
    </font>
    <font>
      <b/>
      <sz val="18"/>
      <color indexed="57"/>
      <name val="Cambria"/>
      <family val="2"/>
    </font>
  </fonts>
  <fills count="3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57"/>
      </patternFill>
    </fill>
    <fill>
      <patternFill patternType="solid">
        <fgColor indexed="22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57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22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0" borderId="0"/>
    <xf numFmtId="0" fontId="11" fillId="7" borderId="0"/>
    <xf numFmtId="0" fontId="17" fillId="8" borderId="0">
      <alignment vertical="center"/>
    </xf>
    <xf numFmtId="0" fontId="12" fillId="9" borderId="0"/>
    <xf numFmtId="0" fontId="12" fillId="9" borderId="0"/>
    <xf numFmtId="39" fontId="13" fillId="10" borderId="4">
      <protection locked="0"/>
    </xf>
    <xf numFmtId="0" fontId="16" fillId="9" borderId="5">
      <alignment horizontal="left"/>
    </xf>
    <xf numFmtId="174" fontId="11" fillId="0" borderId="0" applyFont="0" applyFill="0" applyBorder="0" applyAlignment="0" applyProtection="0"/>
    <xf numFmtId="175" fontId="16" fillId="9" borderId="0" applyFont="0" applyFill="0" applyBorder="0" applyAlignment="0" applyProtection="0">
      <alignment vertical="center"/>
    </xf>
    <xf numFmtId="0" fontId="18" fillId="11" borderId="0"/>
    <xf numFmtId="0" fontId="13" fillId="10" borderId="6">
      <protection locked="0"/>
    </xf>
    <xf numFmtId="0" fontId="14" fillId="7" borderId="0"/>
    <xf numFmtId="0" fontId="15" fillId="12" borderId="6">
      <protection locked="0"/>
    </xf>
    <xf numFmtId="0" fontId="14" fillId="7" borderId="0"/>
    <xf numFmtId="0" fontId="16" fillId="7" borderId="0"/>
    <xf numFmtId="0" fontId="16" fillId="9" borderId="0"/>
    <xf numFmtId="0" fontId="12" fillId="13" borderId="0"/>
    <xf numFmtId="0" fontId="16" fillId="9" borderId="0"/>
    <xf numFmtId="0" fontId="11" fillId="9" borderId="0"/>
    <xf numFmtId="0" fontId="16" fillId="9" borderId="0"/>
    <xf numFmtId="0" fontId="19" fillId="11" borderId="0" applyBorder="0"/>
    <xf numFmtId="0" fontId="10" fillId="0" borderId="0"/>
    <xf numFmtId="0" fontId="10" fillId="0" borderId="0"/>
    <xf numFmtId="0" fontId="22" fillId="0" borderId="0">
      <protection locked="0"/>
    </xf>
    <xf numFmtId="0" fontId="22" fillId="0" borderId="0">
      <protection locked="0"/>
    </xf>
    <xf numFmtId="0" fontId="21" fillId="0" borderId="0"/>
    <xf numFmtId="3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79" fontId="21" fillId="0" borderId="0" applyFont="0" applyFill="0" applyBorder="0" applyAlignment="0" applyProtection="0"/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1" fillId="0" borderId="0"/>
    <xf numFmtId="0" fontId="22" fillId="0" borderId="0">
      <protection locked="0"/>
    </xf>
    <xf numFmtId="180" fontId="22" fillId="0" borderId="0">
      <protection locked="0"/>
    </xf>
    <xf numFmtId="180" fontId="22" fillId="0" borderId="0">
      <protection locked="0"/>
    </xf>
    <xf numFmtId="0" fontId="24" fillId="0" borderId="0">
      <protection locked="0"/>
    </xf>
    <xf numFmtId="0" fontId="24" fillId="0" borderId="0">
      <protection locked="0"/>
    </xf>
    <xf numFmtId="15" fontId="10" fillId="0" borderId="0"/>
    <xf numFmtId="177" fontId="22" fillId="0" borderId="0">
      <protection locked="0"/>
    </xf>
    <xf numFmtId="181" fontId="22" fillId="0" borderId="0">
      <protection locked="0"/>
    </xf>
    <xf numFmtId="182" fontId="25" fillId="0" borderId="2">
      <alignment vertical="center"/>
    </xf>
    <xf numFmtId="9" fontId="10" fillId="0" borderId="0" applyFont="0" applyFill="0" applyBorder="0" applyAlignment="0" applyProtection="0"/>
    <xf numFmtId="176" fontId="22" fillId="0" borderId="0">
      <protection locked="0"/>
    </xf>
    <xf numFmtId="183" fontId="22" fillId="0" borderId="0">
      <protection locked="0"/>
    </xf>
    <xf numFmtId="49" fontId="26" fillId="0" borderId="2">
      <alignment vertical="center"/>
    </xf>
    <xf numFmtId="0" fontId="21" fillId="0" borderId="0"/>
    <xf numFmtId="9" fontId="20" fillId="0" borderId="0" applyFont="0" applyFill="0" applyBorder="0" applyAlignment="0" applyProtection="0"/>
    <xf numFmtId="0" fontId="27" fillId="0" borderId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28" fillId="0" borderId="0">
      <alignment vertical="top"/>
    </xf>
    <xf numFmtId="0" fontId="10" fillId="0" borderId="0">
      <alignment vertical="top"/>
    </xf>
    <xf numFmtId="0" fontId="28" fillId="0" borderId="0">
      <alignment vertical="top"/>
    </xf>
    <xf numFmtId="0" fontId="10" fillId="0" borderId="0" applyNumberFormat="0" applyFill="0" applyBorder="0" applyAlignment="0" applyProtection="0"/>
    <xf numFmtId="173" fontId="10" fillId="0" borderId="0" applyFont="0" applyFill="0" applyBorder="0" applyAlignment="0" applyProtection="0"/>
    <xf numFmtId="0" fontId="10" fillId="0" borderId="0">
      <alignment vertical="top"/>
    </xf>
    <xf numFmtId="0" fontId="10" fillId="0" borderId="0"/>
    <xf numFmtId="0" fontId="10" fillId="0" borderId="0">
      <alignment vertical="top"/>
    </xf>
    <xf numFmtId="0" fontId="10" fillId="0" borderId="0">
      <alignment vertical="top"/>
    </xf>
    <xf numFmtId="9" fontId="10" fillId="0" borderId="0" applyFont="0" applyFill="0" applyBorder="0" applyAlignment="0" applyProtection="0"/>
    <xf numFmtId="173" fontId="1" fillId="0" borderId="0" applyFont="0" applyFill="0" applyBorder="0" applyAlignment="0" applyProtection="0"/>
    <xf numFmtId="39" fontId="13" fillId="10" borderId="4">
      <protection locked="0"/>
    </xf>
    <xf numFmtId="0" fontId="16" fillId="9" borderId="5">
      <alignment horizontal="left"/>
    </xf>
    <xf numFmtId="0" fontId="13" fillId="10" borderId="6">
      <protection locked="0"/>
    </xf>
    <xf numFmtId="168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>
      <alignment vertical="top"/>
    </xf>
    <xf numFmtId="168" fontId="1" fillId="0" borderId="0" applyFont="0" applyFill="0" applyBorder="0" applyAlignment="0" applyProtection="0"/>
    <xf numFmtId="168" fontId="10" fillId="0" borderId="0" applyFont="0" applyFill="0" applyBorder="0" applyAlignment="0" applyProtection="0"/>
    <xf numFmtId="0" fontId="10" fillId="0" borderId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5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18" borderId="0" applyNumberFormat="0" applyBorder="0" applyAlignment="0" applyProtection="0"/>
    <xf numFmtId="0" fontId="20" fillId="16" borderId="0" applyNumberFormat="0" applyBorder="0" applyAlignment="0" applyProtection="0"/>
    <xf numFmtId="0" fontId="29" fillId="18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0" borderId="0" applyNumberFormat="0" applyBorder="0" applyAlignment="0" applyProtection="0"/>
    <xf numFmtId="0" fontId="29" fillId="18" borderId="0" applyNumberFormat="0" applyBorder="0" applyAlignment="0" applyProtection="0"/>
    <xf numFmtId="0" fontId="29" fillId="15" borderId="0" applyNumberFormat="0" applyBorder="0" applyAlignment="0" applyProtection="0"/>
    <xf numFmtId="0" fontId="29" fillId="23" borderId="0" applyNumberFormat="0" applyBorder="0" applyAlignment="0" applyProtection="0"/>
    <xf numFmtId="0" fontId="29" fillId="21" borderId="0" applyNumberFormat="0" applyBorder="0" applyAlignment="0" applyProtection="0"/>
    <xf numFmtId="0" fontId="29" fillId="22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30" fillId="27" borderId="0" applyNumberFormat="0" applyBorder="0" applyAlignment="0" applyProtection="0"/>
    <xf numFmtId="0" fontId="31" fillId="28" borderId="7" applyNumberFormat="0" applyAlignment="0" applyProtection="0"/>
    <xf numFmtId="0" fontId="32" fillId="29" borderId="8" applyNumberFormat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0" borderId="9" applyNumberFormat="0" applyFill="0" applyAlignment="0" applyProtection="0"/>
    <xf numFmtId="0" fontId="37" fillId="0" borderId="0" applyNumberFormat="0" applyFill="0" applyBorder="0" applyAlignment="0" applyProtection="0"/>
    <xf numFmtId="0" fontId="38" fillId="0" borderId="10" applyNumberFormat="0" applyFill="0" applyAlignment="0" applyProtection="0"/>
    <xf numFmtId="0" fontId="10" fillId="16" borderId="11" applyNumberFormat="0" applyFont="0" applyAlignment="0" applyProtection="0"/>
    <xf numFmtId="0" fontId="39" fillId="28" borderId="4" applyNumberFormat="0" applyAlignment="0" applyProtection="0"/>
    <xf numFmtId="0" fontId="40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8" fillId="0" borderId="0">
      <alignment vertical="top"/>
    </xf>
    <xf numFmtId="168" fontId="1" fillId="0" borderId="0" applyFont="0" applyFill="0" applyBorder="0" applyAlignment="0" applyProtection="0"/>
    <xf numFmtId="0" fontId="41" fillId="0" borderId="0"/>
    <xf numFmtId="0" fontId="20" fillId="28" borderId="0" applyNumberFormat="0" applyBorder="0" applyAlignment="0" applyProtection="0"/>
    <xf numFmtId="0" fontId="20" fillId="14" borderId="0" applyNumberFormat="0" applyBorder="0" applyAlignment="0" applyProtection="0"/>
    <xf numFmtId="0" fontId="20" fillId="28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28" borderId="0" applyNumberFormat="0" applyBorder="0" applyAlignment="0" applyProtection="0"/>
    <xf numFmtId="0" fontId="20" fillId="16" borderId="0" applyNumberFormat="0" applyBorder="0" applyAlignment="0" applyProtection="0"/>
    <xf numFmtId="0" fontId="20" fillId="25" borderId="0" applyNumberFormat="0" applyBorder="0" applyAlignment="0" applyProtection="0"/>
    <xf numFmtId="0" fontId="20" fillId="18" borderId="0" applyNumberFormat="0" applyBorder="0" applyAlignment="0" applyProtection="0"/>
    <xf numFmtId="0" fontId="20" fillId="30" borderId="0" applyNumberFormat="0" applyBorder="0" applyAlignment="0" applyProtection="0"/>
    <xf numFmtId="0" fontId="20" fillId="15" borderId="0" applyNumberFormat="0" applyBorder="0" applyAlignment="0" applyProtection="0"/>
    <xf numFmtId="0" fontId="20" fillId="28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0" borderId="0" applyNumberFormat="0" applyBorder="0" applyAlignment="0" applyProtection="0"/>
    <xf numFmtId="0" fontId="20" fillId="16" borderId="0" applyNumberFormat="0" applyBorder="0" applyAlignment="0" applyProtection="0"/>
    <xf numFmtId="0" fontId="20" fillId="18" borderId="0" applyNumberFormat="0" applyBorder="0" applyAlignment="0" applyProtection="0"/>
    <xf numFmtId="0" fontId="20" fillId="17" borderId="0" applyNumberFormat="0" applyBorder="0" applyAlignment="0" applyProtection="0"/>
    <xf numFmtId="0" fontId="20" fillId="16" borderId="0" applyNumberFormat="0" applyBorder="0" applyAlignment="0" applyProtection="0"/>
    <xf numFmtId="0" fontId="29" fillId="31" borderId="0" applyNumberFormat="0" applyBorder="0" applyAlignment="0" applyProtection="0"/>
    <xf numFmtId="0" fontId="29" fillId="18" borderId="0" applyNumberFormat="0" applyBorder="0" applyAlignment="0" applyProtection="0"/>
    <xf numFmtId="0" fontId="29" fillId="30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32" borderId="0" applyNumberFormat="0" applyBorder="0" applyAlignment="0" applyProtection="0"/>
    <xf numFmtId="0" fontId="29" fillId="20" borderId="0" applyNumberFormat="0" applyBorder="0" applyAlignment="0" applyProtection="0"/>
    <xf numFmtId="0" fontId="29" fillId="19" borderId="0" applyNumberFormat="0" applyBorder="0" applyAlignment="0" applyProtection="0"/>
    <xf numFmtId="0" fontId="29" fillId="18" borderId="0" applyNumberFormat="0" applyBorder="0" applyAlignment="0" applyProtection="0"/>
    <xf numFmtId="0" fontId="29" fillId="31" borderId="0" applyNumberFormat="0" applyBorder="0" applyAlignment="0" applyProtection="0"/>
    <xf numFmtId="0" fontId="29" fillId="23" borderId="0" applyNumberFormat="0" applyBorder="0" applyAlignment="0" applyProtection="0"/>
    <xf numFmtId="0" fontId="29" fillId="31" borderId="0" applyNumberFormat="0" applyBorder="0" applyAlignment="0" applyProtection="0"/>
    <xf numFmtId="0" fontId="29" fillId="21" borderId="0" applyNumberFormat="0" applyBorder="0" applyAlignment="0" applyProtection="0"/>
    <xf numFmtId="0" fontId="29" fillId="32" borderId="0" applyNumberFormat="0" applyBorder="0" applyAlignment="0" applyProtection="0"/>
    <xf numFmtId="0" fontId="29" fillId="22" borderId="0" applyNumberFormat="0" applyBorder="0" applyAlignment="0" applyProtection="0"/>
    <xf numFmtId="0" fontId="29" fillId="19" borderId="0" applyNumberFormat="0" applyBorder="0" applyAlignment="0" applyProtection="0"/>
    <xf numFmtId="0" fontId="29" fillId="24" borderId="0" applyNumberFormat="0" applyBorder="0" applyAlignment="0" applyProtection="0"/>
    <xf numFmtId="0" fontId="29" fillId="19" borderId="0" applyNumberFormat="0" applyBorder="0" applyAlignment="0" applyProtection="0"/>
    <xf numFmtId="0" fontId="29" fillId="25" borderId="0" applyNumberFormat="0" applyBorder="0" applyAlignment="0" applyProtection="0"/>
    <xf numFmtId="0" fontId="29" fillId="15" borderId="0" applyNumberFormat="0" applyBorder="0" applyAlignment="0" applyProtection="0"/>
    <xf numFmtId="0" fontId="29" fillId="26" borderId="0" applyNumberFormat="0" applyBorder="0" applyAlignment="0" applyProtection="0"/>
    <xf numFmtId="0" fontId="10" fillId="0" borderId="0" applyNumberFormat="0" applyFill="0" applyBorder="0" applyAlignment="0" applyProtection="0"/>
    <xf numFmtId="0" fontId="30" fillId="20" borderId="0" applyNumberFormat="0" applyBorder="0" applyAlignment="0" applyProtection="0"/>
    <xf numFmtId="0" fontId="30" fillId="27" borderId="0" applyNumberFormat="0" applyBorder="0" applyAlignment="0" applyProtection="0"/>
    <xf numFmtId="0" fontId="42" fillId="32" borderId="7" applyNumberFormat="0" applyAlignment="0" applyProtection="0"/>
    <xf numFmtId="0" fontId="31" fillId="28" borderId="7" applyNumberFormat="0" applyAlignment="0" applyProtection="0"/>
    <xf numFmtId="0" fontId="21" fillId="0" borderId="0"/>
    <xf numFmtId="185" fontId="10" fillId="0" borderId="0" applyFont="0" applyFill="0" applyBorder="0" applyAlignment="0" applyProtection="0"/>
    <xf numFmtId="179" fontId="21" fillId="0" borderId="0" applyFont="0" applyFill="0" applyBorder="0" applyAlignment="0" applyProtection="0"/>
    <xf numFmtId="0" fontId="34" fillId="30" borderId="0" applyNumberFormat="0" applyBorder="0" applyAlignment="0" applyProtection="0"/>
    <xf numFmtId="0" fontId="34" fillId="18" borderId="0" applyNumberFormat="0" applyBorder="0" applyAlignment="0" applyProtection="0"/>
    <xf numFmtId="0" fontId="47" fillId="0" borderId="13" applyNumberFormat="0" applyFill="0" applyAlignment="0" applyProtection="0"/>
    <xf numFmtId="0" fontId="35" fillId="0" borderId="0" applyNumberFormat="0" applyFill="0" applyBorder="0" applyAlignment="0" applyProtection="0"/>
    <xf numFmtId="0" fontId="48" fillId="0" borderId="14" applyNumberFormat="0" applyFill="0" applyAlignment="0" applyProtection="0"/>
    <xf numFmtId="0" fontId="36" fillId="0" borderId="0" applyNumberFormat="0" applyFill="0" applyBorder="0" applyAlignment="0" applyProtection="0"/>
    <xf numFmtId="0" fontId="49" fillId="0" borderId="15" applyNumberFormat="0" applyFill="0" applyAlignment="0" applyProtection="0"/>
    <xf numFmtId="0" fontId="37" fillId="0" borderId="9" applyNumberFormat="0" applyFill="0" applyAlignment="0" applyProtection="0"/>
    <xf numFmtId="0" fontId="49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4" fillId="17" borderId="7" applyNumberFormat="0" applyAlignment="0" applyProtection="0"/>
    <xf numFmtId="0" fontId="13" fillId="10" borderId="6">
      <protection locked="0"/>
    </xf>
    <xf numFmtId="0" fontId="43" fillId="0" borderId="12" applyNumberFormat="0" applyFill="0" applyAlignment="0" applyProtection="0"/>
    <xf numFmtId="0" fontId="38" fillId="0" borderId="10" applyNumberFormat="0" applyFill="0" applyAlignment="0" applyProtection="0"/>
    <xf numFmtId="165" fontId="41" fillId="0" borderId="0" applyFont="0" applyFill="0" applyBorder="0" applyAlignment="0" applyProtection="0"/>
    <xf numFmtId="165" fontId="10" fillId="0" borderId="0" applyFon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45" fillId="19" borderId="0" applyNumberFormat="0" applyBorder="0" applyAlignment="0" applyProtection="0"/>
    <xf numFmtId="0" fontId="1" fillId="0" borderId="0"/>
    <xf numFmtId="0" fontId="11" fillId="0" borderId="0"/>
    <xf numFmtId="0" fontId="10" fillId="0" borderId="0"/>
    <xf numFmtId="0" fontId="39" fillId="32" borderId="4" applyNumberFormat="0" applyAlignment="0" applyProtection="0"/>
    <xf numFmtId="0" fontId="39" fillId="28" borderId="4" applyNumberFormat="0" applyAlignment="0" applyProtection="0"/>
    <xf numFmtId="9" fontId="4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6" fillId="0" borderId="16" applyNumberFormat="0" applyFill="0" applyAlignment="0" applyProtection="0"/>
    <xf numFmtId="0" fontId="44" fillId="17" borderId="7" applyNumberFormat="0" applyAlignment="0" applyProtection="0"/>
    <xf numFmtId="39" fontId="13" fillId="10" borderId="17">
      <protection locked="0"/>
    </xf>
    <xf numFmtId="0" fontId="13" fillId="10" borderId="19">
      <protection locked="0"/>
    </xf>
    <xf numFmtId="0" fontId="16" fillId="9" borderId="18">
      <alignment horizontal="left"/>
    </xf>
    <xf numFmtId="0" fontId="39" fillId="28" borderId="17" applyNumberFormat="0" applyAlignment="0" applyProtection="0"/>
    <xf numFmtId="0" fontId="10" fillId="16" borderId="21" applyNumberFormat="0" applyFont="0" applyAlignment="0" applyProtection="0"/>
    <xf numFmtId="0" fontId="31" fillId="28" borderId="20" applyNumberFormat="0" applyAlignment="0" applyProtection="0"/>
  </cellStyleXfs>
  <cellXfs count="13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6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6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6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6" fontId="0" fillId="3" borderId="0" xfId="0" applyNumberFormat="1" applyFont="1" applyFill="1" applyAlignment="1">
      <alignment horizontal="center"/>
    </xf>
    <xf numFmtId="167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6" fontId="0" fillId="4" borderId="0" xfId="0" applyNumberFormat="1" applyFont="1" applyFill="1" applyAlignment="1">
      <alignment horizontal="center"/>
    </xf>
    <xf numFmtId="168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8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0" fontId="0" fillId="4" borderId="0" xfId="0" applyFont="1" applyFill="1" applyBorder="1"/>
    <xf numFmtId="168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7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6" fontId="2" fillId="2" borderId="0" xfId="0" applyNumberFormat="1" applyFont="1" applyFill="1" applyAlignment="1">
      <alignment horizontal="center"/>
    </xf>
    <xf numFmtId="169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164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3" fontId="0" fillId="3" borderId="0" xfId="3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Fill="1"/>
    <xf numFmtId="14" fontId="5" fillId="0" borderId="0" xfId="0" applyNumberFormat="1" applyFont="1" applyFill="1"/>
    <xf numFmtId="0" fontId="0" fillId="0" borderId="0" xfId="0"/>
    <xf numFmtId="170" fontId="0" fillId="0" borderId="0" xfId="0" applyNumberFormat="1" applyFill="1"/>
    <xf numFmtId="0" fontId="0" fillId="3" borderId="0" xfId="0" applyFont="1" applyFill="1"/>
    <xf numFmtId="3" fontId="0" fillId="5" borderId="0" xfId="0" applyNumberFormat="1" applyFont="1" applyFill="1"/>
    <xf numFmtId="4" fontId="0" fillId="5" borderId="0" xfId="0" applyNumberFormat="1" applyFont="1" applyFill="1"/>
    <xf numFmtId="171" fontId="0" fillId="0" borderId="0" xfId="1" applyNumberFormat="1" applyFont="1"/>
    <xf numFmtId="171" fontId="0" fillId="6" borderId="0" xfId="1" applyNumberFormat="1" applyFont="1" applyFill="1"/>
    <xf numFmtId="171" fontId="0" fillId="0" borderId="0" xfId="0" applyNumberFormat="1"/>
    <xf numFmtId="14" fontId="0" fillId="5" borderId="0" xfId="0" applyNumberFormat="1" applyFont="1" applyFill="1"/>
    <xf numFmtId="0" fontId="0" fillId="4" borderId="0" xfId="0" applyFill="1"/>
    <xf numFmtId="4" fontId="0" fillId="0" borderId="0" xfId="0" applyNumberFormat="1"/>
    <xf numFmtId="0" fontId="6" fillId="0" borderId="0" xfId="0" applyFont="1"/>
    <xf numFmtId="4" fontId="7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/>
    <xf numFmtId="10" fontId="0" fillId="3" borderId="0" xfId="0" applyNumberFormat="1" applyFont="1" applyFill="1"/>
    <xf numFmtId="3" fontId="0" fillId="5" borderId="0" xfId="0" applyNumberFormat="1" applyFont="1" applyFill="1"/>
    <xf numFmtId="0" fontId="0" fillId="0" borderId="0" xfId="0"/>
    <xf numFmtId="10" fontId="41" fillId="0" borderId="0" xfId="127" applyNumberFormat="1"/>
    <xf numFmtId="10" fontId="7" fillId="0" borderId="0" xfId="0" applyNumberFormat="1" applyFont="1"/>
    <xf numFmtId="0" fontId="41" fillId="0" borderId="0" xfId="127"/>
    <xf numFmtId="0" fontId="6" fillId="0" borderId="0" xfId="127" applyFont="1"/>
    <xf numFmtId="0" fontId="6" fillId="0" borderId="2" xfId="127" applyFont="1" applyBorder="1"/>
    <xf numFmtId="0" fontId="8" fillId="0" borderId="1" xfId="127" applyFont="1" applyBorder="1" applyAlignment="1"/>
    <xf numFmtId="0" fontId="6" fillId="0" borderId="0" xfId="127" applyFont="1" applyAlignment="1">
      <alignment horizontal="center"/>
    </xf>
    <xf numFmtId="0" fontId="8" fillId="0" borderId="3" xfId="127" applyFont="1" applyBorder="1"/>
    <xf numFmtId="4" fontId="7" fillId="0" borderId="0" xfId="127" applyNumberFormat="1" applyFont="1"/>
    <xf numFmtId="4" fontId="9" fillId="0" borderId="1" xfId="127" applyNumberFormat="1" applyFont="1" applyBorder="1" applyAlignment="1"/>
    <xf numFmtId="4" fontId="9" fillId="0" borderId="3" xfId="127" applyNumberFormat="1" applyFont="1" applyBorder="1"/>
    <xf numFmtId="0" fontId="10" fillId="0" borderId="0" xfId="127" applyFont="1" applyAlignment="1">
      <alignment horizontal="center"/>
    </xf>
    <xf numFmtId="0" fontId="41" fillId="0" borderId="0" xfId="127" applyAlignment="1">
      <alignment horizontal="center"/>
    </xf>
    <xf numFmtId="172" fontId="7" fillId="0" borderId="0" xfId="127" applyNumberFormat="1" applyFont="1"/>
    <xf numFmtId="10" fontId="7" fillId="0" borderId="0" xfId="208" applyNumberFormat="1" applyFont="1"/>
    <xf numFmtId="4" fontId="7" fillId="0" borderId="2" xfId="127" applyNumberFormat="1" applyFont="1" applyBorder="1"/>
    <xf numFmtId="0" fontId="10" fillId="0" borderId="2" xfId="127" applyFont="1" applyBorder="1" applyAlignment="1">
      <alignment horizontal="center"/>
    </xf>
    <xf numFmtId="172" fontId="7" fillId="0" borderId="2" xfId="127" applyNumberFormat="1" applyFont="1" applyBorder="1"/>
    <xf numFmtId="10" fontId="7" fillId="0" borderId="2" xfId="208" applyNumberFormat="1" applyFont="1" applyBorder="1"/>
    <xf numFmtId="0" fontId="6" fillId="0" borderId="0" xfId="127" applyFont="1" applyBorder="1"/>
    <xf numFmtId="184" fontId="0" fillId="3" borderId="0" xfId="0" applyNumberFormat="1" applyFont="1" applyFill="1" applyAlignment="1">
      <alignment horizontal="center"/>
    </xf>
    <xf numFmtId="0" fontId="0" fillId="0" borderId="0" xfId="0"/>
    <xf numFmtId="10" fontId="0" fillId="3" borderId="0" xfId="2" applyNumberFormat="1" applyFont="1" applyFill="1"/>
    <xf numFmtId="9" fontId="0" fillId="3" borderId="0" xfId="2" applyFont="1" applyFill="1" applyAlignment="1">
      <alignment horizontal="right"/>
    </xf>
    <xf numFmtId="10" fontId="0" fillId="0" borderId="0" xfId="0" applyNumberFormat="1" applyFont="1" applyFill="1"/>
    <xf numFmtId="172" fontId="0" fillId="3" borderId="0" xfId="0" applyNumberFormat="1" applyFont="1" applyFill="1" applyAlignment="1">
      <alignment horizontal="right"/>
    </xf>
    <xf numFmtId="0" fontId="0" fillId="3" borderId="0" xfId="0" applyFont="1" applyFill="1" applyAlignment="1">
      <alignment horizontal="right"/>
    </xf>
    <xf numFmtId="186" fontId="0" fillId="3" borderId="0" xfId="0" applyNumberFormat="1" applyFont="1" applyFill="1"/>
    <xf numFmtId="166" fontId="4" fillId="3" borderId="0" xfId="0" applyNumberFormat="1" applyFont="1" applyFill="1" applyAlignment="1">
      <alignment horizontal="center"/>
    </xf>
    <xf numFmtId="4" fontId="2" fillId="2" borderId="0" xfId="2" applyNumberFormat="1" applyFont="1" applyFill="1" applyBorder="1" applyAlignment="1">
      <alignment horizontal="center" vertical="center" wrapText="1"/>
    </xf>
  </cellXfs>
  <cellStyles count="222">
    <cellStyle name="20% - Accent1" xfId="87"/>
    <cellStyle name="20% - Accent1 2" xfId="129"/>
    <cellStyle name="20% - Accent1 3" xfId="128"/>
    <cellStyle name="20% - Accent2" xfId="88"/>
    <cellStyle name="20% - Accent2 2" xfId="131"/>
    <cellStyle name="20% - Accent2 3" xfId="130"/>
    <cellStyle name="20% - Accent3" xfId="89"/>
    <cellStyle name="20% - Accent3 2" xfId="133"/>
    <cellStyle name="20% - Accent3 3" xfId="132"/>
    <cellStyle name="20% - Accent4" xfId="90"/>
    <cellStyle name="20% - Accent4 2" xfId="135"/>
    <cellStyle name="20% - Accent4 3" xfId="134"/>
    <cellStyle name="20% - Accent5" xfId="91"/>
    <cellStyle name="20% - Accent5 2" xfId="137"/>
    <cellStyle name="20% - Accent5 3" xfId="136"/>
    <cellStyle name="20% - Accent6" xfId="92"/>
    <cellStyle name="20% - Accent6 2" xfId="139"/>
    <cellStyle name="20% - Accent6 3" xfId="138"/>
    <cellStyle name="40% - Accent1" xfId="93"/>
    <cellStyle name="40% - Accent1 2" xfId="141"/>
    <cellStyle name="40% - Accent1 3" xfId="140"/>
    <cellStyle name="40% - Accent2" xfId="94"/>
    <cellStyle name="40% - Accent2 2" xfId="143"/>
    <cellStyle name="40% - Accent2 3" xfId="142"/>
    <cellStyle name="40% - Accent3" xfId="95"/>
    <cellStyle name="40% - Accent3 2" xfId="145"/>
    <cellStyle name="40% - Accent3 3" xfId="144"/>
    <cellStyle name="40% - Accent4" xfId="96"/>
    <cellStyle name="40% - Accent4 2" xfId="147"/>
    <cellStyle name="40% - Accent4 3" xfId="146"/>
    <cellStyle name="40% - Accent5" xfId="97"/>
    <cellStyle name="40% - Accent5 2" xfId="149"/>
    <cellStyle name="40% - Accent5 3" xfId="148"/>
    <cellStyle name="40% - Accent6" xfId="98"/>
    <cellStyle name="40% - Accent6 2" xfId="151"/>
    <cellStyle name="40% - Accent6 3" xfId="150"/>
    <cellStyle name="60% - Accent1" xfId="99"/>
    <cellStyle name="60% - Accent1 2" xfId="153"/>
    <cellStyle name="60% - Accent1 3" xfId="152"/>
    <cellStyle name="60% - Accent2" xfId="100"/>
    <cellStyle name="60% - Accent2 2" xfId="155"/>
    <cellStyle name="60% - Accent2 3" xfId="154"/>
    <cellStyle name="60% - Accent3" xfId="101"/>
    <cellStyle name="60% - Accent3 2" xfId="157"/>
    <cellStyle name="60% - Accent3 3" xfId="156"/>
    <cellStyle name="60% - Accent4" xfId="102"/>
    <cellStyle name="60% - Accent4 2" xfId="159"/>
    <cellStyle name="60% - Accent4 3" xfId="158"/>
    <cellStyle name="60% - Accent5" xfId="103"/>
    <cellStyle name="60% - Accent5 2" xfId="161"/>
    <cellStyle name="60% - Accent5 3" xfId="160"/>
    <cellStyle name="60% - Accent6" xfId="104"/>
    <cellStyle name="Accent1" xfId="105"/>
    <cellStyle name="Accent1 2" xfId="163"/>
    <cellStyle name="Accent1 3" xfId="162"/>
    <cellStyle name="Accent2" xfId="106"/>
    <cellStyle name="Accent2 2" xfId="165"/>
    <cellStyle name="Accent2 3" xfId="164"/>
    <cellStyle name="Accent3" xfId="107"/>
    <cellStyle name="Accent3 2" xfId="167"/>
    <cellStyle name="Accent3 3" xfId="166"/>
    <cellStyle name="Accent4" xfId="108"/>
    <cellStyle name="Accent4 2" xfId="169"/>
    <cellStyle name="Accent4 3" xfId="168"/>
    <cellStyle name="Accent5" xfId="109"/>
    <cellStyle name="Accent5 2" xfId="171"/>
    <cellStyle name="Accent5 3" xfId="170"/>
    <cellStyle name="Accent6" xfId="110"/>
    <cellStyle name="Accent6 2" xfId="173"/>
    <cellStyle name="Accent6 3" xfId="172"/>
    <cellStyle name="ANCLAS,REZONES Y SUS PARTES,DE FUNDICION,DE HIERRO O DE ACERO" xfId="174"/>
    <cellStyle name="AutoFormat Options" xfId="28"/>
    <cellStyle name="background" xfId="7"/>
    <cellStyle name="Bad" xfId="111"/>
    <cellStyle name="Bad 2" xfId="176"/>
    <cellStyle name="Bad 3" xfId="175"/>
    <cellStyle name="banner" xfId="8"/>
    <cellStyle name="Cabecera 1" xfId="29"/>
    <cellStyle name="Cabecera 2" xfId="30"/>
    <cellStyle name="calc" xfId="9"/>
    <cellStyle name="calculated" xfId="10"/>
    <cellStyle name="Calculation" xfId="112"/>
    <cellStyle name="Calculation 2" xfId="178"/>
    <cellStyle name="Calculation 3" xfId="177"/>
    <cellStyle name="Calculation 4" xfId="221"/>
    <cellStyle name="Cambiar to&amp;do" xfId="31"/>
    <cellStyle name="Cambiar to&amp;do 2" xfId="62"/>
    <cellStyle name="Cambiar to&amp;do 2 2" xfId="83"/>
    <cellStyle name="Cambiar to&amp;do 2 3" xfId="125"/>
    <cellStyle name="Cambiar to&amp;do 3" xfId="63"/>
    <cellStyle name="Cambiar to&amp;do 4" xfId="64"/>
    <cellStyle name="Cambiar to&amp;do 5" xfId="179"/>
    <cellStyle name="Cambiar to&amp;do_Cartera Líderes" xfId="65"/>
    <cellStyle name="Check Cell" xfId="113"/>
    <cellStyle name="Comma" xfId="60"/>
    <cellStyle name="Comma0" xfId="32"/>
    <cellStyle name="Currency" xfId="74"/>
    <cellStyle name="Currency0" xfId="33"/>
    <cellStyle name="data" xfId="12"/>
    <cellStyle name="data 2" xfId="76"/>
    <cellStyle name="data 2 2" xfId="218"/>
    <cellStyle name="date" xfId="13"/>
    <cellStyle name="datetime" xfId="14"/>
    <cellStyle name="Estilo 1" xfId="34"/>
    <cellStyle name="Estilo 1 2" xfId="66"/>
    <cellStyle name="Estilo 2" xfId="67"/>
    <cellStyle name="Euro" xfId="35"/>
    <cellStyle name="Euro 2" xfId="181"/>
    <cellStyle name="Euro 3" xfId="180"/>
    <cellStyle name="Explanatory Text" xfId="114"/>
    <cellStyle name="F2" xfId="36"/>
    <cellStyle name="F3" xfId="37"/>
    <cellStyle name="F4" xfId="38"/>
    <cellStyle name="F5" xfId="39"/>
    <cellStyle name="F6" xfId="40"/>
    <cellStyle name="F7" xfId="41"/>
    <cellStyle name="F8" xfId="42"/>
    <cellStyle name="facha" xfId="43"/>
    <cellStyle name="Fecha" xfId="44"/>
    <cellStyle name="Fijo" xfId="45"/>
    <cellStyle name="Fixed" xfId="46"/>
    <cellStyle name="Good" xfId="115"/>
    <cellStyle name="Good 2" xfId="183"/>
    <cellStyle name="Good 3" xfId="182"/>
    <cellStyle name="Header" xfId="15"/>
    <cellStyle name="Heading 1" xfId="116"/>
    <cellStyle name="Heading 1 2" xfId="185"/>
    <cellStyle name="Heading 1 3" xfId="184"/>
    <cellStyle name="Heading 2" xfId="117"/>
    <cellStyle name="Heading 2 2" xfId="187"/>
    <cellStyle name="Heading 2 3" xfId="186"/>
    <cellStyle name="Heading 3" xfId="118"/>
    <cellStyle name="Heading 3 2" xfId="189"/>
    <cellStyle name="Heading 3 3" xfId="188"/>
    <cellStyle name="Heading 4" xfId="119"/>
    <cellStyle name="Heading 4 2" xfId="191"/>
    <cellStyle name="Heading 4 3" xfId="190"/>
    <cellStyle name="Heading1" xfId="47"/>
    <cellStyle name="Heading2" xfId="48"/>
    <cellStyle name="input" xfId="16"/>
    <cellStyle name="input 2" xfId="77"/>
    <cellStyle name="input 2 2" xfId="217"/>
    <cellStyle name="input 3" xfId="193"/>
    <cellStyle name="Input 4" xfId="192"/>
    <cellStyle name="Input 5" xfId="215"/>
    <cellStyle name="jo[" xfId="49"/>
    <cellStyle name="label" xfId="17"/>
    <cellStyle name="Linked Cell" xfId="120"/>
    <cellStyle name="Linked Cell 2" xfId="195"/>
    <cellStyle name="Linked Cell 3" xfId="194"/>
    <cellStyle name="main_input" xfId="18"/>
    <cellStyle name="Millares" xfId="1" builtinId="3"/>
    <cellStyle name="Millares 2" xfId="5"/>
    <cellStyle name="Millares 2 2" xfId="75"/>
    <cellStyle name="Millares 2 2 2" xfId="216"/>
    <cellStyle name="Millares 2 3" xfId="11"/>
    <cellStyle name="Millares 2 4" xfId="197"/>
    <cellStyle name="Millares 3" xfId="4"/>
    <cellStyle name="Millares 3 2" xfId="61"/>
    <cellStyle name="Millares 389" xfId="84"/>
    <cellStyle name="Millares 4" xfId="78"/>
    <cellStyle name="Millares 4 2" xfId="199"/>
    <cellStyle name="Millares 4 3" xfId="198"/>
    <cellStyle name="Millares 5" xfId="80"/>
    <cellStyle name="Millares 5 2" xfId="200"/>
    <cellStyle name="Millares 6" xfId="85"/>
    <cellStyle name="Millares 7" xfId="126"/>
    <cellStyle name="Millares 7 2" xfId="201"/>
    <cellStyle name="Millares 8" xfId="196"/>
    <cellStyle name="Moneda 2" xfId="68"/>
    <cellStyle name="Moneda 3" xfId="79"/>
    <cellStyle name="Monetario" xfId="50"/>
    <cellStyle name="Monetario0" xfId="51"/>
    <cellStyle name="Neutral 2" xfId="202"/>
    <cellStyle name="Next holiday" xfId="19"/>
    <cellStyle name="Normal" xfId="0" builtinId="0"/>
    <cellStyle name="Normal 2" xfId="6"/>
    <cellStyle name="Normal 2 14" xfId="86"/>
    <cellStyle name="Normal 2 2" xfId="59"/>
    <cellStyle name="Normal 2 3" xfId="69"/>
    <cellStyle name="Normal 2 4" xfId="81"/>
    <cellStyle name="Normal 2 5" xfId="82"/>
    <cellStyle name="Normal 2 6" xfId="204"/>
    <cellStyle name="Normal 2 7" xfId="203"/>
    <cellStyle name="Normal 3" xfId="70"/>
    <cellStyle name="Normal 3 2" xfId="205"/>
    <cellStyle name="Normal 4" xfId="71"/>
    <cellStyle name="Normal 4 2" xfId="72"/>
    <cellStyle name="Normal 5" xfId="127"/>
    <cellStyle name="Normal 8 7" xfId="27"/>
    <cellStyle name="Note" xfId="121"/>
    <cellStyle name="Note 2" xfId="220"/>
    <cellStyle name="Output" xfId="122"/>
    <cellStyle name="Output 2" xfId="207"/>
    <cellStyle name="Output 3" xfId="206"/>
    <cellStyle name="Output 4" xfId="219"/>
    <cellStyle name="pb_page_heading_LS" xfId="52"/>
    <cellStyle name="Percent" xfId="3"/>
    <cellStyle name="Porcentaje" xfId="2" builtinId="5"/>
    <cellStyle name="Porcentaje 2" xfId="53"/>
    <cellStyle name="Porcentaje 2 2" xfId="73"/>
    <cellStyle name="Porcentaje 3" xfId="58"/>
    <cellStyle name="Porcentaje 3 2" xfId="210"/>
    <cellStyle name="Porcentaje 3 3" xfId="209"/>
    <cellStyle name="Porcentaje 4" xfId="211"/>
    <cellStyle name="Porcentaje 5" xfId="208"/>
    <cellStyle name="Punto" xfId="54"/>
    <cellStyle name="Punto0" xfId="55"/>
    <cellStyle name="Rates" xfId="20"/>
    <cellStyle name="realtime" xfId="21"/>
    <cellStyle name="result" xfId="22"/>
    <cellStyle name="rt" xfId="23"/>
    <cellStyle name="static" xfId="24"/>
    <cellStyle name="test a style" xfId="56"/>
    <cellStyle name="text" xfId="25"/>
    <cellStyle name="Title" xfId="123"/>
    <cellStyle name="Title 2" xfId="213"/>
    <cellStyle name="Title 3" xfId="212"/>
    <cellStyle name="Topheader" xfId="26"/>
    <cellStyle name="Total 2" xfId="214"/>
    <cellStyle name="vaca" xfId="57"/>
    <cellStyle name="Warning Text" xfId="124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128"/>
  <sheetViews>
    <sheetView tabSelected="1" topLeftCell="A73" zoomScale="80" zoomScaleNormal="80" workbookViewId="0">
      <selection activeCell="E81" sqref="E81"/>
    </sheetView>
  </sheetViews>
  <sheetFormatPr baseColWidth="10" defaultColWidth="11.42578125" defaultRowHeight="15" outlineLevelCol="1"/>
  <cols>
    <col min="1" max="1" width="41.5703125" style="6" customWidth="1"/>
    <col min="2" max="2" width="15.7109375" style="6" hidden="1" customWidth="1" outlineLevel="1"/>
    <col min="3" max="3" width="22.140625" style="6" customWidth="1" outlineLevel="1"/>
    <col min="4" max="4" width="15" style="6" customWidth="1"/>
    <col min="5" max="5" width="12.28515625" style="6" customWidth="1"/>
    <col min="6" max="6" width="11.140625" style="6" customWidth="1"/>
    <col min="7" max="7" width="31.85546875" style="6" customWidth="1"/>
    <col min="8" max="8" width="13" style="70" customWidth="1"/>
    <col min="9" max="12" width="15.7109375" style="70" hidden="1" customWidth="1" outlineLevel="1"/>
    <col min="13" max="14" width="15.7109375" style="71" customWidth="1" collapsed="1"/>
    <col min="15" max="15" width="15.7109375" style="71" customWidth="1"/>
    <col min="16" max="16" width="17.42578125" style="6" bestFit="1" customWidth="1"/>
    <col min="17" max="17" width="15.7109375" style="6" customWidth="1"/>
    <col min="18" max="18" width="15.7109375" style="72" customWidth="1"/>
    <col min="19" max="19" width="10.7109375" style="72" customWidth="1"/>
    <col min="20" max="20" width="9.5703125" style="73" customWidth="1"/>
    <col min="21" max="21" width="10.85546875" style="74" customWidth="1"/>
    <col min="22" max="22" width="2.7109375" style="6" customWidth="1"/>
    <col min="23" max="25" width="21.7109375" style="78" customWidth="1"/>
    <col min="26" max="26" width="11.42578125" style="6"/>
    <col min="27" max="28" width="0" style="6" hidden="1" customWidth="1" outlineLevel="1"/>
    <col min="29" max="29" width="11.42578125" style="6" collapsed="1"/>
    <col min="30" max="16384" width="11.42578125" style="6"/>
  </cols>
  <sheetData>
    <row r="1" spans="1:28">
      <c r="U1" s="75"/>
    </row>
    <row r="2" spans="1:28" ht="30">
      <c r="A2" s="1" t="s">
        <v>0</v>
      </c>
      <c r="B2" s="1" t="s">
        <v>176</v>
      </c>
      <c r="C2" s="1" t="s">
        <v>177</v>
      </c>
      <c r="D2" s="1" t="s">
        <v>1</v>
      </c>
      <c r="E2" s="1" t="s">
        <v>2</v>
      </c>
      <c r="F2" s="1" t="s">
        <v>3</v>
      </c>
      <c r="G2" s="1" t="s">
        <v>278</v>
      </c>
      <c r="H2" s="2" t="s">
        <v>4</v>
      </c>
      <c r="I2" s="2"/>
      <c r="J2" s="2" t="s">
        <v>99</v>
      </c>
      <c r="K2" s="2" t="s">
        <v>102</v>
      </c>
      <c r="L2" s="2" t="s">
        <v>185</v>
      </c>
      <c r="M2" s="3" t="s">
        <v>279</v>
      </c>
      <c r="N2" s="3" t="s">
        <v>5</v>
      </c>
      <c r="O2" s="3" t="s">
        <v>344</v>
      </c>
      <c r="P2" s="1" t="s">
        <v>6</v>
      </c>
      <c r="Q2" s="1" t="s">
        <v>313</v>
      </c>
      <c r="R2" s="1" t="s">
        <v>104</v>
      </c>
      <c r="S2" s="1" t="s">
        <v>7</v>
      </c>
      <c r="T2" s="1" t="s">
        <v>8</v>
      </c>
      <c r="U2" s="4" t="s">
        <v>9</v>
      </c>
      <c r="V2" s="5"/>
      <c r="W2" s="79" t="s">
        <v>105</v>
      </c>
      <c r="X2" s="79" t="s">
        <v>314</v>
      </c>
      <c r="Y2" s="79" t="s">
        <v>322</v>
      </c>
      <c r="AA2" s="132" t="s">
        <v>338</v>
      </c>
      <c r="AB2" s="132"/>
    </row>
    <row r="3" spans="1:28">
      <c r="A3" s="7" t="s">
        <v>10</v>
      </c>
      <c r="B3" s="8"/>
      <c r="C3" s="8"/>
      <c r="D3" s="8"/>
      <c r="E3" s="8"/>
      <c r="F3" s="8"/>
      <c r="G3" s="8"/>
      <c r="H3" s="9"/>
      <c r="I3" s="9"/>
      <c r="J3" s="9"/>
      <c r="K3" s="9"/>
      <c r="L3" s="9"/>
      <c r="M3" s="10"/>
      <c r="N3" s="10"/>
      <c r="O3" s="10"/>
      <c r="P3" s="8"/>
      <c r="Q3" s="8"/>
      <c r="R3" s="8"/>
      <c r="S3" s="8"/>
      <c r="T3" s="8"/>
      <c r="U3" s="11"/>
      <c r="V3" s="5"/>
      <c r="W3" s="77"/>
      <c r="X3" s="77"/>
      <c r="Y3" s="77"/>
    </row>
    <row r="4" spans="1:28">
      <c r="A4" s="13" t="s">
        <v>11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5"/>
      <c r="M4" s="16"/>
      <c r="N4" s="16"/>
      <c r="O4" s="16"/>
      <c r="P4" s="14"/>
      <c r="Q4" s="14"/>
      <c r="R4" s="14"/>
      <c r="S4" s="14"/>
      <c r="T4" s="14"/>
      <c r="U4" s="17"/>
      <c r="V4" s="5"/>
      <c r="W4" s="77"/>
      <c r="X4" s="77"/>
      <c r="Y4" s="77"/>
    </row>
    <row r="5" spans="1:28" s="29" customFormat="1">
      <c r="A5" s="5" t="s">
        <v>15</v>
      </c>
      <c r="B5" s="18" t="str">
        <f>VLOOKUP(A5,'Identidad de Codigos'!A:C,2,FALSE)</f>
        <v>ARARGE03H348</v>
      </c>
      <c r="C5" s="81">
        <f>VLOOKUP(A5,'Identidad de Codigos'!A:C,3,FALSE)</f>
        <v>5454</v>
      </c>
      <c r="D5" s="18" t="s">
        <v>16</v>
      </c>
      <c r="E5" s="19">
        <v>43535</v>
      </c>
      <c r="F5" s="20" t="s">
        <v>13</v>
      </c>
      <c r="G5" s="20" t="s">
        <v>277</v>
      </c>
      <c r="H5" s="21">
        <f>SUM(J5:K5)</f>
        <v>176494313</v>
      </c>
      <c r="I5" s="21">
        <f t="shared" ref="I5:I8" si="0">H5-SUM(J5:L5)</f>
        <v>0</v>
      </c>
      <c r="J5" s="88">
        <v>175742532</v>
      </c>
      <c r="K5" s="88">
        <v>751781</v>
      </c>
      <c r="L5" s="88"/>
      <c r="M5" s="22"/>
      <c r="N5" s="22">
        <v>103.25</v>
      </c>
      <c r="O5" s="22"/>
      <c r="P5" s="23">
        <f>H5*N5</f>
        <v>18223037817.25</v>
      </c>
      <c r="Q5" s="23">
        <f>P5/$N$95</f>
        <v>904414006.51397085</v>
      </c>
      <c r="R5" s="26">
        <f>VLOOKUP(A5,'Precios para Valuar'!C:Z,6,FALSE)</f>
        <v>7.6930620184926246E-3</v>
      </c>
      <c r="S5" s="26">
        <f>R5+Badlar</f>
        <v>0.2346930620184926</v>
      </c>
      <c r="T5" s="27">
        <f>VLOOKUP(A5,'Precios para Valuar'!C:AC,9,FALSE)</f>
        <v>0.80505704120980293</v>
      </c>
      <c r="U5" s="12">
        <f ca="1">P5/$P$99</f>
        <v>5.8395563862659802E-2</v>
      </c>
      <c r="V5" s="130"/>
      <c r="W5" s="77" t="str">
        <f>VLOOKUP(A5,'Precios para Valuar'!$C:$T,8,FALSE)</f>
        <v>IAMC</v>
      </c>
      <c r="X5" s="77"/>
      <c r="Y5" s="77" t="s">
        <v>335</v>
      </c>
      <c r="Z5" s="6"/>
      <c r="AA5" s="127">
        <f ca="1">S5*U5</f>
        <v>1.3705033691224063E-2</v>
      </c>
      <c r="AB5" s="29">
        <f ca="1">T5*U5</f>
        <v>4.7011759863050992E-2</v>
      </c>
    </row>
    <row r="6" spans="1:28">
      <c r="A6" s="5" t="s">
        <v>17</v>
      </c>
      <c r="B6" s="18" t="str">
        <f>VLOOKUP(A6,'Identidad de Codigos'!A:C,2,FALSE)</f>
        <v>ARARGE3201B9</v>
      </c>
      <c r="C6" s="81">
        <f>VLOOKUP(A6,'Identidad de Codigos'!A:C,3,FALSE)</f>
        <v>5476</v>
      </c>
      <c r="D6" s="20" t="s">
        <v>18</v>
      </c>
      <c r="E6" s="19">
        <v>43891</v>
      </c>
      <c r="F6" s="20" t="s">
        <v>13</v>
      </c>
      <c r="G6" s="20" t="s">
        <v>277</v>
      </c>
      <c r="H6" s="21">
        <f t="shared" ref="H6:H8" si="1">SUM(J6:K6)</f>
        <v>126000000</v>
      </c>
      <c r="I6" s="21">
        <f t="shared" si="0"/>
        <v>0</v>
      </c>
      <c r="J6" s="101">
        <v>120000000</v>
      </c>
      <c r="K6" s="101">
        <v>6000000</v>
      </c>
      <c r="L6" s="88"/>
      <c r="M6" s="22"/>
      <c r="N6" s="22">
        <v>106</v>
      </c>
      <c r="O6" s="22"/>
      <c r="P6" s="23">
        <f t="shared" ref="P6:P8" si="2">H6*N6</f>
        <v>13356000000</v>
      </c>
      <c r="Q6" s="23">
        <f>P6/$N$95</f>
        <v>662861680.48042083</v>
      </c>
      <c r="R6" s="26">
        <f>VLOOKUP(A6,'Precios para Valuar'!C:Z,6,FALSE)</f>
        <v>1.0825858140136702E-2</v>
      </c>
      <c r="S6" s="26">
        <f>R6+Badlar</f>
        <v>0.23782585814013668</v>
      </c>
      <c r="T6" s="27">
        <f>VLOOKUP(A6,'Precios para Valuar'!C:AC,9,FALSE)</f>
        <v>1.4585704759896558</v>
      </c>
      <c r="U6" s="12">
        <f ca="1">P6/$P$99</f>
        <v>4.2799184130068502E-2</v>
      </c>
      <c r="V6" s="130"/>
      <c r="W6" s="77" t="str">
        <f>VLOOKUP(A6,'Precios para Valuar'!$C:$T,8,FALSE)</f>
        <v>IAMC</v>
      </c>
      <c r="X6" s="77"/>
      <c r="Y6" s="77" t="s">
        <v>335</v>
      </c>
      <c r="AA6" s="127">
        <f t="shared" ref="AA6:AA8" ca="1" si="3">S6*U6</f>
        <v>1.0178752693431261E-2</v>
      </c>
      <c r="AB6" s="29">
        <f t="shared" ref="AB6:AB8" ca="1" si="4">T6*U6</f>
        <v>6.2425626368562935E-2</v>
      </c>
    </row>
    <row r="7" spans="1:28">
      <c r="A7" s="5" t="s">
        <v>20</v>
      </c>
      <c r="B7" s="18" t="str">
        <f>VLOOKUP(A7,'Identidad de Codigos'!A:C,2,FALSE)</f>
        <v>ARARGE3203R1</v>
      </c>
      <c r="C7" s="81">
        <f>VLOOKUP(A7,'Identidad de Codigos'!A:C,3,FALSE)</f>
        <v>5480</v>
      </c>
      <c r="D7" s="20" t="s">
        <v>21</v>
      </c>
      <c r="E7" s="19">
        <v>44837</v>
      </c>
      <c r="F7" s="20" t="s">
        <v>13</v>
      </c>
      <c r="G7" s="20" t="s">
        <v>277</v>
      </c>
      <c r="H7" s="21">
        <f t="shared" si="1"/>
        <v>70000000</v>
      </c>
      <c r="I7" s="21">
        <f t="shared" si="0"/>
        <v>0</v>
      </c>
      <c r="J7" s="101">
        <v>70000000</v>
      </c>
      <c r="K7" s="101"/>
      <c r="L7" s="88"/>
      <c r="M7" s="22"/>
      <c r="N7" s="22">
        <v>102.49999999999999</v>
      </c>
      <c r="O7" s="22"/>
      <c r="P7" s="23">
        <f t="shared" si="2"/>
        <v>7174999999.999999</v>
      </c>
      <c r="Q7" s="23">
        <f>P7/$N$95</f>
        <v>356097076.77800381</v>
      </c>
      <c r="R7" s="26">
        <f>VLOOKUP(A7,'Precios para Valuar'!C:Z,6,FALSE)</f>
        <v>1.2745449499236172E-2</v>
      </c>
      <c r="S7" s="26">
        <f>R7+Badlar</f>
        <v>0.23974544949923615</v>
      </c>
      <c r="T7" s="27">
        <f>VLOOKUP(A7,'Precios para Valuar'!C:AC,9,FALSE)</f>
        <v>2.5139607768895256</v>
      </c>
      <c r="U7" s="12">
        <f ca="1">P7/$P$99</f>
        <v>2.2992224178888999E-2</v>
      </c>
      <c r="V7" s="130"/>
      <c r="W7" s="77" t="str">
        <f>VLOOKUP(A7,'Precios para Valuar'!$C:$T,8,FALSE)</f>
        <v>IAMC</v>
      </c>
      <c r="X7" s="77"/>
      <c r="Y7" s="77" t="s">
        <v>335</v>
      </c>
      <c r="AA7" s="127">
        <f t="shared" ca="1" si="3"/>
        <v>5.5122811207549494E-3</v>
      </c>
      <c r="AB7" s="29">
        <f t="shared" ca="1" si="4"/>
        <v>5.7801549759177923E-2</v>
      </c>
    </row>
    <row r="8" spans="1:28">
      <c r="A8" s="5" t="s">
        <v>22</v>
      </c>
      <c r="B8" s="18" t="str">
        <f>VLOOKUP(A8,'Identidad de Codigos'!A:C,2,FALSE)</f>
        <v>ARARGE03G621</v>
      </c>
      <c r="C8" s="81">
        <f>VLOOKUP(A8,'Identidad de Codigos'!A:C,3,FALSE)</f>
        <v>2571</v>
      </c>
      <c r="D8" s="18" t="s">
        <v>23</v>
      </c>
      <c r="E8" s="19">
        <v>44838</v>
      </c>
      <c r="F8" s="20" t="s">
        <v>13</v>
      </c>
      <c r="G8" s="20" t="s">
        <v>277</v>
      </c>
      <c r="H8" s="21">
        <f t="shared" si="1"/>
        <v>50000000</v>
      </c>
      <c r="I8" s="21">
        <f t="shared" si="0"/>
        <v>0</v>
      </c>
      <c r="J8" s="101">
        <v>50000000</v>
      </c>
      <c r="K8" s="101"/>
      <c r="L8" s="88"/>
      <c r="M8" s="22"/>
      <c r="N8" s="22">
        <v>166.2</v>
      </c>
      <c r="O8" s="22"/>
      <c r="P8" s="23">
        <f t="shared" si="2"/>
        <v>8309999999.999999</v>
      </c>
      <c r="Q8" s="23">
        <f>P8/$N$95</f>
        <v>412427415.75264275</v>
      </c>
      <c r="R8" s="26">
        <f>VLOOKUP(A8,'Precios para Valuar'!C:Z,6,FALSE)</f>
        <v>2.780701395963836E-2</v>
      </c>
      <c r="S8" s="26">
        <f>R8+Badlar</f>
        <v>0.25480701395963834</v>
      </c>
      <c r="T8" s="27">
        <f>VLOOKUP(A8,'Precios para Valuar'!C:AC,9,FALSE)</f>
        <v>2.0469371169843034</v>
      </c>
      <c r="U8" s="12">
        <f ca="1">P8/$P$99</f>
        <v>2.6629321662239382E-2</v>
      </c>
      <c r="V8" s="130"/>
      <c r="W8" s="77" t="str">
        <f>VLOOKUP(A8,'Precios para Valuar'!$C:$T,8,FALSE)</f>
        <v>IAMC</v>
      </c>
      <c r="X8" s="77"/>
      <c r="Y8" s="77"/>
      <c r="AA8" s="127">
        <f t="shared" ca="1" si="3"/>
        <v>6.7853379365259295E-3</v>
      </c>
      <c r="AB8" s="29">
        <f t="shared" ca="1" si="4"/>
        <v>5.4508546910551937E-2</v>
      </c>
    </row>
    <row r="9" spans="1:28">
      <c r="A9" s="31" t="s">
        <v>24</v>
      </c>
      <c r="B9" s="20"/>
      <c r="C9" s="20"/>
      <c r="D9" s="20"/>
      <c r="E9" s="19"/>
      <c r="F9" s="20"/>
      <c r="G9" s="20"/>
      <c r="H9" s="21"/>
      <c r="I9" s="21"/>
      <c r="J9" s="21"/>
      <c r="K9" s="21"/>
      <c r="L9" s="21"/>
      <c r="M9" s="22"/>
      <c r="N9" s="22"/>
      <c r="O9" s="22"/>
      <c r="P9" s="23"/>
      <c r="Q9" s="23"/>
      <c r="R9" s="26"/>
      <c r="S9" s="26"/>
      <c r="T9" s="27"/>
      <c r="U9" s="12"/>
      <c r="V9" s="30"/>
      <c r="W9" s="77"/>
      <c r="X9" s="77"/>
      <c r="Y9" s="77"/>
    </row>
    <row r="10" spans="1:28" s="29" customFormat="1">
      <c r="A10" s="5" t="s">
        <v>26</v>
      </c>
      <c r="B10" s="18" t="str">
        <f>VLOOKUP(A10,'Identidad de Codigos'!A:C,2,FALSE)</f>
        <v>ARARGE3204M0</v>
      </c>
      <c r="C10" s="81">
        <f>VLOOKUP(A10,'Identidad de Codigos'!A:C,3,FALSE)</f>
        <v>5327</v>
      </c>
      <c r="D10" s="18" t="s">
        <v>27</v>
      </c>
      <c r="E10" s="19">
        <v>44003</v>
      </c>
      <c r="F10" s="20" t="s">
        <v>28</v>
      </c>
      <c r="G10" s="20" t="s">
        <v>277</v>
      </c>
      <c r="H10" s="21">
        <f>SUM(J10:K10)</f>
        <v>170000000</v>
      </c>
      <c r="I10" s="21">
        <f>H10-SUM(J10:L10)</f>
        <v>0</v>
      </c>
      <c r="J10" s="101">
        <v>170000000</v>
      </c>
      <c r="K10" s="101"/>
      <c r="L10" s="88"/>
      <c r="M10" s="22"/>
      <c r="N10" s="22">
        <v>107.1</v>
      </c>
      <c r="O10" s="22"/>
      <c r="P10" s="23">
        <f>H10*N10</f>
        <v>18207000000</v>
      </c>
      <c r="Q10" s="23"/>
      <c r="R10" s="26">
        <f>VLOOKUP(A10,'Precios para Valuar'!C:Z,6,FALSE)</f>
        <v>0.23631964287074858</v>
      </c>
      <c r="S10" s="26">
        <f>+R10</f>
        <v>0.23631964287074858</v>
      </c>
      <c r="T10" s="27">
        <f>VLOOKUP(A10,'Precios para Valuar'!C:AC,9,FALSE)</f>
        <v>1.6395754454513933</v>
      </c>
      <c r="U10" s="12">
        <f ca="1">P10/$P$99</f>
        <v>5.8344170818819797E-2</v>
      </c>
      <c r="V10" s="130"/>
      <c r="W10" s="77" t="str">
        <f>VLOOKUP(A10,'Precios para Valuar'!$C:$T,8,FALSE)</f>
        <v>IAMC</v>
      </c>
      <c r="X10" s="77"/>
      <c r="Y10" s="77"/>
      <c r="Z10" s="6"/>
      <c r="AA10" s="127">
        <f ca="1">S10*U10</f>
        <v>1.3787873611493445E-2</v>
      </c>
      <c r="AB10" s="29">
        <f ca="1">T10*U10</f>
        <v>9.5659669859758656E-2</v>
      </c>
    </row>
    <row r="11" spans="1:28">
      <c r="A11" s="31" t="s">
        <v>30</v>
      </c>
      <c r="B11" s="18"/>
      <c r="C11" s="18"/>
      <c r="D11" s="18"/>
      <c r="E11" s="19"/>
      <c r="F11" s="20"/>
      <c r="G11" s="20"/>
      <c r="H11" s="21"/>
      <c r="I11" s="21"/>
      <c r="J11" s="21"/>
      <c r="K11" s="21"/>
      <c r="L11" s="21"/>
      <c r="M11" s="22"/>
      <c r="N11" s="22">
        <v>0</v>
      </c>
      <c r="O11" s="22"/>
      <c r="P11" s="23"/>
      <c r="Q11" s="23"/>
      <c r="R11" s="24"/>
      <c r="S11" s="24"/>
      <c r="T11" s="25"/>
      <c r="U11" s="12"/>
      <c r="V11" s="23"/>
      <c r="W11" s="77"/>
      <c r="X11" s="77"/>
      <c r="Y11" s="77"/>
    </row>
    <row r="12" spans="1:28" s="29" customFormat="1">
      <c r="A12" s="5" t="s">
        <v>315</v>
      </c>
      <c r="B12" s="18" t="str">
        <f>VLOOKUP(A12,'Identidad de Codigos'!A:C,2,FALSE)</f>
        <v>ARARGE3205N5</v>
      </c>
      <c r="C12" s="81">
        <f>VLOOKUP(A12,'Identidad de Codigos'!A:C,3,FALSE)</f>
        <v>11111</v>
      </c>
      <c r="D12" s="18" t="s">
        <v>318</v>
      </c>
      <c r="E12" s="19">
        <v>44399</v>
      </c>
      <c r="F12" s="20" t="s">
        <v>33</v>
      </c>
      <c r="G12" s="20" t="s">
        <v>277</v>
      </c>
      <c r="H12" s="21">
        <f>SUM(J12:K12)</f>
        <v>130000000</v>
      </c>
      <c r="I12" s="21">
        <f t="shared" ref="I12" si="5">H12-SUM(J12:L12)</f>
        <v>0</v>
      </c>
      <c r="J12" s="101">
        <v>120000000</v>
      </c>
      <c r="K12" s="101">
        <v>10000000</v>
      </c>
      <c r="L12" s="101"/>
      <c r="M12" s="22"/>
      <c r="N12" s="22">
        <v>106.1</v>
      </c>
      <c r="O12" s="22"/>
      <c r="P12" s="23">
        <f>H12*N12</f>
        <v>13793000000</v>
      </c>
      <c r="Q12" s="23">
        <f>P12/$N$95</f>
        <v>684550101.74202192</v>
      </c>
      <c r="R12" s="26">
        <f>VLOOKUP(A12,'Precios para Valuar'!C:Z,6,FALSE)</f>
        <v>1.8314853310585022E-2</v>
      </c>
      <c r="S12" s="26">
        <f>+R12+CER</f>
        <v>0.19631485331058501</v>
      </c>
      <c r="T12" s="27">
        <f>VLOOKUP(A12,'Precios para Valuar'!C:AC,9,FALSE)</f>
        <v>1.6249665589413085</v>
      </c>
      <c r="U12" s="12">
        <f ca="1">P12/$P$99</f>
        <v>4.4199546773437771E-2</v>
      </c>
      <c r="V12" s="130"/>
      <c r="W12" s="77" t="str">
        <f>VLOOKUP(A12,'Precios para Valuar'!$C:$T,8,FALSE)</f>
        <v>IAMC</v>
      </c>
      <c r="X12" s="77"/>
      <c r="Y12" s="77"/>
      <c r="Z12" s="6"/>
      <c r="AA12" s="127">
        <f t="shared" ref="AA12:AA13" ca="1" si="6">S12*U12</f>
        <v>8.6770275412217778E-3</v>
      </c>
      <c r="AB12" s="29">
        <f t="shared" ref="AB12:AB13" ca="1" si="7">T12*U12</f>
        <v>7.1822785427198596E-2</v>
      </c>
    </row>
    <row r="13" spans="1:28" s="29" customFormat="1">
      <c r="A13" s="5" t="s">
        <v>29</v>
      </c>
      <c r="B13" s="18" t="str">
        <f>VLOOKUP(A13,'Identidad de Codigos'!A:C,2,FALSE)</f>
        <v>ARARGE320283</v>
      </c>
      <c r="C13" s="81">
        <f>VLOOKUP(A13,'Identidad de Codigos'!A:C,3,FALSE)</f>
        <v>5315</v>
      </c>
      <c r="D13" s="18" t="s">
        <v>319</v>
      </c>
      <c r="E13" s="19">
        <v>44399</v>
      </c>
      <c r="F13" s="20" t="s">
        <v>33</v>
      </c>
      <c r="G13" s="20" t="s">
        <v>277</v>
      </c>
      <c r="H13" s="21">
        <f>SUM(J13:K13)</f>
        <v>266460000</v>
      </c>
      <c r="I13" s="21">
        <f t="shared" ref="I13" si="8">H13-SUM(J13:L13)</f>
        <v>0</v>
      </c>
      <c r="J13" s="101">
        <v>261600000</v>
      </c>
      <c r="K13" s="101">
        <v>4860000</v>
      </c>
      <c r="L13" s="88"/>
      <c r="M13" s="22"/>
      <c r="N13" s="22">
        <v>140.19999999999999</v>
      </c>
      <c r="O13" s="22"/>
      <c r="P13" s="23">
        <f>H13*N13</f>
        <v>37357692000</v>
      </c>
      <c r="Q13" s="23">
        <f>P13/$N$95</f>
        <v>1854071765.3481562</v>
      </c>
      <c r="R13" s="26">
        <f>VLOOKUP(A13,'Precios para Valuar'!C:Z,6,FALSE)</f>
        <v>3.5467475040920959E-2</v>
      </c>
      <c r="S13" s="26">
        <f>+R13+CER</f>
        <v>0.21346747504092095</v>
      </c>
      <c r="T13" s="27">
        <f>VLOOKUP(A13,'Precios para Valuar'!C:AC,9,FALSE)</f>
        <v>3.1162152555989544</v>
      </c>
      <c r="U13" s="12">
        <f ca="1">P13/$P$99</f>
        <v>0.11971239432332936</v>
      </c>
      <c r="V13" s="130"/>
      <c r="W13" s="77" t="str">
        <f>VLOOKUP(A13,'Precios para Valuar'!$C:$T,8,FALSE)</f>
        <v>IAMC</v>
      </c>
      <c r="X13" s="77"/>
      <c r="Y13" s="77" t="s">
        <v>336</v>
      </c>
      <c r="Z13" s="6"/>
      <c r="AA13" s="127">
        <f t="shared" ca="1" si="6"/>
        <v>2.5554702547304197E-2</v>
      </c>
      <c r="AB13" s="29">
        <f t="shared" ca="1" si="7"/>
        <v>0.37304958947463662</v>
      </c>
    </row>
    <row r="14" spans="1:28" s="29" customFormat="1">
      <c r="A14" s="31" t="s">
        <v>34</v>
      </c>
      <c r="B14" s="18"/>
      <c r="C14" s="18"/>
      <c r="D14" s="18"/>
      <c r="E14" s="19"/>
      <c r="F14" s="20"/>
      <c r="G14" s="20"/>
      <c r="H14" s="21"/>
      <c r="I14" s="21"/>
      <c r="J14" s="21"/>
      <c r="K14" s="21"/>
      <c r="L14" s="21"/>
      <c r="M14" s="22"/>
      <c r="N14" s="22"/>
      <c r="O14" s="22"/>
      <c r="P14" s="23"/>
      <c r="Q14" s="23"/>
      <c r="R14" s="12"/>
      <c r="S14" s="12"/>
      <c r="T14" s="27"/>
      <c r="U14" s="12"/>
      <c r="V14" s="28"/>
      <c r="W14" s="77"/>
      <c r="X14" s="77"/>
      <c r="Y14" s="77"/>
      <c r="Z14" s="6"/>
    </row>
    <row r="15" spans="1:28" s="29" customFormat="1">
      <c r="A15" s="5" t="s">
        <v>37</v>
      </c>
      <c r="B15" s="18" t="str">
        <f>VLOOKUP(A15,'Identidad de Codigos'!A:C,2,FALSE)</f>
        <v>US040114HK99</v>
      </c>
      <c r="C15" s="81">
        <f>VLOOKUP(A15,'Identidad de Codigos'!A:C,3,FALSE)</f>
        <v>92583</v>
      </c>
      <c r="D15" s="18" t="s">
        <v>271</v>
      </c>
      <c r="E15" s="19">
        <v>43174</v>
      </c>
      <c r="F15" s="20" t="s">
        <v>36</v>
      </c>
      <c r="G15" s="20" t="s">
        <v>277</v>
      </c>
      <c r="H15" s="21">
        <f>SUM(J15:K15)</f>
        <v>3000000</v>
      </c>
      <c r="I15" s="21">
        <f t="shared" ref="I15" si="9">H15-SUM(J15:L15)</f>
        <v>0</v>
      </c>
      <c r="J15" s="101">
        <v>3000000</v>
      </c>
      <c r="K15" s="101"/>
      <c r="L15" s="88"/>
      <c r="M15" s="22"/>
      <c r="N15" s="22">
        <f>VLOOKUP(A15,'Precios para Valuar'!$C:$L,5,FALSE)/100</f>
        <v>20.65</v>
      </c>
      <c r="O15" s="22">
        <v>110.46168695372405</v>
      </c>
      <c r="P15" s="23">
        <f>H15*N15</f>
        <v>61949999.999999993</v>
      </c>
      <c r="Q15" s="23">
        <f>P15/$N$95</f>
        <v>3074594.2726686182</v>
      </c>
      <c r="R15" s="26">
        <f>VLOOKUP(A15,'Precios para Valuar'!C:Z,6,FALSE)</f>
        <v>5.2421855275266438E-2</v>
      </c>
      <c r="S15" s="26">
        <f>+R15+Dev</f>
        <v>0.20384376206964827</v>
      </c>
      <c r="T15" s="27">
        <f>VLOOKUP(A15,'Precios para Valuar'!C:AC,9,FALSE)</f>
        <v>3.3672351410341701</v>
      </c>
      <c r="U15" s="12">
        <f ca="1">P15/$P$99</f>
        <v>1.9851822827626111E-4</v>
      </c>
      <c r="V15" s="130"/>
      <c r="W15" s="77" t="str">
        <f>VLOOKUP(A15,'Precios para Valuar'!$C:$T,8,FALSE)</f>
        <v>IAMC</v>
      </c>
      <c r="X15" s="77"/>
      <c r="Y15" s="77" t="s">
        <v>335</v>
      </c>
      <c r="Z15" s="6"/>
      <c r="AA15" s="127">
        <f ca="1">S15*U15</f>
        <v>4.0466702491234293E-5</v>
      </c>
      <c r="AB15" s="29">
        <f ca="1">T15*U15</f>
        <v>6.6845755438766968E-4</v>
      </c>
    </row>
    <row r="16" spans="1:28" s="29" customFormat="1">
      <c r="A16" s="32" t="s">
        <v>98</v>
      </c>
      <c r="B16" s="32"/>
      <c r="C16" s="32"/>
      <c r="D16" s="32"/>
      <c r="E16" s="33"/>
      <c r="F16" s="32"/>
      <c r="G16" s="32"/>
      <c r="H16" s="34"/>
      <c r="I16" s="34"/>
      <c r="J16" s="34"/>
      <c r="K16" s="34"/>
      <c r="L16" s="34"/>
      <c r="M16" s="35"/>
      <c r="N16" s="35"/>
      <c r="O16" s="35"/>
      <c r="P16" s="36"/>
      <c r="Q16" s="36"/>
      <c r="R16" s="37"/>
      <c r="S16" s="37"/>
      <c r="T16" s="38"/>
      <c r="U16" s="39"/>
      <c r="V16" s="28"/>
      <c r="W16" s="77"/>
      <c r="X16" s="77"/>
      <c r="Y16" s="77"/>
      <c r="Z16" s="6"/>
    </row>
    <row r="17" spans="1:31">
      <c r="A17" s="13" t="s">
        <v>100</v>
      </c>
      <c r="B17" s="28"/>
      <c r="C17" s="28"/>
      <c r="D17" s="28"/>
      <c r="E17" s="40"/>
      <c r="F17" s="28"/>
      <c r="G17" s="87"/>
      <c r="H17" s="21"/>
      <c r="I17" s="21"/>
      <c r="J17" s="21"/>
      <c r="K17" s="21"/>
      <c r="L17" s="21"/>
      <c r="M17" s="22"/>
      <c r="N17" s="22"/>
      <c r="O17" s="22"/>
      <c r="P17" s="41"/>
      <c r="Q17" s="41"/>
      <c r="R17" s="42"/>
      <c r="S17" s="42"/>
      <c r="T17" s="43"/>
      <c r="U17" s="44"/>
      <c r="V17" s="28"/>
      <c r="W17" s="77"/>
      <c r="X17" s="77"/>
      <c r="Y17" s="77"/>
      <c r="AE17" s="29" t="s">
        <v>284</v>
      </c>
    </row>
    <row r="18" spans="1:31" s="29" customFormat="1">
      <c r="A18" s="45" t="s">
        <v>284</v>
      </c>
      <c r="B18" s="18"/>
      <c r="C18" s="81">
        <f>VLOOKUP(A18,'Identidad de Codigos'!A:C,3,FALSE)</f>
        <v>46824</v>
      </c>
      <c r="D18" s="18" t="s">
        <v>101</v>
      </c>
      <c r="E18" s="40">
        <v>43208</v>
      </c>
      <c r="F18" s="20" t="s">
        <v>81</v>
      </c>
      <c r="G18" s="20" t="s">
        <v>281</v>
      </c>
      <c r="H18" s="21">
        <f t="shared" ref="H18:H21" si="10">SUM(J18:K18)</f>
        <v>150000000</v>
      </c>
      <c r="I18" s="21"/>
      <c r="J18" s="88">
        <v>150000000</v>
      </c>
      <c r="K18" s="88" t="s">
        <v>334</v>
      </c>
      <c r="L18" s="88"/>
      <c r="M18" s="22"/>
      <c r="N18" s="123">
        <v>98.492699999999999</v>
      </c>
      <c r="O18" s="123"/>
      <c r="P18" s="23">
        <f t="shared" ref="P18:P21" si="11">H18*N18</f>
        <v>14773905000</v>
      </c>
      <c r="Q18" s="23">
        <f>P18/$N$95</f>
        <v>733232666.63357985</v>
      </c>
      <c r="R18" s="26">
        <f>VLOOKUP(A18,'Precios para Valuar'!C:Z,6,FALSE)</f>
        <v>0.26599239866314628</v>
      </c>
      <c r="S18" s="26">
        <f>+R18</f>
        <v>0.26599239866314628</v>
      </c>
      <c r="T18" s="27">
        <f>VLOOKUP(A18,'Precios para Valuar'!C:AC,9,FALSE)</f>
        <v>4.5445965264955042E-2</v>
      </c>
      <c r="U18" s="12">
        <f ca="1">P18/$P$99</f>
        <v>4.7342848189213811E-2</v>
      </c>
      <c r="V18" s="130"/>
      <c r="W18" s="77" t="str">
        <f>VLOOKUP(A18,'Precios para Valuar'!$C:$T,8,FALSE)</f>
        <v>MAE</v>
      </c>
      <c r="X18" s="77"/>
      <c r="Y18" s="77"/>
      <c r="Z18" s="6"/>
      <c r="AA18" s="127">
        <f t="shared" ref="AA18:AA21" ca="1" si="12">S18*U18</f>
        <v>1.2592837749394173E-2</v>
      </c>
      <c r="AB18" s="29">
        <f t="shared" ref="AB18:AB21" ca="1" si="13">T18*U18</f>
        <v>2.1515414343510507E-3</v>
      </c>
      <c r="AE18" s="29" t="s">
        <v>280</v>
      </c>
    </row>
    <row r="19" spans="1:31" s="29" customFormat="1">
      <c r="A19" s="45" t="s">
        <v>280</v>
      </c>
      <c r="B19" s="18"/>
      <c r="C19" s="81">
        <f>VLOOKUP(A19,'Identidad de Codigos'!A:C,3,FALSE)</f>
        <v>46825</v>
      </c>
      <c r="D19" s="18" t="s">
        <v>101</v>
      </c>
      <c r="E19" s="76">
        <v>43236</v>
      </c>
      <c r="F19" s="20" t="s">
        <v>81</v>
      </c>
      <c r="G19" s="20" t="s">
        <v>281</v>
      </c>
      <c r="H19" s="21">
        <f t="shared" si="10"/>
        <v>608400000</v>
      </c>
      <c r="I19" s="21"/>
      <c r="J19" s="88">
        <v>579600000</v>
      </c>
      <c r="K19" s="101">
        <v>28800000</v>
      </c>
      <c r="L19" s="88"/>
      <c r="M19" s="22"/>
      <c r="N19" s="123">
        <v>96.602248000000003</v>
      </c>
      <c r="O19" s="123"/>
      <c r="P19" s="23">
        <f t="shared" si="11"/>
        <v>58772807683.200005</v>
      </c>
      <c r="Q19" s="23">
        <f>P19/$N$95</f>
        <v>2916909409.0624847</v>
      </c>
      <c r="R19" s="26">
        <f>VLOOKUP(A19,'Precios para Valuar'!C:Z,6,FALSE)</f>
        <v>0.26199996201043313</v>
      </c>
      <c r="S19" s="26">
        <f t="shared" ref="S19:S21" si="14">+R19</f>
        <v>0.26199996201043313</v>
      </c>
      <c r="T19" s="27">
        <f>VLOOKUP(A19,'Precios para Valuar'!C:AC,9,FALSE)</f>
        <v>0.10637605339433118</v>
      </c>
      <c r="U19" s="12">
        <f ca="1">P19/$P$99</f>
        <v>0.18833694353656646</v>
      </c>
      <c r="V19" s="130"/>
      <c r="W19" s="77" t="str">
        <f>VLOOKUP(A19,'Precios para Valuar'!$C:$T,8,FALSE)</f>
        <v>MAE</v>
      </c>
      <c r="X19" s="77"/>
      <c r="Y19" s="77"/>
      <c r="Z19" s="6"/>
      <c r="AA19" s="127">
        <f t="shared" ca="1" si="12"/>
        <v>4.9344272051741501E-2</v>
      </c>
      <c r="AB19" s="29">
        <f t="shared" ca="1" si="13"/>
        <v>2.0034540761770931E-2</v>
      </c>
      <c r="AE19" s="29" t="s">
        <v>282</v>
      </c>
    </row>
    <row r="20" spans="1:31" s="29" customFormat="1">
      <c r="A20" s="45" t="s">
        <v>282</v>
      </c>
      <c r="B20" s="18"/>
      <c r="C20" s="81">
        <f>VLOOKUP(A20,'Identidad de Codigos'!A:C,3,FALSE)</f>
        <v>46827</v>
      </c>
      <c r="D20" s="18" t="s">
        <v>101</v>
      </c>
      <c r="E20" s="76">
        <v>43272</v>
      </c>
      <c r="F20" s="20" t="s">
        <v>81</v>
      </c>
      <c r="G20" s="20" t="s">
        <v>281</v>
      </c>
      <c r="H20" s="21">
        <f t="shared" si="10"/>
        <v>237000000</v>
      </c>
      <c r="I20" s="21"/>
      <c r="J20" s="88">
        <v>220000000</v>
      </c>
      <c r="K20" s="88">
        <v>17000000</v>
      </c>
      <c r="L20" s="88"/>
      <c r="M20" s="22"/>
      <c r="N20" s="123">
        <v>94.270180999999994</v>
      </c>
      <c r="O20" s="123"/>
      <c r="P20" s="23">
        <f t="shared" si="11"/>
        <v>22342032897</v>
      </c>
      <c r="Q20" s="23">
        <f>P20/$N$95</f>
        <v>1108840781.0313168</v>
      </c>
      <c r="R20" s="26">
        <f>VLOOKUP(A20,'Precios para Valuar'!C:Z,6,FALSE)</f>
        <v>0.26099999619554115</v>
      </c>
      <c r="S20" s="26">
        <f t="shared" si="14"/>
        <v>0.26099999619554115</v>
      </c>
      <c r="T20" s="27">
        <f>VLOOKUP(A20,'Precios para Valuar'!C:AC,9,FALSE)</f>
        <v>0.18467621969180031</v>
      </c>
      <c r="U20" s="12">
        <f ca="1">P20/$P$99</f>
        <v>7.1594847244590504E-2</v>
      </c>
      <c r="V20" s="130"/>
      <c r="W20" s="77" t="str">
        <f>VLOOKUP(A20,'Precios para Valuar'!$C:$T,8,FALSE)</f>
        <v>MAE</v>
      </c>
      <c r="X20" s="77"/>
      <c r="Y20" s="77"/>
      <c r="Z20" s="6"/>
      <c r="AA20" s="127">
        <f t="shared" ca="1" si="12"/>
        <v>1.868625485845847E-2</v>
      </c>
      <c r="AB20" s="29">
        <f t="shared" ca="1" si="13"/>
        <v>1.3221865738542881E-2</v>
      </c>
      <c r="AE20" s="29" t="s">
        <v>283</v>
      </c>
    </row>
    <row r="21" spans="1:31" s="29" customFormat="1">
      <c r="A21" s="45" t="s">
        <v>283</v>
      </c>
      <c r="B21" s="18"/>
      <c r="C21" s="81">
        <f>VLOOKUP(A21,'Identidad de Codigos'!A:C,3,FALSE)</f>
        <v>46828</v>
      </c>
      <c r="D21" s="18" t="s">
        <v>101</v>
      </c>
      <c r="E21" s="76">
        <v>43299</v>
      </c>
      <c r="F21" s="20" t="s">
        <v>81</v>
      </c>
      <c r="G21" s="20" t="s">
        <v>281</v>
      </c>
      <c r="H21" s="21">
        <f t="shared" si="10"/>
        <v>210000000</v>
      </c>
      <c r="I21" s="21"/>
      <c r="J21" s="88">
        <v>210000000</v>
      </c>
      <c r="K21" s="88"/>
      <c r="L21" s="88"/>
      <c r="M21" s="22"/>
      <c r="N21" s="123">
        <v>92.611400000000003</v>
      </c>
      <c r="O21" s="123"/>
      <c r="P21" s="23">
        <f t="shared" si="11"/>
        <v>19448394000</v>
      </c>
      <c r="Q21" s="23">
        <f>P21/$N$95</f>
        <v>965228745.84346616</v>
      </c>
      <c r="R21" s="26">
        <f>VLOOKUP(A21,'Precios para Valuar'!C:Z,6,FALSE)</f>
        <v>0.25999952104014312</v>
      </c>
      <c r="S21" s="26">
        <f t="shared" si="14"/>
        <v>0.25999952104014312</v>
      </c>
      <c r="T21" s="27">
        <f>VLOOKUP(A21,'Precios para Valuar'!C:AC,9,FALSE)</f>
        <v>0.24353129500810108</v>
      </c>
      <c r="U21" s="12">
        <f ca="1">P21/$P$99</f>
        <v>6.2322206936217386E-2</v>
      </c>
      <c r="V21" s="130"/>
      <c r="W21" s="77" t="str">
        <f>VLOOKUP(A21,'Precios para Valuar'!$C:$T,8,FALSE)</f>
        <v>MAE</v>
      </c>
      <c r="X21" s="77"/>
      <c r="Y21" s="77"/>
      <c r="Z21" s="6"/>
      <c r="AA21" s="127">
        <f t="shared" ca="1" si="12"/>
        <v>1.6203743953581207E-2</v>
      </c>
      <c r="AB21" s="29">
        <f t="shared" ca="1" si="13"/>
        <v>1.517740776293988E-2</v>
      </c>
    </row>
    <row r="22" spans="1:31" s="29" customFormat="1">
      <c r="A22" s="32" t="s">
        <v>39</v>
      </c>
      <c r="B22" s="32"/>
      <c r="C22" s="32"/>
      <c r="D22" s="32"/>
      <c r="E22" s="33"/>
      <c r="F22" s="32"/>
      <c r="G22" s="32"/>
      <c r="H22" s="34"/>
      <c r="I22" s="34"/>
      <c r="J22" s="34"/>
      <c r="K22" s="34"/>
      <c r="L22" s="34"/>
      <c r="M22" s="35"/>
      <c r="N22" s="35"/>
      <c r="O22" s="35"/>
      <c r="P22" s="36"/>
      <c r="Q22" s="36"/>
      <c r="R22" s="37"/>
      <c r="S22" s="37"/>
      <c r="T22" s="38"/>
      <c r="U22" s="39"/>
      <c r="V22" s="28"/>
      <c r="W22" s="77"/>
      <c r="X22" s="77"/>
      <c r="Y22" s="77"/>
    </row>
    <row r="23" spans="1:31">
      <c r="A23" s="13" t="s">
        <v>11</v>
      </c>
      <c r="B23" s="28"/>
      <c r="C23" s="28"/>
      <c r="D23" s="28"/>
      <c r="E23" s="40"/>
      <c r="F23" s="28"/>
      <c r="G23" s="87"/>
      <c r="H23" s="21"/>
      <c r="I23" s="21"/>
      <c r="J23" s="21"/>
      <c r="K23" s="21"/>
      <c r="L23" s="21"/>
      <c r="M23" s="22"/>
      <c r="N23" s="22"/>
      <c r="O23" s="22"/>
      <c r="P23" s="41"/>
      <c r="Q23" s="41"/>
      <c r="R23" s="42"/>
      <c r="S23" s="42"/>
      <c r="T23" s="43"/>
      <c r="U23" s="44"/>
      <c r="V23" s="28"/>
      <c r="W23" s="77"/>
      <c r="X23" s="77"/>
      <c r="Y23" s="77"/>
      <c r="Z23" s="29"/>
    </row>
    <row r="24" spans="1:31" s="29" customFormat="1">
      <c r="A24" s="45" t="s">
        <v>41</v>
      </c>
      <c r="B24" s="18" t="str">
        <f>VLOOKUP(A24,'Identidad de Codigos'!A:C,2,FALSE)</f>
        <v>ARBHIP5600O4</v>
      </c>
      <c r="C24" s="81">
        <f>VLOOKUP(A24,'Identidad de Codigos'!A:C,3,FALSE)</f>
        <v>52259</v>
      </c>
      <c r="D24" s="18" t="s">
        <v>42</v>
      </c>
      <c r="E24" s="40">
        <v>43881</v>
      </c>
      <c r="F24" s="20" t="s">
        <v>13</v>
      </c>
      <c r="G24" s="20" t="s">
        <v>285</v>
      </c>
      <c r="H24" s="21">
        <f t="shared" ref="H24:H75" si="15">SUM(J24:K24)</f>
        <v>60000000</v>
      </c>
      <c r="I24" s="21">
        <f t="shared" ref="I24:I46" si="16">H24-SUM(J24:L24)</f>
        <v>0</v>
      </c>
      <c r="J24" s="101">
        <v>51500000</v>
      </c>
      <c r="K24" s="101">
        <v>8500000</v>
      </c>
      <c r="L24" s="88"/>
      <c r="M24" s="22"/>
      <c r="N24" s="22">
        <v>101.38329396439696</v>
      </c>
      <c r="O24" s="22"/>
      <c r="P24" s="23">
        <f t="shared" ref="P24:P46" si="17">H24*N24</f>
        <v>6082997637.8638172</v>
      </c>
      <c r="Q24" s="23">
        <f t="shared" ref="Q24:Q46" si="18">P24/$N$95</f>
        <v>301900721.51788265</v>
      </c>
      <c r="R24" s="26">
        <f>VLOOKUP(A24,'Precios para Valuar'!C:Z,6,FALSE)</f>
        <v>4.3196699126642452E-2</v>
      </c>
      <c r="S24" s="26">
        <f t="shared" ref="S24:S46" si="19">+R24+Badlar</f>
        <v>0.27019669912664246</v>
      </c>
      <c r="T24" s="27">
        <f>VLOOKUP(A24,'Precios para Valuar'!C:AC,9,FALSE)</f>
        <v>1.398060025806801</v>
      </c>
      <c r="U24" s="12">
        <f t="shared" ref="U24:U46" ca="1" si="20">P24/$P$99</f>
        <v>1.9492912246608662E-2</v>
      </c>
      <c r="V24" s="130"/>
      <c r="W24" s="77" t="str">
        <f>VLOOKUP(A24,'Precios para Valuar'!$C:$T,8,FALSE)</f>
        <v>devengado</v>
      </c>
      <c r="X24" s="77"/>
      <c r="Y24" s="77" t="s">
        <v>323</v>
      </c>
      <c r="Z24" s="6"/>
      <c r="AA24" s="127">
        <f t="shared" ref="AA24:AA46" ca="1" si="21">S24*U24</f>
        <v>5.2669205453989643E-3</v>
      </c>
      <c r="AB24" s="29">
        <f t="shared" ref="AB24:AB46" ca="1" si="22">T24*U24</f>
        <v>2.7252261398543413E-2</v>
      </c>
    </row>
    <row r="25" spans="1:31" s="29" customFormat="1">
      <c r="A25" s="45" t="s">
        <v>286</v>
      </c>
      <c r="B25" s="18" t="str">
        <f>VLOOKUP(A25,'Identidad de Codigos'!A:C,2,FALSE)</f>
        <v>ARBHIP5600W7</v>
      </c>
      <c r="C25" s="81">
        <f>VLOOKUP(A25,'Identidad de Codigos'!A:C,3,FALSE)</f>
        <v>11111</v>
      </c>
      <c r="D25" s="18" t="s">
        <v>307</v>
      </c>
      <c r="E25" s="40">
        <v>43875</v>
      </c>
      <c r="F25" s="20" t="s">
        <v>13</v>
      </c>
      <c r="G25" s="20" t="s">
        <v>285</v>
      </c>
      <c r="H25" s="21">
        <f t="shared" si="15"/>
        <v>19000000</v>
      </c>
      <c r="I25" s="21">
        <f>H25-SUM(J25:L25)</f>
        <v>0</v>
      </c>
      <c r="J25" s="101">
        <v>15000000</v>
      </c>
      <c r="K25" s="101">
        <v>4000000</v>
      </c>
      <c r="L25" s="101"/>
      <c r="M25" s="22"/>
      <c r="N25" s="22">
        <v>103.81825073858306</v>
      </c>
      <c r="O25" s="22"/>
      <c r="P25" s="23">
        <f t="shared" si="17"/>
        <v>1972546764.0330782</v>
      </c>
      <c r="Q25" s="23">
        <f t="shared" si="18"/>
        <v>97897998.115692005</v>
      </c>
      <c r="R25" s="26">
        <f>VLOOKUP(A25,'Precios para Valuar'!C:Z,6,FALSE)</f>
        <v>3.363004103524056E-2</v>
      </c>
      <c r="S25" s="26">
        <f>+R25+Badlar</f>
        <v>0.26063004103524057</v>
      </c>
      <c r="T25" s="27">
        <f>VLOOKUP(A25,'Precios para Valuar'!C:AC,9,FALSE)</f>
        <v>1.3744179381829043</v>
      </c>
      <c r="U25" s="12">
        <f t="shared" ca="1" si="20"/>
        <v>6.3210086971415462E-3</v>
      </c>
      <c r="V25" s="130"/>
      <c r="W25" s="77" t="str">
        <f>VLOOKUP(A25,'Precios para Valuar'!$C:$T,8,FALSE)</f>
        <v>devengado</v>
      </c>
      <c r="X25" s="77"/>
      <c r="Y25" s="77" t="s">
        <v>323</v>
      </c>
      <c r="Z25" s="6"/>
      <c r="AA25" s="127">
        <f t="shared" ca="1" si="21"/>
        <v>1.6474447561201136E-3</v>
      </c>
      <c r="AB25" s="29">
        <f t="shared" ca="1" si="22"/>
        <v>8.6877077407614897E-3</v>
      </c>
    </row>
    <row r="26" spans="1:31" s="29" customFormat="1">
      <c r="A26" s="45" t="s">
        <v>44</v>
      </c>
      <c r="B26" s="18" t="str">
        <f>VLOOKUP(A26,'Identidad de Codigos'!A:C,2,FALSE)</f>
        <v>ARBRIO5600D9</v>
      </c>
      <c r="C26" s="81">
        <f>VLOOKUP(A26,'Identidad de Codigos'!A:C,3,FALSE)</f>
        <v>52261</v>
      </c>
      <c r="D26" s="18" t="s">
        <v>45</v>
      </c>
      <c r="E26" s="76">
        <v>43885</v>
      </c>
      <c r="F26" s="20" t="s">
        <v>13</v>
      </c>
      <c r="G26" s="20" t="s">
        <v>285</v>
      </c>
      <c r="H26" s="21">
        <f t="shared" si="15"/>
        <v>60000000</v>
      </c>
      <c r="I26" s="21">
        <f t="shared" si="16"/>
        <v>0</v>
      </c>
      <c r="J26" s="101">
        <v>50000000</v>
      </c>
      <c r="K26" s="101">
        <v>10000000</v>
      </c>
      <c r="L26" s="88"/>
      <c r="M26" s="22"/>
      <c r="N26" s="22">
        <v>102.80872397281018</v>
      </c>
      <c r="O26" s="22"/>
      <c r="P26" s="23">
        <f t="shared" si="17"/>
        <v>6168523438.3686113</v>
      </c>
      <c r="Q26" s="23">
        <f t="shared" si="18"/>
        <v>306145388.77207857</v>
      </c>
      <c r="R26" s="26">
        <f>VLOOKUP(A26,'Precios para Valuar'!C:Z,6,FALSE)</f>
        <v>2.7699999999999999E-2</v>
      </c>
      <c r="S26" s="26">
        <f t="shared" si="19"/>
        <v>0.25469999999999998</v>
      </c>
      <c r="T26" s="27">
        <f>VLOOKUP(A26,'Precios para Valuar'!C:AC,9,FALSE)</f>
        <v>1.4104744639889821</v>
      </c>
      <c r="U26" s="12">
        <f t="shared" ca="1" si="20"/>
        <v>1.9766978919540389E-2</v>
      </c>
      <c r="V26" s="130"/>
      <c r="W26" s="77" t="str">
        <f>VLOOKUP(A26,'Precios para Valuar'!$C:$T,8,FALSE)</f>
        <v>VT</v>
      </c>
      <c r="X26" s="77"/>
      <c r="Y26" s="77" t="s">
        <v>324</v>
      </c>
      <c r="Z26" s="6"/>
      <c r="AA26" s="127">
        <f t="shared" ca="1" si="21"/>
        <v>5.034649530806937E-3</v>
      </c>
      <c r="AB26" s="29">
        <f t="shared" ca="1" si="22"/>
        <v>2.788081899622024E-2</v>
      </c>
    </row>
    <row r="27" spans="1:31" s="29" customFormat="1">
      <c r="A27" s="45" t="s">
        <v>40</v>
      </c>
      <c r="B27" s="18" t="str">
        <f>VLOOKUP(A27,'Identidad de Codigos'!A:C,2,FALSE)</f>
        <v>ARBRIO5600F4</v>
      </c>
      <c r="C27" s="81">
        <f>VLOOKUP(A27,'Identidad de Codigos'!A:C,3,FALSE)</f>
        <v>52320</v>
      </c>
      <c r="D27" s="18" t="s">
        <v>47</v>
      </c>
      <c r="E27" s="76">
        <v>43922</v>
      </c>
      <c r="F27" s="20" t="s">
        <v>13</v>
      </c>
      <c r="G27" s="20" t="s">
        <v>285</v>
      </c>
      <c r="H27" s="21">
        <f t="shared" si="15"/>
        <v>80000000</v>
      </c>
      <c r="I27" s="21">
        <f t="shared" si="16"/>
        <v>0</v>
      </c>
      <c r="J27" s="101">
        <v>80000000</v>
      </c>
      <c r="K27" s="101"/>
      <c r="L27" s="88"/>
      <c r="M27" s="22"/>
      <c r="N27" s="22">
        <v>100.31797419067733</v>
      </c>
      <c r="O27" s="22"/>
      <c r="P27" s="23">
        <f t="shared" si="17"/>
        <v>8025437935.2541866</v>
      </c>
      <c r="Q27" s="23">
        <f t="shared" si="18"/>
        <v>398304528.02889407</v>
      </c>
      <c r="R27" s="26">
        <f>VLOOKUP(A27,'Precios para Valuar'!C:Z,6,FALSE)</f>
        <v>2.47E-2</v>
      </c>
      <c r="S27" s="26">
        <f t="shared" si="19"/>
        <v>0.25169999999999998</v>
      </c>
      <c r="T27" s="27">
        <f>VLOOKUP(A27,'Precios para Valuar'!C:AC,9,FALSE)</f>
        <v>1.5221278149393427</v>
      </c>
      <c r="U27" s="12">
        <f t="shared" ca="1" si="20"/>
        <v>2.5717445037090499E-2</v>
      </c>
      <c r="V27" s="130"/>
      <c r="W27" s="77" t="str">
        <f>VLOOKUP(A27,'Precios para Valuar'!$C:$T,8,FALSE)</f>
        <v>VT</v>
      </c>
      <c r="X27" s="77"/>
      <c r="Y27" s="77" t="s">
        <v>324</v>
      </c>
      <c r="Z27" s="6"/>
      <c r="AA27" s="127">
        <f t="shared" ca="1" si="21"/>
        <v>6.4730809158356781E-3</v>
      </c>
      <c r="AB27" s="29">
        <f t="shared" ca="1" si="22"/>
        <v>3.9145238420129201E-2</v>
      </c>
    </row>
    <row r="28" spans="1:31" s="29" customFormat="1">
      <c r="A28" s="45" t="s">
        <v>48</v>
      </c>
      <c r="B28" s="18" t="str">
        <f>VLOOKUP(A28,'Identidad de Codigos'!A:C,2,FALSE)</f>
        <v>ARITAU560074</v>
      </c>
      <c r="C28" s="81">
        <f>VLOOKUP(A28,'Identidad de Codigos'!A:C,3,FALSE)</f>
        <v>51630</v>
      </c>
      <c r="D28" s="18" t="s">
        <v>49</v>
      </c>
      <c r="E28" s="40">
        <v>43659</v>
      </c>
      <c r="F28" s="20" t="s">
        <v>13</v>
      </c>
      <c r="G28" s="20" t="s">
        <v>285</v>
      </c>
      <c r="H28" s="21">
        <f t="shared" si="15"/>
        <v>20888888</v>
      </c>
      <c r="I28" s="21">
        <f t="shared" si="16"/>
        <v>0</v>
      </c>
      <c r="J28" s="101">
        <v>15888888</v>
      </c>
      <c r="K28" s="101">
        <v>5000000</v>
      </c>
      <c r="L28" s="88"/>
      <c r="M28" s="22"/>
      <c r="N28" s="22">
        <v>106.21556490933951</v>
      </c>
      <c r="O28" s="22"/>
      <c r="P28" s="23">
        <f t="shared" si="17"/>
        <v>2218725039.2479229</v>
      </c>
      <c r="Q28" s="23">
        <f t="shared" si="18"/>
        <v>110115888.59238289</v>
      </c>
      <c r="R28" s="26">
        <f>VLOOKUP(A28,'Precios para Valuar'!C:Z,6,FALSE)</f>
        <v>2.8654083028870764E-2</v>
      </c>
      <c r="S28" s="26">
        <f t="shared" si="19"/>
        <v>0.25565408302887072</v>
      </c>
      <c r="T28" s="27">
        <f>VLOOKUP(A28,'Precios para Valuar'!C:AC,9,FALSE)</f>
        <v>0.65001892136660777</v>
      </c>
      <c r="U28" s="12">
        <f t="shared" ca="1" si="20"/>
        <v>7.109884807484675E-3</v>
      </c>
      <c r="V28" s="130"/>
      <c r="W28" s="77" t="str">
        <f>VLOOKUP(A28,'Precios para Valuar'!$C:$T,8,FALSE)</f>
        <v>devengado</v>
      </c>
      <c r="X28" s="77"/>
      <c r="Y28" s="77" t="s">
        <v>325</v>
      </c>
      <c r="Z28" s="6"/>
      <c r="AA28" s="127">
        <f t="shared" ca="1" si="21"/>
        <v>1.8176710808983935E-3</v>
      </c>
      <c r="AB28" s="29">
        <f t="shared" ca="1" si="22"/>
        <v>4.6215596536020205E-3</v>
      </c>
    </row>
    <row r="29" spans="1:31" s="29" customFormat="1">
      <c r="A29" s="45" t="s">
        <v>50</v>
      </c>
      <c r="B29" s="18" t="str">
        <f>VLOOKUP(A29,'Identidad de Codigos'!A:C,2,FALSE)</f>
        <v>ARFRAN560094</v>
      </c>
      <c r="C29" s="81">
        <f>VLOOKUP(A29,'Identidad de Codigos'!A:C,3,FALSE)</f>
        <v>51730</v>
      </c>
      <c r="D29" s="18" t="s">
        <v>51</v>
      </c>
      <c r="E29" s="40">
        <v>43685</v>
      </c>
      <c r="F29" s="20" t="s">
        <v>13</v>
      </c>
      <c r="G29" s="20" t="s">
        <v>285</v>
      </c>
      <c r="H29" s="21">
        <f t="shared" si="15"/>
        <v>11546000</v>
      </c>
      <c r="I29" s="21">
        <f t="shared" si="16"/>
        <v>0</v>
      </c>
      <c r="J29" s="101">
        <v>11546000</v>
      </c>
      <c r="K29" s="88"/>
      <c r="L29" s="88"/>
      <c r="M29" s="22"/>
      <c r="N29" s="22">
        <v>103.52158553324261</v>
      </c>
      <c r="O29" s="22"/>
      <c r="P29" s="23">
        <f t="shared" si="17"/>
        <v>1195260226.5668192</v>
      </c>
      <c r="Q29" s="23">
        <f t="shared" si="18"/>
        <v>59321069.361597061</v>
      </c>
      <c r="R29" s="26">
        <f>VLOOKUP(A29,'Precios para Valuar'!C:Z,6,FALSE)</f>
        <v>3.5411745360775487E-2</v>
      </c>
      <c r="S29" s="26">
        <f t="shared" si="19"/>
        <v>0.26241174536077549</v>
      </c>
      <c r="T29" s="27">
        <f>VLOOKUP(A29,'Precios para Valuar'!C:AC,9,FALSE)</f>
        <v>1.0696669081589745</v>
      </c>
      <c r="U29" s="12">
        <f t="shared" ca="1" si="20"/>
        <v>3.830200847572678E-3</v>
      </c>
      <c r="V29" s="130"/>
      <c r="W29" s="77" t="str">
        <f>VLOOKUP(A29,'Precios para Valuar'!$C:$T,8,FALSE)</f>
        <v>devengado</v>
      </c>
      <c r="X29" s="77"/>
      <c r="Y29" s="77" t="s">
        <v>326</v>
      </c>
      <c r="Z29" s="6"/>
      <c r="AA29" s="127">
        <f t="shared" ca="1" si="21"/>
        <v>1.0050896894938681E-3</v>
      </c>
      <c r="AB29" s="29">
        <f t="shared" ca="1" si="22"/>
        <v>4.0970390982509501E-3</v>
      </c>
    </row>
    <row r="30" spans="1:31" s="29" customFormat="1">
      <c r="A30" s="45" t="s">
        <v>287</v>
      </c>
      <c r="B30" s="18" t="str">
        <f>VLOOKUP(A30,'Identidad de Codigos'!A:C,2,FALSE)</f>
        <v>ARFICR560057</v>
      </c>
      <c r="C30" s="81">
        <f>VLOOKUP(A30,'Identidad de Codigos'!A:C,3,FALSE)</f>
        <v>51734</v>
      </c>
      <c r="D30" s="18" t="s">
        <v>52</v>
      </c>
      <c r="E30" s="40">
        <v>43322</v>
      </c>
      <c r="F30" s="20" t="s">
        <v>13</v>
      </c>
      <c r="G30" s="20" t="s">
        <v>288</v>
      </c>
      <c r="H30" s="21">
        <f t="shared" si="15"/>
        <v>8000000</v>
      </c>
      <c r="I30" s="21">
        <f t="shared" si="16"/>
        <v>0</v>
      </c>
      <c r="J30" s="101">
        <v>8000000</v>
      </c>
      <c r="K30" s="88"/>
      <c r="L30" s="88"/>
      <c r="M30" s="22"/>
      <c r="N30" s="22">
        <v>69.095281936752599</v>
      </c>
      <c r="O30" s="22"/>
      <c r="P30" s="23">
        <f t="shared" si="17"/>
        <v>552762255.49402082</v>
      </c>
      <c r="Q30" s="23">
        <f t="shared" si="18"/>
        <v>27433731.475210719</v>
      </c>
      <c r="R30" s="26">
        <f>VLOOKUP(A30,'Precios para Valuar'!C:Z,6,FALSE)</f>
        <v>2.9267695519006903E-2</v>
      </c>
      <c r="S30" s="26">
        <f t="shared" si="19"/>
        <v>0.25626769551900686</v>
      </c>
      <c r="T30" s="27">
        <f>VLOOKUP(A30,'Precios para Valuar'!C:AC,9,FALSE)</f>
        <v>0.36059344339401506</v>
      </c>
      <c r="U30" s="12">
        <f t="shared" ca="1" si="20"/>
        <v>1.7713217694699435E-3</v>
      </c>
      <c r="V30" s="130"/>
      <c r="W30" s="77" t="str">
        <f>VLOOKUP(A30,'Precios para Valuar'!$C:$T,8,FALSE)</f>
        <v>devengado</v>
      </c>
      <c r="X30" s="77"/>
      <c r="Y30" s="77"/>
      <c r="Z30" s="6"/>
      <c r="AA30" s="127">
        <f t="shared" ca="1" si="21"/>
        <v>4.5393254788471193E-4</v>
      </c>
      <c r="AB30" s="29">
        <f t="shared" ca="1" si="22"/>
        <v>6.3872701621194667E-4</v>
      </c>
    </row>
    <row r="31" spans="1:31" s="29" customFormat="1">
      <c r="A31" s="28" t="s">
        <v>53</v>
      </c>
      <c r="B31" s="18" t="str">
        <f>VLOOKUP(A31,'Identidad de Codigos'!A:C,2,FALSE)</f>
        <v>ARGPAT5600A4</v>
      </c>
      <c r="C31" s="81">
        <f>VLOOKUP(A31,'Identidad de Codigos'!A:C,3,FALSE)</f>
        <v>52167</v>
      </c>
      <c r="D31" s="18" t="s">
        <v>54</v>
      </c>
      <c r="E31" s="76">
        <v>43489</v>
      </c>
      <c r="F31" s="20" t="s">
        <v>13</v>
      </c>
      <c r="G31" s="20" t="s">
        <v>288</v>
      </c>
      <c r="H31" s="21">
        <f t="shared" si="15"/>
        <v>5285714</v>
      </c>
      <c r="I31" s="21">
        <f t="shared" si="16"/>
        <v>0</v>
      </c>
      <c r="J31" s="101">
        <v>5285714</v>
      </c>
      <c r="K31" s="88"/>
      <c r="L31" s="88"/>
      <c r="M31" s="22"/>
      <c r="N31" s="22">
        <v>105.06873583051177</v>
      </c>
      <c r="O31" s="22"/>
      <c r="P31" s="23">
        <f t="shared" si="17"/>
        <v>555363287.94163764</v>
      </c>
      <c r="Q31" s="23">
        <f t="shared" si="18"/>
        <v>27562821.377817143</v>
      </c>
      <c r="R31" s="26">
        <f>VLOOKUP(A31,'Precios para Valuar'!C:Z,6,FALSE)</f>
        <v>3.44E-2</v>
      </c>
      <c r="S31" s="26">
        <f t="shared" si="19"/>
        <v>0.26139999999999997</v>
      </c>
      <c r="T31" s="27">
        <f>VLOOKUP(A31,'Precios para Valuar'!C:AC,9,FALSE)</f>
        <v>0.65990540384892094</v>
      </c>
      <c r="U31" s="12">
        <f t="shared" ca="1" si="20"/>
        <v>1.779656754993591E-3</v>
      </c>
      <c r="V31" s="130"/>
      <c r="W31" s="77" t="str">
        <f>VLOOKUP(A31,'Precios para Valuar'!$C:$T,8,FALSE)</f>
        <v>VT</v>
      </c>
      <c r="X31" s="77"/>
      <c r="Y31" s="77" t="s">
        <v>327</v>
      </c>
      <c r="Z31" s="6"/>
      <c r="AA31" s="127">
        <f t="shared" ca="1" si="21"/>
        <v>4.6520227575532462E-4</v>
      </c>
      <c r="AB31" s="29">
        <f t="shared" ca="1" si="22"/>
        <v>1.1744051096165059E-3</v>
      </c>
    </row>
    <row r="32" spans="1:31" s="29" customFormat="1">
      <c r="A32" s="28" t="s">
        <v>55</v>
      </c>
      <c r="B32" s="18" t="str">
        <f>VLOOKUP(A32,'Identidad de Codigos'!A:C,2,FALSE)</f>
        <v>ARGPAT560065</v>
      </c>
      <c r="C32" s="81">
        <f>VLOOKUP(A32,'Identidad de Codigos'!A:C,3,FALSE)</f>
        <v>51579</v>
      </c>
      <c r="D32" s="18" t="s">
        <v>56</v>
      </c>
      <c r="E32" s="40">
        <v>43630</v>
      </c>
      <c r="F32" s="20" t="s">
        <v>13</v>
      </c>
      <c r="G32" s="20" t="s">
        <v>288</v>
      </c>
      <c r="H32" s="21">
        <f t="shared" si="15"/>
        <v>15000000</v>
      </c>
      <c r="I32" s="21">
        <f t="shared" si="16"/>
        <v>0</v>
      </c>
      <c r="J32" s="101">
        <v>15000000</v>
      </c>
      <c r="K32" s="88"/>
      <c r="L32" s="88"/>
      <c r="M32" s="22"/>
      <c r="N32" s="22">
        <v>101.08853114636862</v>
      </c>
      <c r="O32" s="22"/>
      <c r="P32" s="23">
        <f t="shared" si="17"/>
        <v>1516327967.1955295</v>
      </c>
      <c r="Q32" s="23">
        <f t="shared" si="18"/>
        <v>75255743.073876098</v>
      </c>
      <c r="R32" s="26">
        <f>VLOOKUP(A32,'Precios para Valuar'!C:Z,6,FALSE)</f>
        <v>3.8754824473532068E-2</v>
      </c>
      <c r="S32" s="26">
        <f t="shared" si="19"/>
        <v>0.26575482447353205</v>
      </c>
      <c r="T32" s="27">
        <f>VLOOKUP(A32,'Precios para Valuar'!C:AC,9,FALSE)</f>
        <v>0.98337008355907374</v>
      </c>
      <c r="U32" s="12">
        <f t="shared" ca="1" si="20"/>
        <v>4.8590595889168864E-3</v>
      </c>
      <c r="V32" s="130"/>
      <c r="W32" s="77" t="str">
        <f>VLOOKUP(A32,'Precios para Valuar'!$C:$T,8,FALSE)</f>
        <v>devengado</v>
      </c>
      <c r="X32" s="77"/>
      <c r="Y32" s="77" t="s">
        <v>327</v>
      </c>
      <c r="Z32" s="6"/>
      <c r="AA32" s="127">
        <f t="shared" ca="1" si="21"/>
        <v>1.29131852815904E-3</v>
      </c>
      <c r="AB32" s="29">
        <f t="shared" ca="1" si="22"/>
        <v>4.7782538339717169E-3</v>
      </c>
    </row>
    <row r="33" spans="1:28" s="29" customFormat="1">
      <c r="A33" s="87" t="s">
        <v>57</v>
      </c>
      <c r="B33" s="18" t="str">
        <f>VLOOKUP(A33,'Identidad de Codigos'!A:C,2,FALSE)</f>
        <v>ARGPAT5600E6</v>
      </c>
      <c r="C33" s="81">
        <f>VLOOKUP(A33,'Identidad de Codigos'!A:C,3,FALSE)</f>
        <v>52584</v>
      </c>
      <c r="D33" s="18" t="s">
        <v>58</v>
      </c>
      <c r="E33" s="40">
        <v>43630</v>
      </c>
      <c r="F33" s="20" t="s">
        <v>13</v>
      </c>
      <c r="G33" s="20" t="s">
        <v>288</v>
      </c>
      <c r="H33" s="21">
        <f t="shared" si="15"/>
        <v>24666666</v>
      </c>
      <c r="I33" s="21">
        <f t="shared" ref="I33" si="23">H33-SUM(J33:L33)</f>
        <v>0</v>
      </c>
      <c r="J33" s="101">
        <v>24666666</v>
      </c>
      <c r="K33" s="88"/>
      <c r="L33" s="88"/>
      <c r="M33" s="22"/>
      <c r="N33" s="22">
        <v>100.54703106226725</v>
      </c>
      <c r="O33" s="22"/>
      <c r="P33" s="23">
        <f t="shared" si="17"/>
        <v>2480160032.5045714</v>
      </c>
      <c r="Q33" s="23">
        <f t="shared" si="18"/>
        <v>123090973.86989783</v>
      </c>
      <c r="R33" s="26">
        <f>VLOOKUP(A33,'Precios para Valuar'!C:Z,6,FALSE)</f>
        <v>3.9699999999999999E-2</v>
      </c>
      <c r="S33" s="26">
        <f t="shared" si="19"/>
        <v>0.26669999999999999</v>
      </c>
      <c r="T33" s="27">
        <f>VLOOKUP(A33,'Precios para Valuar'!C:AC,9,FALSE)</f>
        <v>1.6358201783825224</v>
      </c>
      <c r="U33" s="12">
        <f t="shared" ca="1" si="20"/>
        <v>7.9476509361485342E-3</v>
      </c>
      <c r="V33" s="130"/>
      <c r="W33" s="77" t="str">
        <f>VLOOKUP(A33,'Precios para Valuar'!$C:$T,8,FALSE)</f>
        <v>VT</v>
      </c>
      <c r="X33" s="77"/>
      <c r="Y33" s="77" t="s">
        <v>327</v>
      </c>
      <c r="Z33" s="6"/>
      <c r="AA33" s="127">
        <f t="shared" ca="1" si="21"/>
        <v>2.1196385046708139E-3</v>
      </c>
      <c r="AB33" s="29">
        <f t="shared" ca="1" si="22"/>
        <v>1.3000927772092516E-2</v>
      </c>
    </row>
    <row r="34" spans="1:28" s="29" customFormat="1">
      <c r="A34" s="28" t="s">
        <v>289</v>
      </c>
      <c r="B34" s="18" t="str">
        <f>VLOOKUP(A34,'Identidad de Codigos'!A:C,2,FALSE)</f>
        <v>ARGPAT5600H9</v>
      </c>
      <c r="C34" s="81">
        <f>VLOOKUP(A34,'Identidad de Codigos'!A:C,3,FALSE)</f>
        <v>52897</v>
      </c>
      <c r="D34" s="18" t="s">
        <v>290</v>
      </c>
      <c r="E34" s="40">
        <v>43630</v>
      </c>
      <c r="F34" s="20" t="s">
        <v>13</v>
      </c>
      <c r="G34" s="20" t="s">
        <v>288</v>
      </c>
      <c r="H34" s="21">
        <f t="shared" si="15"/>
        <v>10000000</v>
      </c>
      <c r="I34" s="21">
        <f t="shared" si="16"/>
        <v>0</v>
      </c>
      <c r="J34" s="101">
        <v>10000000</v>
      </c>
      <c r="K34" s="88"/>
      <c r="L34" s="88"/>
      <c r="M34" s="22"/>
      <c r="N34" s="22">
        <v>106.569336977814</v>
      </c>
      <c r="O34" s="22"/>
      <c r="P34" s="23">
        <f t="shared" si="17"/>
        <v>1065693369.7781401</v>
      </c>
      <c r="Q34" s="23">
        <f t="shared" si="18"/>
        <v>52890633.271037772</v>
      </c>
      <c r="R34" s="26">
        <f>VLOOKUP(A34,'Precios para Valuar'!C:Z,6,FALSE)</f>
        <v>4.1700000000000001E-2</v>
      </c>
      <c r="S34" s="26">
        <f t="shared" si="19"/>
        <v>0.26869999999999999</v>
      </c>
      <c r="T34" s="27">
        <f>VLOOKUP(A34,'Precios para Valuar'!C:AC,9,FALSE)</f>
        <v>1.6358165774646274</v>
      </c>
      <c r="U34" s="12">
        <f t="shared" ca="1" si="20"/>
        <v>3.415004998452216E-3</v>
      </c>
      <c r="V34" s="130"/>
      <c r="W34" s="77" t="str">
        <f>VLOOKUP(A34,'Precios para Valuar'!$C:$T,8,FALSE)</f>
        <v>VT</v>
      </c>
      <c r="X34" s="77"/>
      <c r="Y34" s="77" t="s">
        <v>327</v>
      </c>
      <c r="Z34" s="6"/>
      <c r="AA34" s="127">
        <f t="shared" ca="1" si="21"/>
        <v>9.1761184308411037E-4</v>
      </c>
      <c r="AB34" s="29">
        <f t="shared" ca="1" si="22"/>
        <v>5.5863217885926989E-3</v>
      </c>
    </row>
    <row r="35" spans="1:28" s="29" customFormat="1">
      <c r="A35" s="45" t="s">
        <v>291</v>
      </c>
      <c r="B35" s="18" t="str">
        <f>VLOOKUP(A35,'Identidad de Codigos'!A:C,2,FALSE)</f>
        <v>ARROBE560051</v>
      </c>
      <c r="C35" s="81">
        <f>VLOOKUP(A35,'Identidad de Codigos'!A:C,3,FALSE)</f>
        <v>53068</v>
      </c>
      <c r="D35" s="18" t="s">
        <v>305</v>
      </c>
      <c r="E35" s="40">
        <v>43189</v>
      </c>
      <c r="F35" s="20" t="s">
        <v>302</v>
      </c>
      <c r="G35" s="20" t="s">
        <v>285</v>
      </c>
      <c r="H35" s="21">
        <f t="shared" si="15"/>
        <v>50000000</v>
      </c>
      <c r="I35" s="21">
        <f t="shared" ref="I35" si="24">H35-SUM(J35:L35)</f>
        <v>0</v>
      </c>
      <c r="J35" s="101">
        <v>50000000</v>
      </c>
      <c r="K35" s="88"/>
      <c r="L35" s="88"/>
      <c r="M35" s="22"/>
      <c r="N35" s="22">
        <v>109.4</v>
      </c>
      <c r="O35" s="22"/>
      <c r="P35" s="23">
        <f>H35*N35</f>
        <v>5470000000</v>
      </c>
      <c r="Q35" s="23">
        <f t="shared" si="18"/>
        <v>271477492.67953742</v>
      </c>
      <c r="R35" s="26">
        <f>VLOOKUP(A35,'Precios para Valuar'!C:Z,6,FALSE)</f>
        <v>3.3141207744581541E-2</v>
      </c>
      <c r="S35" s="26">
        <f>+R35+Badlar</f>
        <v>0.26014120774458149</v>
      </c>
      <c r="T35" s="27">
        <f>VLOOKUP(A35,'Precios para Valuar'!C:AC,9,FALSE)</f>
        <v>1.7193845068380229</v>
      </c>
      <c r="U35" s="12">
        <f t="shared" ca="1" si="20"/>
        <v>1.7528566725926526E-2</v>
      </c>
      <c r="V35" s="130"/>
      <c r="W35" s="77" t="str">
        <f>VLOOKUP(A35,'Precios para Valuar'!$C:$T,8,FALSE)</f>
        <v>MAE</v>
      </c>
      <c r="X35" s="77"/>
      <c r="Y35" s="77" t="s">
        <v>326</v>
      </c>
      <c r="Z35" s="6"/>
      <c r="AA35" s="127">
        <f t="shared" ca="1" si="21"/>
        <v>4.5599025181140111E-3</v>
      </c>
      <c r="AB35" s="29">
        <f t="shared" ca="1" si="22"/>
        <v>3.0138346055634559E-2</v>
      </c>
    </row>
    <row r="36" spans="1:28" s="29" customFormat="1">
      <c r="A36" s="45" t="s">
        <v>320</v>
      </c>
      <c r="B36" s="18" t="e">
        <f>VLOOKUP(A36,'Identidad de Codigos'!A:C,2,FALSE)</f>
        <v>#N/A</v>
      </c>
      <c r="C36" s="81" t="e">
        <f>VLOOKUP(A36,'Identidad de Codigos'!A:C,3,FALSE)</f>
        <v>#N/A</v>
      </c>
      <c r="D36" s="18" t="s">
        <v>321</v>
      </c>
      <c r="E36" s="40">
        <v>44282</v>
      </c>
      <c r="F36" s="20" t="s">
        <v>302</v>
      </c>
      <c r="G36" s="20" t="s">
        <v>285</v>
      </c>
      <c r="H36" s="21">
        <f t="shared" si="15"/>
        <v>106000000</v>
      </c>
      <c r="I36" s="21">
        <f t="shared" ref="I36" si="25">H36-SUM(J36:L36)</f>
        <v>0</v>
      </c>
      <c r="J36" s="101">
        <v>100000000</v>
      </c>
      <c r="K36" s="101">
        <v>6000000</v>
      </c>
      <c r="L36" s="101"/>
      <c r="M36" s="22"/>
      <c r="N36" s="22">
        <v>100.52805924405961</v>
      </c>
      <c r="O36" s="22"/>
      <c r="P36" s="23">
        <f>H36*N36</f>
        <v>10655974279.870317</v>
      </c>
      <c r="Q36" s="23">
        <f t="shared" si="18"/>
        <v>528858716.55517977</v>
      </c>
      <c r="R36" s="26">
        <f>VLOOKUP(A36,'Precios para Valuar'!C:Z,6,FALSE)</f>
        <v>2.6499999999999999E-2</v>
      </c>
      <c r="S36" s="26">
        <f>+R36+Badlar</f>
        <v>0.2535</v>
      </c>
      <c r="T36" s="27">
        <f>VLOOKUP(A36,'Precios para Valuar'!C:AC,9,FALSE)</f>
        <v>2.019206027240513</v>
      </c>
      <c r="U36" s="12">
        <f t="shared" ca="1" si="20"/>
        <v>3.4146975538293191E-2</v>
      </c>
      <c r="V36" s="130"/>
      <c r="W36" s="77" t="str">
        <f>VLOOKUP(A36,'Precios para Valuar'!$C:$T,8,FALSE)</f>
        <v>VT</v>
      </c>
      <c r="X36" s="77"/>
      <c r="Y36" s="77" t="s">
        <v>326</v>
      </c>
      <c r="Z36" s="6"/>
      <c r="AA36" s="127">
        <f t="shared" ca="1" si="21"/>
        <v>8.6562582989573242E-3</v>
      </c>
      <c r="AB36" s="29">
        <f t="shared" ca="1" si="22"/>
        <v>6.8949778818955976E-2</v>
      </c>
    </row>
    <row r="37" spans="1:28" s="29" customFormat="1">
      <c r="A37" s="28" t="s">
        <v>60</v>
      </c>
      <c r="B37" s="18" t="str">
        <f>VLOOKUP(A37,'Identidad de Codigos'!A:C,2,FALSE)</f>
        <v>ARTACU5600D7</v>
      </c>
      <c r="C37" s="81">
        <f>VLOOKUP(A37,'Identidad de Codigos'!A:C,3,FALSE)</f>
        <v>51685</v>
      </c>
      <c r="D37" s="18" t="s">
        <v>61</v>
      </c>
      <c r="E37" s="40">
        <v>44039</v>
      </c>
      <c r="F37" s="20" t="s">
        <v>13</v>
      </c>
      <c r="G37" s="20" t="s">
        <v>288</v>
      </c>
      <c r="H37" s="21">
        <f t="shared" si="15"/>
        <v>28000000</v>
      </c>
      <c r="I37" s="21">
        <f t="shared" si="16"/>
        <v>0</v>
      </c>
      <c r="J37" s="101">
        <v>21900000</v>
      </c>
      <c r="K37" s="101">
        <v>6100000</v>
      </c>
      <c r="L37" s="88"/>
      <c r="M37" s="22"/>
      <c r="N37" s="22">
        <v>104.78661073593454</v>
      </c>
      <c r="O37" s="22"/>
      <c r="P37" s="23">
        <f t="shared" si="17"/>
        <v>2934025100.6061673</v>
      </c>
      <c r="Q37" s="23">
        <f t="shared" si="18"/>
        <v>145616412.75528151</v>
      </c>
      <c r="R37" s="26">
        <f>VLOOKUP(A37,'Precios para Valuar'!C:Z,6,FALSE)</f>
        <v>4.024256335475207E-2</v>
      </c>
      <c r="S37" s="26">
        <f t="shared" si="19"/>
        <v>0.26724256335475205</v>
      </c>
      <c r="T37" s="27">
        <f>VLOOKUP(A37,'Precios para Valuar'!C:AC,9,FALSE)</f>
        <v>1.6055072663192811</v>
      </c>
      <c r="U37" s="12">
        <f t="shared" ca="1" si="20"/>
        <v>9.4020575414110602E-3</v>
      </c>
      <c r="V37" s="130"/>
      <c r="W37" s="77" t="str">
        <f>VLOOKUP(A37,'Precios para Valuar'!$C:$T,8,FALSE)</f>
        <v>devengado</v>
      </c>
      <c r="X37" s="77"/>
      <c r="Y37" s="77" t="s">
        <v>328</v>
      </c>
      <c r="Z37" s="6"/>
      <c r="AA37" s="127">
        <f t="shared" ca="1" si="21"/>
        <v>2.5126299581755694E-3</v>
      </c>
      <c r="AB37" s="29">
        <f t="shared" ca="1" si="22"/>
        <v>1.5095071701087452E-2</v>
      </c>
    </row>
    <row r="38" spans="1:28" s="29" customFormat="1">
      <c r="A38" s="28" t="s">
        <v>63</v>
      </c>
      <c r="B38" s="18" t="str">
        <f>VLOOKUP(A38,'Identidad de Codigos'!A:C,2,FALSE)</f>
        <v>ARTANA5600C8</v>
      </c>
      <c r="C38" s="81">
        <f>VLOOKUP(A38,'Identidad de Codigos'!A:C,3,FALSE)</f>
        <v>51856</v>
      </c>
      <c r="D38" s="18" t="s">
        <v>64</v>
      </c>
      <c r="E38" s="40">
        <v>44102</v>
      </c>
      <c r="F38" s="20" t="s">
        <v>13</v>
      </c>
      <c r="G38" s="20" t="s">
        <v>288</v>
      </c>
      <c r="H38" s="21">
        <f t="shared" si="15"/>
        <v>46463333</v>
      </c>
      <c r="I38" s="21">
        <f t="shared" si="16"/>
        <v>0</v>
      </c>
      <c r="J38" s="101">
        <v>46463333</v>
      </c>
      <c r="K38" s="88"/>
      <c r="L38" s="88"/>
      <c r="M38" s="22"/>
      <c r="N38" s="22">
        <v>100.54614513686036</v>
      </c>
      <c r="O38" s="22"/>
      <c r="P38" s="23">
        <f t="shared" si="17"/>
        <v>4671709023.3602734</v>
      </c>
      <c r="Q38" s="23">
        <f t="shared" si="18"/>
        <v>231858108.26146573</v>
      </c>
      <c r="R38" s="26">
        <f>VLOOKUP(A38,'Precios para Valuar'!C:Z,6,FALSE)</f>
        <v>3.9889411898877375E-2</v>
      </c>
      <c r="S38" s="26">
        <f t="shared" si="19"/>
        <v>0.26688941189887738</v>
      </c>
      <c r="T38" s="27">
        <f>VLOOKUP(A38,'Precios para Valuar'!C:AC,9,FALSE)</f>
        <v>1.7621086822569381</v>
      </c>
      <c r="U38" s="12">
        <f t="shared" ca="1" si="20"/>
        <v>1.497045033639554E-2</v>
      </c>
      <c r="V38" s="130"/>
      <c r="W38" s="77" t="str">
        <f>VLOOKUP(A38,'Precios para Valuar'!$C:$T,8,FALSE)</f>
        <v>devengado</v>
      </c>
      <c r="X38" s="77"/>
      <c r="Y38" s="77" t="s">
        <v>328</v>
      </c>
      <c r="Z38" s="6"/>
      <c r="AA38" s="127">
        <f t="shared" ca="1" si="21"/>
        <v>3.9954546861419565E-3</v>
      </c>
      <c r="AB38" s="29">
        <f t="shared" ca="1" si="22"/>
        <v>2.6379560515058881E-2</v>
      </c>
    </row>
    <row r="39" spans="1:28" s="29" customFormat="1">
      <c r="A39" s="45" t="s">
        <v>293</v>
      </c>
      <c r="B39" s="18" t="str">
        <f>VLOOKUP(A39,'Identidad de Codigos'!A:C,2,FALSE)</f>
        <v>ARPSAF560083</v>
      </c>
      <c r="C39" s="81">
        <f>VLOOKUP(A39,'Identidad de Codigos'!A:C,3,FALSE)</f>
        <v>11111</v>
      </c>
      <c r="D39" s="18" t="s">
        <v>304</v>
      </c>
      <c r="E39" s="40">
        <v>43862</v>
      </c>
      <c r="F39" s="20" t="s">
        <v>302</v>
      </c>
      <c r="G39" s="20" t="s">
        <v>288</v>
      </c>
      <c r="H39" s="21">
        <f t="shared" si="15"/>
        <v>18700000</v>
      </c>
      <c r="I39" s="21">
        <f t="shared" ref="I39" si="26">H39-SUM(J39:L39)</f>
        <v>0</v>
      </c>
      <c r="J39" s="101">
        <v>15000000</v>
      </c>
      <c r="K39" s="101">
        <v>3700000</v>
      </c>
      <c r="L39" s="101"/>
      <c r="M39" s="22"/>
      <c r="N39" s="22">
        <v>104.52266960394658</v>
      </c>
      <c r="O39" s="22"/>
      <c r="P39" s="23">
        <f>H39*N39</f>
        <v>1954573921.593801</v>
      </c>
      <c r="Q39" s="23">
        <f t="shared" si="18"/>
        <v>97006001.36948736</v>
      </c>
      <c r="R39" s="26">
        <f>VLOOKUP(A39,'Precios para Valuar'!C:Z,6,FALSE)</f>
        <v>2.75E-2</v>
      </c>
      <c r="S39" s="26">
        <f t="shared" ref="S39" si="27">+R39+Badlar</f>
        <v>0.2545</v>
      </c>
      <c r="T39" s="27">
        <f>VLOOKUP(A39,'Precios para Valuar'!C:AC,9,FALSE)</f>
        <v>1.189763014832268</v>
      </c>
      <c r="U39" s="12">
        <f t="shared" ca="1" si="20"/>
        <v>6.263414882159566E-3</v>
      </c>
      <c r="V39" s="130"/>
      <c r="W39" s="77" t="str">
        <f>VLOOKUP(A39,'Precios para Valuar'!$C:$T,8,FALSE)</f>
        <v>VT</v>
      </c>
      <c r="X39" s="77"/>
      <c r="Y39" s="77"/>
      <c r="Z39" s="6"/>
      <c r="AA39" s="127">
        <f t="shared" ca="1" si="21"/>
        <v>1.5940390875096096E-3</v>
      </c>
      <c r="AB39" s="29">
        <f t="shared" ca="1" si="22"/>
        <v>7.4519793733434595E-3</v>
      </c>
    </row>
    <row r="40" spans="1:28" s="29" customFormat="1">
      <c r="A40" s="28" t="s">
        <v>294</v>
      </c>
      <c r="B40" s="18" t="str">
        <f>VLOOKUP(A40,'Identidad de Codigos'!A:C,2,FALSE)</f>
        <v>ARROMB5600A7</v>
      </c>
      <c r="C40" s="81">
        <f>VLOOKUP(A40,'Identidad de Codigos'!A:C,3,FALSE)</f>
        <v>51938</v>
      </c>
      <c r="D40" s="18" t="s">
        <v>65</v>
      </c>
      <c r="E40" s="40">
        <v>43766</v>
      </c>
      <c r="F40" s="20" t="s">
        <v>13</v>
      </c>
      <c r="G40" s="20" t="s">
        <v>288</v>
      </c>
      <c r="H40" s="21">
        <f t="shared" si="15"/>
        <v>26277777</v>
      </c>
      <c r="I40" s="21">
        <f t="shared" si="16"/>
        <v>0</v>
      </c>
      <c r="J40" s="101">
        <v>26277777</v>
      </c>
      <c r="K40" s="88"/>
      <c r="L40" s="88"/>
      <c r="M40" s="22"/>
      <c r="N40" s="22">
        <v>104.80340383665241</v>
      </c>
      <c r="O40" s="22"/>
      <c r="P40" s="23">
        <f t="shared" si="17"/>
        <v>2754000474.8604965</v>
      </c>
      <c r="Q40" s="23">
        <f t="shared" si="18"/>
        <v>136681744.74467698</v>
      </c>
      <c r="R40" s="26">
        <f>VLOOKUP(A40,'Precios para Valuar'!C:Z,6,FALSE)</f>
        <v>3.9945743326992078E-2</v>
      </c>
      <c r="S40" s="26">
        <f t="shared" si="19"/>
        <v>0.26694574332699206</v>
      </c>
      <c r="T40" s="27">
        <f>VLOOKUP(A40,'Precios para Valuar'!C:AC,9,FALSE)</f>
        <v>1.0322510010650034</v>
      </c>
      <c r="U40" s="12">
        <f t="shared" ca="1" si="20"/>
        <v>8.825170216969937E-3</v>
      </c>
      <c r="V40" s="130"/>
      <c r="W40" s="77" t="str">
        <f>VLOOKUP(A40,'Precios para Valuar'!$C:$T,8,FALSE)</f>
        <v>devengado</v>
      </c>
      <c r="X40" s="77"/>
      <c r="Y40" s="77" t="s">
        <v>323</v>
      </c>
      <c r="Z40" s="6"/>
      <c r="AA40" s="127">
        <f t="shared" ca="1" si="21"/>
        <v>2.3558416235562717E-3</v>
      </c>
      <c r="AB40" s="29">
        <f t="shared" ca="1" si="22"/>
        <v>9.1097907910362708E-3</v>
      </c>
    </row>
    <row r="41" spans="1:28" s="29" customFormat="1">
      <c r="A41" s="28" t="s">
        <v>66</v>
      </c>
      <c r="B41" s="18" t="str">
        <f>VLOOKUP(A41,'Identidad de Codigos'!A:C,2,FALSE)</f>
        <v>ARROMB5600B5</v>
      </c>
      <c r="C41" s="81">
        <f>VLOOKUP(A41,'Identidad de Codigos'!A:C,3,FALSE)</f>
        <v>52186</v>
      </c>
      <c r="D41" s="18" t="s">
        <v>67</v>
      </c>
      <c r="E41" s="76">
        <v>43495</v>
      </c>
      <c r="F41" s="20" t="s">
        <v>13</v>
      </c>
      <c r="G41" s="20" t="s">
        <v>288</v>
      </c>
      <c r="H41" s="21">
        <f t="shared" si="15"/>
        <v>4900000</v>
      </c>
      <c r="I41" s="21">
        <f t="shared" si="16"/>
        <v>0</v>
      </c>
      <c r="J41" s="101">
        <v>4900000</v>
      </c>
      <c r="K41" s="88"/>
      <c r="L41" s="88"/>
      <c r="M41" s="22"/>
      <c r="N41" s="22">
        <v>104.63095497359838</v>
      </c>
      <c r="O41" s="22"/>
      <c r="P41" s="23">
        <f t="shared" si="17"/>
        <v>512691679.37063205</v>
      </c>
      <c r="Q41" s="23">
        <f t="shared" si="18"/>
        <v>25445018.580109783</v>
      </c>
      <c r="R41" s="26">
        <f>VLOOKUP(A41,'Precios para Valuar'!C:Z,6,FALSE)</f>
        <v>3.098446598615659E-2</v>
      </c>
      <c r="S41" s="26">
        <f t="shared" si="19"/>
        <v>0.25798446598615654</v>
      </c>
      <c r="T41" s="27">
        <f>VLOOKUP(A41,'Precios para Valuar'!C:AC,9,FALSE)</f>
        <v>0.58006647429987013</v>
      </c>
      <c r="U41" s="12">
        <f t="shared" ca="1" si="20"/>
        <v>1.6429159619150736E-3</v>
      </c>
      <c r="V41" s="130"/>
      <c r="W41" s="77" t="str">
        <f>VLOOKUP(A41,'Precios para Valuar'!$C:$T,8,FALSE)</f>
        <v>devengado</v>
      </c>
      <c r="X41" s="77"/>
      <c r="Y41" s="77" t="s">
        <v>323</v>
      </c>
      <c r="Z41" s="6"/>
      <c r="AA41" s="127">
        <f t="shared" ca="1" si="21"/>
        <v>4.2384679709479297E-4</v>
      </c>
      <c r="AB41" s="29">
        <f t="shared" ca="1" si="22"/>
        <v>9.5300046959905643E-4</v>
      </c>
    </row>
    <row r="42" spans="1:28" s="29" customFormat="1">
      <c r="A42" s="28" t="s">
        <v>69</v>
      </c>
      <c r="B42" s="18" t="str">
        <f>VLOOKUP(A42,'Identidad de Codigos'!A:C,2,FALSE)</f>
        <v>ARROMB560069</v>
      </c>
      <c r="C42" s="81">
        <f>VLOOKUP(A42,'Identidad de Codigos'!A:C,3,FALSE)</f>
        <v>51769</v>
      </c>
      <c r="D42" s="18" t="s">
        <v>67</v>
      </c>
      <c r="E42" s="40">
        <v>43696</v>
      </c>
      <c r="F42" s="20" t="s">
        <v>13</v>
      </c>
      <c r="G42" s="20" t="s">
        <v>288</v>
      </c>
      <c r="H42" s="21">
        <f t="shared" si="15"/>
        <v>10821428</v>
      </c>
      <c r="I42" s="21">
        <f t="shared" si="16"/>
        <v>0</v>
      </c>
      <c r="J42" s="101">
        <v>10821428</v>
      </c>
      <c r="K42" s="88"/>
      <c r="L42" s="88"/>
      <c r="M42" s="22"/>
      <c r="N42" s="22">
        <v>103.09494449150259</v>
      </c>
      <c r="O42" s="22"/>
      <c r="P42" s="23">
        <f t="shared" si="17"/>
        <v>1115634518.978792</v>
      </c>
      <c r="Q42" s="23">
        <f t="shared" si="18"/>
        <v>55369225.221042827</v>
      </c>
      <c r="R42" s="26">
        <f>VLOOKUP(A42,'Precios para Valuar'!C:Z,6,FALSE)</f>
        <v>3.2399999999999998E-2</v>
      </c>
      <c r="S42" s="26">
        <f t="shared" si="19"/>
        <v>0.25939999999999996</v>
      </c>
      <c r="T42" s="27">
        <f>VLOOKUP(A42,'Precios para Valuar'!C:AC,9,FALSE)</f>
        <v>0.90848105476489904</v>
      </c>
      <c r="U42" s="12">
        <f t="shared" ca="1" si="20"/>
        <v>3.5750409703229798E-3</v>
      </c>
      <c r="V42" s="130"/>
      <c r="W42" s="77" t="str">
        <f>VLOOKUP(A42,'Precios para Valuar'!$C:$T,8,FALSE)</f>
        <v>VT</v>
      </c>
      <c r="X42" s="77"/>
      <c r="Y42" s="77" t="s">
        <v>323</v>
      </c>
      <c r="Z42" s="6"/>
      <c r="AA42" s="127">
        <f t="shared" ca="1" si="21"/>
        <v>9.2736562770178083E-4</v>
      </c>
      <c r="AB42" s="29">
        <f t="shared" ca="1" si="22"/>
        <v>3.2478569915467487E-3</v>
      </c>
    </row>
    <row r="43" spans="1:28" s="29" customFormat="1">
      <c r="A43" s="28" t="s">
        <v>295</v>
      </c>
      <c r="B43" s="18" t="str">
        <f>VLOOKUP(A43,'Identidad de Codigos'!A:C,2,FALSE)</f>
        <v>ARARCS560050</v>
      </c>
      <c r="C43" s="81">
        <f>VLOOKUP(A43,'Identidad de Codigos'!A:C,3,FALSE)</f>
        <v>52407</v>
      </c>
      <c r="D43" s="18" t="s">
        <v>71</v>
      </c>
      <c r="E43" s="76">
        <v>44319</v>
      </c>
      <c r="F43" s="20" t="s">
        <v>13</v>
      </c>
      <c r="G43" s="20" t="s">
        <v>288</v>
      </c>
      <c r="H43" s="21">
        <f t="shared" si="15"/>
        <v>89000000</v>
      </c>
      <c r="I43" s="21">
        <f t="shared" si="16"/>
        <v>0</v>
      </c>
      <c r="J43" s="101">
        <v>82000000</v>
      </c>
      <c r="K43" s="101">
        <v>7000000</v>
      </c>
      <c r="L43" s="88"/>
      <c r="M43" s="22"/>
      <c r="N43" s="22">
        <v>104.17459413133005</v>
      </c>
      <c r="O43" s="22"/>
      <c r="P43" s="23">
        <f t="shared" si="17"/>
        <v>9271538877.6883755</v>
      </c>
      <c r="Q43" s="23">
        <f t="shared" si="18"/>
        <v>460148835.06319791</v>
      </c>
      <c r="R43" s="26">
        <f>VLOOKUP(A43,'Precios para Valuar'!C:Z,6,FALSE)</f>
        <v>2.9899999999999999E-2</v>
      </c>
      <c r="S43" s="26">
        <f t="shared" si="19"/>
        <v>0.25689999999999996</v>
      </c>
      <c r="T43" s="27">
        <f>VLOOKUP(A43,'Precios para Valuar'!C:AC,9,FALSE)</f>
        <v>1.9712627929223738</v>
      </c>
      <c r="U43" s="12">
        <f t="shared" ca="1" si="20"/>
        <v>2.9710564509978544E-2</v>
      </c>
      <c r="V43" s="130"/>
      <c r="W43" s="77" t="str">
        <f>VLOOKUP(A43,'Precios para Valuar'!$C:$T,8,FALSE)</f>
        <v>VT</v>
      </c>
      <c r="X43" s="77"/>
      <c r="Y43" s="77" t="s">
        <v>326</v>
      </c>
      <c r="Z43" s="6"/>
      <c r="AA43" s="127">
        <f t="shared" ca="1" si="21"/>
        <v>7.6326440226134867E-3</v>
      </c>
      <c r="AB43" s="29">
        <f t="shared" ca="1" si="22"/>
        <v>5.8567330375240666E-2</v>
      </c>
    </row>
    <row r="44" spans="1:28" s="29" customFormat="1">
      <c r="A44" s="28" t="s">
        <v>72</v>
      </c>
      <c r="B44" s="18" t="str">
        <f>VLOOKUP(A44,'Identidad de Codigos'!A:C,2,FALSE)</f>
        <v>ARTACU5600F2</v>
      </c>
      <c r="C44" s="81">
        <f>VLOOKUP(A44,'Identidad de Codigos'!A:C,3,FALSE)</f>
        <v>51916</v>
      </c>
      <c r="D44" s="18" t="s">
        <v>73</v>
      </c>
      <c r="E44" s="76">
        <v>44130</v>
      </c>
      <c r="F44" s="20" t="s">
        <v>13</v>
      </c>
      <c r="G44" s="20" t="s">
        <v>288</v>
      </c>
      <c r="H44" s="21">
        <f t="shared" si="15"/>
        <v>35023666</v>
      </c>
      <c r="I44" s="21">
        <f t="shared" si="16"/>
        <v>0</v>
      </c>
      <c r="J44" s="101">
        <v>35023666</v>
      </c>
      <c r="K44" s="88"/>
      <c r="L44" s="88"/>
      <c r="M44" s="22"/>
      <c r="N44" s="22">
        <v>106.00611952838275</v>
      </c>
      <c r="O44" s="22"/>
      <c r="P44" s="23">
        <f t="shared" si="17"/>
        <v>3712722924.3181553</v>
      </c>
      <c r="Q44" s="23">
        <f t="shared" si="18"/>
        <v>184263384.00506997</v>
      </c>
      <c r="R44" s="26">
        <f>VLOOKUP(A44,'Precios para Valuar'!C:Z,6,FALSE)</f>
        <v>3.4969698318834536E-2</v>
      </c>
      <c r="S44" s="26">
        <f t="shared" si="19"/>
        <v>0.26196969831883454</v>
      </c>
      <c r="T44" s="27">
        <f>VLOOKUP(A44,'Precios para Valuar'!C:AC,9,FALSE)</f>
        <v>1.7213978996307884</v>
      </c>
      <c r="U44" s="12">
        <f t="shared" ca="1" si="20"/>
        <v>1.1897387845299425E-2</v>
      </c>
      <c r="V44" s="130"/>
      <c r="W44" s="77" t="str">
        <f>VLOOKUP(A44,'Precios para Valuar'!$C:$T,8,FALSE)</f>
        <v>devengado</v>
      </c>
      <c r="X44" s="77"/>
      <c r="Y44" s="77" t="s">
        <v>328</v>
      </c>
      <c r="Z44" s="6"/>
      <c r="AA44" s="127">
        <f t="shared" ca="1" si="21"/>
        <v>3.1167551046152593E-3</v>
      </c>
      <c r="AB44" s="29">
        <f t="shared" ca="1" si="22"/>
        <v>2.0480138447991302E-2</v>
      </c>
    </row>
    <row r="45" spans="1:28" s="29" customFormat="1">
      <c r="A45" s="28" t="s">
        <v>68</v>
      </c>
      <c r="B45" s="18" t="str">
        <f>VLOOKUP(A45,'Identidad de Codigos'!A:C,2,FALSE)</f>
        <v>ARTELM560034</v>
      </c>
      <c r="C45" s="81">
        <f>VLOOKUP(A45,'Identidad de Codigos'!A:C,3,FALSE)</f>
        <v>51988</v>
      </c>
      <c r="D45" s="18" t="s">
        <v>74</v>
      </c>
      <c r="E45" s="76">
        <v>43236</v>
      </c>
      <c r="F45" s="20" t="s">
        <v>13</v>
      </c>
      <c r="G45" s="20" t="s">
        <v>288</v>
      </c>
      <c r="H45" s="21">
        <f t="shared" si="15"/>
        <v>36000000</v>
      </c>
      <c r="I45" s="21">
        <f t="shared" si="16"/>
        <v>0</v>
      </c>
      <c r="J45" s="101">
        <v>36000000</v>
      </c>
      <c r="K45" s="101"/>
      <c r="L45" s="88"/>
      <c r="M45" s="22"/>
      <c r="N45" s="22">
        <v>102.7677725231645</v>
      </c>
      <c r="O45" s="22"/>
      <c r="P45" s="23">
        <f t="shared" si="17"/>
        <v>3699639810.8339219</v>
      </c>
      <c r="Q45" s="23">
        <f t="shared" si="18"/>
        <v>183614065.75184485</v>
      </c>
      <c r="R45" s="26">
        <f>VLOOKUP(A45,'Precios para Valuar'!C:Z,6,FALSE)</f>
        <v>7.3966571240585754E-2</v>
      </c>
      <c r="S45" s="26">
        <f t="shared" si="19"/>
        <v>0.30096657124058573</v>
      </c>
      <c r="T45" s="27">
        <f>VLOOKUP(A45,'Precios para Valuar'!C:AC,9,FALSE)</f>
        <v>0.10216716158330806</v>
      </c>
      <c r="U45" s="12">
        <f t="shared" ca="1" si="20"/>
        <v>1.185546312360084E-2</v>
      </c>
      <c r="V45" s="130"/>
      <c r="W45" s="77" t="str">
        <f>VLOOKUP(A45,'Precios para Valuar'!$C:$T,8,FALSE)</f>
        <v>devengado</v>
      </c>
      <c r="X45" s="77"/>
      <c r="Y45" s="77" t="s">
        <v>329</v>
      </c>
      <c r="Z45" s="6"/>
      <c r="AA45" s="127">
        <f t="shared" ca="1" si="21"/>
        <v>3.5680980867793493E-3</v>
      </c>
      <c r="AB45" s="29">
        <f t="shared" ca="1" si="22"/>
        <v>1.2112390165938771E-3</v>
      </c>
    </row>
    <row r="46" spans="1:28" s="29" customFormat="1">
      <c r="A46" s="45" t="s">
        <v>76</v>
      </c>
      <c r="B46" s="18" t="str">
        <f>VLOOKUP(A46,'Identidad de Codigos'!A:C,2,FALSE)</f>
        <v>ARTCFA5600E6</v>
      </c>
      <c r="C46" s="81">
        <f>VLOOKUP(A46,'Identidad de Codigos'!A:C,3,FALSE)</f>
        <v>51863</v>
      </c>
      <c r="D46" s="18" t="s">
        <v>77</v>
      </c>
      <c r="E46" s="40">
        <v>43371</v>
      </c>
      <c r="F46" s="20" t="s">
        <v>13</v>
      </c>
      <c r="G46" s="20" t="s">
        <v>288</v>
      </c>
      <c r="H46" s="21">
        <f t="shared" si="15"/>
        <v>8500000</v>
      </c>
      <c r="I46" s="21">
        <f t="shared" si="16"/>
        <v>0</v>
      </c>
      <c r="J46" s="101">
        <v>8500000</v>
      </c>
      <c r="K46" s="88"/>
      <c r="L46" s="88"/>
      <c r="M46" s="22"/>
      <c r="N46" s="22">
        <v>66.83102899601819</v>
      </c>
      <c r="O46" s="22"/>
      <c r="P46" s="23">
        <f t="shared" si="17"/>
        <v>568063746.46615458</v>
      </c>
      <c r="Q46" s="23">
        <f t="shared" si="18"/>
        <v>28193148.367966376</v>
      </c>
      <c r="R46" s="26">
        <f>VLOOKUP(A46,'Precios para Valuar'!C:Z,6,FALSE)</f>
        <v>3.6517997107349681E-2</v>
      </c>
      <c r="S46" s="26">
        <f t="shared" si="19"/>
        <v>0.26351799710734969</v>
      </c>
      <c r="T46" s="27">
        <f>VLOOKUP(A46,'Precios para Valuar'!C:AC,9,FALSE)</f>
        <v>0.45666635888790252</v>
      </c>
      <c r="U46" s="12">
        <f t="shared" ca="1" si="20"/>
        <v>1.820355262250786E-3</v>
      </c>
      <c r="V46" s="130"/>
      <c r="W46" s="77" t="str">
        <f>VLOOKUP(A46,'Precios para Valuar'!$C:$T,8,FALSE)</f>
        <v>devengado</v>
      </c>
      <c r="X46" s="77"/>
      <c r="Y46" s="77" t="s">
        <v>324</v>
      </c>
      <c r="AA46" s="127">
        <f t="shared" ca="1" si="21"/>
        <v>4.796963727321514E-4</v>
      </c>
      <c r="AB46" s="29">
        <f t="shared" ca="1" si="22"/>
        <v>8.3129500949449939E-4</v>
      </c>
    </row>
    <row r="47" spans="1:28" s="29" customFormat="1">
      <c r="A47" s="31" t="s">
        <v>30</v>
      </c>
      <c r="B47" s="18"/>
      <c r="C47" s="18"/>
      <c r="D47" s="18"/>
      <c r="E47" s="40"/>
      <c r="F47" s="20"/>
      <c r="G47" s="20"/>
      <c r="H47" s="21"/>
      <c r="I47" s="21"/>
      <c r="J47" s="88"/>
      <c r="K47" s="88"/>
      <c r="L47" s="88"/>
      <c r="M47" s="22"/>
      <c r="N47" s="22"/>
      <c r="O47" s="22"/>
      <c r="P47" s="23"/>
      <c r="Q47" s="23"/>
      <c r="R47" s="26"/>
      <c r="S47" s="26"/>
      <c r="T47" s="27"/>
      <c r="U47" s="12"/>
      <c r="V47" s="23"/>
      <c r="W47" s="77"/>
      <c r="X47" s="77"/>
      <c r="Y47" s="77"/>
    </row>
    <row r="48" spans="1:28" s="29" customFormat="1">
      <c r="A48" s="45" t="s">
        <v>46</v>
      </c>
      <c r="B48" s="18" t="str">
        <f>VLOOKUP(A48,'Identidad de Codigos'!A:C,2,FALSE)</f>
        <v>ARBHIP5600P1</v>
      </c>
      <c r="C48" s="81">
        <f>VLOOKUP(A48,'Identidad de Codigos'!A:C,3,FALSE)</f>
        <v>52435</v>
      </c>
      <c r="D48" s="18" t="s">
        <v>79</v>
      </c>
      <c r="E48" s="40">
        <v>43959</v>
      </c>
      <c r="F48" s="20" t="s">
        <v>33</v>
      </c>
      <c r="G48" s="20" t="s">
        <v>285</v>
      </c>
      <c r="H48" s="21">
        <f t="shared" si="15"/>
        <v>3276500</v>
      </c>
      <c r="I48" s="21">
        <f>H48-SUM(J48:L48)</f>
        <v>0</v>
      </c>
      <c r="J48" s="101">
        <v>3276500</v>
      </c>
      <c r="K48" s="101"/>
      <c r="L48" s="101"/>
      <c r="M48" s="22"/>
      <c r="N48" s="22">
        <v>2140.6942743946902</v>
      </c>
      <c r="O48" s="22"/>
      <c r="P48" s="23">
        <f>H48*N48/100</f>
        <v>70139847.900542021</v>
      </c>
      <c r="Q48" s="23">
        <f>P48/$N$95</f>
        <v>3481058.5091340523</v>
      </c>
      <c r="R48" s="26">
        <f>VLOOKUP(A48,'Precios para Valuar'!C:Z,6,FALSE)</f>
        <v>5.427870456096251E-2</v>
      </c>
      <c r="S48" s="26">
        <f>+R48+CER</f>
        <v>0.2322787045609625</v>
      </c>
      <c r="T48" s="27">
        <f>VLOOKUP(A48,'Precios para Valuar'!C:AC,9,FALSE)</f>
        <v>2.0061053948554561</v>
      </c>
      <c r="U48" s="12">
        <f ca="1">P48/$P$99</f>
        <v>2.2476252359615877E-4</v>
      </c>
      <c r="V48" s="130"/>
      <c r="W48" s="77" t="str">
        <f>VLOOKUP(A48,'Precios para Valuar'!$C:$T,8,FALSE)</f>
        <v>devengado</v>
      </c>
      <c r="X48" s="77"/>
      <c r="Y48" s="77" t="s">
        <v>323</v>
      </c>
      <c r="AA48" s="127">
        <f t="shared" ref="AA48:AA49" ca="1" si="28">S48*U48</f>
        <v>5.2207547814768527E-5</v>
      </c>
      <c r="AB48" s="29">
        <f t="shared" ref="AB48:AB49" ca="1" si="29">T48*U48</f>
        <v>4.5089731114758086E-4</v>
      </c>
    </row>
    <row r="49" spans="1:28" s="29" customFormat="1">
      <c r="A49" s="45" t="s">
        <v>292</v>
      </c>
      <c r="B49" s="18" t="str">
        <f>VLOOKUP(A49,'Identidad de Codigos'!A:C,2,FALSE)</f>
        <v>ARBBOS560053</v>
      </c>
      <c r="C49" s="81">
        <f>VLOOKUP(A49,'Identidad de Codigos'!A:C,3,FALSE)</f>
        <v>11111</v>
      </c>
      <c r="D49" s="18" t="s">
        <v>79</v>
      </c>
      <c r="E49" s="40">
        <v>43959</v>
      </c>
      <c r="F49" s="20" t="s">
        <v>33</v>
      </c>
      <c r="G49" s="20" t="s">
        <v>285</v>
      </c>
      <c r="H49" s="21">
        <f t="shared" si="15"/>
        <v>1270795</v>
      </c>
      <c r="I49" s="21">
        <f>H49-SUM(J49:L49)</f>
        <v>0</v>
      </c>
      <c r="J49" s="101">
        <v>1155268</v>
      </c>
      <c r="K49" s="101">
        <v>115527</v>
      </c>
      <c r="L49" s="88"/>
      <c r="M49" s="22"/>
      <c r="N49" s="22">
        <v>2252.9734496701421</v>
      </c>
      <c r="O49" s="22"/>
      <c r="P49" s="23">
        <f>H49*N49/100</f>
        <v>28630673.949735686</v>
      </c>
      <c r="Q49" s="23">
        <f>P49/$N$95</f>
        <v>1420947.6375867629</v>
      </c>
      <c r="R49" s="26">
        <f>VLOOKUP(A49,'Precios para Valuar'!C:Z,6,FALSE)</f>
        <v>4.3700000000000003E-2</v>
      </c>
      <c r="S49" s="26">
        <f>+R49+CER</f>
        <v>0.22170000000000001</v>
      </c>
      <c r="T49" s="27">
        <f>VLOOKUP(A49,'Precios para Valuar'!C:AC,9,FALSE)</f>
        <v>1.7427610674439808</v>
      </c>
      <c r="U49" s="12">
        <f ca="1">P49/$P$99</f>
        <v>9.1746741999303172E-5</v>
      </c>
      <c r="V49" s="130"/>
      <c r="W49" s="77" t="str">
        <f>VLOOKUP(A49,'Precios para Valuar'!$C:$T,8,FALSE)</f>
        <v>devengado</v>
      </c>
      <c r="X49" s="77"/>
      <c r="Y49" s="77"/>
      <c r="Z49" s="6"/>
      <c r="AA49" s="127">
        <f t="shared" ca="1" si="28"/>
        <v>2.0340252701245513E-5</v>
      </c>
      <c r="AB49" s="29">
        <f t="shared" ca="1" si="29"/>
        <v>1.5989265002121312E-4</v>
      </c>
    </row>
    <row r="50" spans="1:28" s="29" customFormat="1">
      <c r="A50" s="46" t="s">
        <v>80</v>
      </c>
      <c r="B50" s="32"/>
      <c r="C50" s="32"/>
      <c r="D50" s="32"/>
      <c r="E50" s="33"/>
      <c r="F50" s="32"/>
      <c r="G50" s="32"/>
      <c r="H50" s="34"/>
      <c r="I50" s="34"/>
      <c r="J50" s="34"/>
      <c r="K50" s="34"/>
      <c r="L50" s="34"/>
      <c r="M50" s="35"/>
      <c r="N50" s="35"/>
      <c r="O50" s="35"/>
      <c r="P50" s="47"/>
      <c r="Q50" s="47"/>
      <c r="R50" s="48"/>
      <c r="S50" s="48"/>
      <c r="T50" s="49"/>
      <c r="U50" s="50"/>
      <c r="V50" s="23"/>
      <c r="W50" s="77"/>
      <c r="X50" s="77"/>
      <c r="Y50" s="77"/>
    </row>
    <row r="51" spans="1:28" s="29" customFormat="1">
      <c r="A51" s="45" t="s">
        <v>183</v>
      </c>
      <c r="B51" s="18"/>
      <c r="C51" s="18"/>
      <c r="D51" s="18">
        <v>1.9E-2</v>
      </c>
      <c r="E51" s="40">
        <v>43276</v>
      </c>
      <c r="F51" s="20" t="s">
        <v>36</v>
      </c>
      <c r="G51" s="20" t="s">
        <v>80</v>
      </c>
      <c r="H51" s="21">
        <v>430000</v>
      </c>
      <c r="I51" s="21"/>
      <c r="J51" s="93">
        <v>43186</v>
      </c>
      <c r="K51" s="101"/>
      <c r="L51" s="101"/>
      <c r="M51" s="22"/>
      <c r="N51" s="22"/>
      <c r="O51" s="22"/>
      <c r="P51" s="23">
        <f>H51*(1+D51/365*("28/03/2018"-J51))</f>
        <v>430022.38356164389</v>
      </c>
      <c r="Q51" s="23">
        <f>+P51</f>
        <v>430022.38356164389</v>
      </c>
      <c r="R51" s="51">
        <f>+D51+Dev</f>
        <v>0.17042190679438182</v>
      </c>
      <c r="S51" s="51">
        <f t="shared" ref="S51" si="30">+R51</f>
        <v>0.17042190679438182</v>
      </c>
      <c r="T51" s="27">
        <f>((E51-"28/03/2018")/365)/(1+R51)</f>
        <v>0.20833138462538442</v>
      </c>
      <c r="U51" s="12">
        <f t="shared" ref="U51:U67" ca="1" si="31">P51/$P$99</f>
        <v>1.3780029330717085E-6</v>
      </c>
      <c r="V51" s="87"/>
      <c r="W51" s="77" t="s">
        <v>276</v>
      </c>
      <c r="X51" s="77"/>
      <c r="Y51" s="77"/>
      <c r="AA51" s="127">
        <f ca="1">S51*U51</f>
        <v>2.3484188742233147E-7</v>
      </c>
      <c r="AB51" s="29">
        <f ca="1">T51*U51</f>
        <v>2.8708125906466997E-7</v>
      </c>
    </row>
    <row r="52" spans="1:28" s="29" customFormat="1">
      <c r="A52" s="45" t="str">
        <f>+'Pos PF Sura'!C2</f>
        <v>BANCO ITAU ARGENTINA SA</v>
      </c>
      <c r="B52" s="18"/>
      <c r="C52" s="18"/>
      <c r="D52" s="18">
        <v>0.25900000000000001</v>
      </c>
      <c r="E52" s="40">
        <v>43543</v>
      </c>
      <c r="F52" s="20" t="s">
        <v>81</v>
      </c>
      <c r="G52" s="20" t="s">
        <v>80</v>
      </c>
      <c r="H52" s="21">
        <v>65000000</v>
      </c>
      <c r="I52" s="21"/>
      <c r="J52" s="93">
        <v>43181</v>
      </c>
      <c r="K52" s="88"/>
      <c r="L52" s="88"/>
      <c r="M52" s="22"/>
      <c r="N52" s="22"/>
      <c r="O52" s="22"/>
      <c r="P52" s="23">
        <f t="shared" ref="P52:P67" si="32">H52*(1+D52/365*("28/03/2018"-J52))</f>
        <v>65276739.726027399</v>
      </c>
      <c r="Q52" s="23">
        <f t="shared" ref="Q52:Q67" si="33">P52/$N$95</f>
        <v>3239701.2122699586</v>
      </c>
      <c r="R52" s="51">
        <f t="shared" ref="R52:R67" si="34">+D52</f>
        <v>0.25900000000000001</v>
      </c>
      <c r="S52" s="51">
        <f t="shared" ref="S52:S57" si="35">+R52</f>
        <v>0.25900000000000001</v>
      </c>
      <c r="T52" s="27">
        <f t="shared" ref="T52:T67" si="36">((E52-"28/03/2018")/365)/(1+R52)</f>
        <v>0.77469616024894739</v>
      </c>
      <c r="U52" s="12">
        <f t="shared" ca="1" si="31"/>
        <v>2.0917873636903294E-4</v>
      </c>
      <c r="V52" s="23"/>
      <c r="W52" s="77" t="s">
        <v>276</v>
      </c>
      <c r="X52" s="77"/>
      <c r="Y52" s="77"/>
      <c r="AA52" s="127">
        <f t="shared" ref="AA52:AA67" ca="1" si="37">S52*U52</f>
        <v>5.4177292719579532E-5</v>
      </c>
      <c r="AB52" s="29">
        <f t="shared" ref="AB52:AB67" ca="1" si="38">T52*U52</f>
        <v>1.6204996387081665E-4</v>
      </c>
    </row>
    <row r="53" spans="1:28" s="29" customFormat="1">
      <c r="A53" s="45" t="str">
        <f>+'Pos PF Sura'!C5</f>
        <v>BCO.PATAGONIA SA</v>
      </c>
      <c r="B53" s="18"/>
      <c r="C53" s="18"/>
      <c r="D53" s="18">
        <f>+'Pos PF Sura'!I5/100</f>
        <v>0.2225</v>
      </c>
      <c r="E53" s="40">
        <f>+'Pos PF Sura'!E5</f>
        <v>43230</v>
      </c>
      <c r="F53" s="20" t="s">
        <v>81</v>
      </c>
      <c r="G53" s="20" t="s">
        <v>80</v>
      </c>
      <c r="H53" s="21">
        <v>8333000</v>
      </c>
      <c r="I53" s="21"/>
      <c r="J53" s="93">
        <v>42872</v>
      </c>
      <c r="K53" s="88"/>
      <c r="L53" s="88"/>
      <c r="M53" s="22"/>
      <c r="N53" s="22"/>
      <c r="O53" s="22"/>
      <c r="P53" s="23">
        <f t="shared" si="32"/>
        <v>9933107.2260273974</v>
      </c>
      <c r="Q53" s="23">
        <f t="shared" si="33"/>
        <v>492982.64062868612</v>
      </c>
      <c r="R53" s="51">
        <f t="shared" si="34"/>
        <v>0.2225</v>
      </c>
      <c r="S53" s="51">
        <f t="shared" si="35"/>
        <v>0.2225</v>
      </c>
      <c r="T53" s="27">
        <f t="shared" si="36"/>
        <v>9.6366641454463969E-2</v>
      </c>
      <c r="U53" s="12">
        <f t="shared" ca="1" si="31"/>
        <v>3.1830554443730197E-5</v>
      </c>
      <c r="V53" s="23"/>
      <c r="W53" s="77" t="s">
        <v>276</v>
      </c>
      <c r="X53" s="77"/>
      <c r="Y53" s="77"/>
      <c r="AA53" s="127">
        <f t="shared" ca="1" si="37"/>
        <v>7.0822983637299688E-6</v>
      </c>
      <c r="AB53" s="29">
        <f t="shared" ca="1" si="38"/>
        <v>3.0674036273757427E-6</v>
      </c>
    </row>
    <row r="54" spans="1:28" s="29" customFormat="1">
      <c r="A54" s="45" t="str">
        <f>+'Pos PF Sura'!C6</f>
        <v>BCO.PATAGONIA SA</v>
      </c>
      <c r="B54" s="18"/>
      <c r="C54" s="18"/>
      <c r="D54" s="18">
        <f>+'Pos PF Sura'!I6/100</f>
        <v>0.26800000000000002</v>
      </c>
      <c r="E54" s="40">
        <f>+'Pos PF Sura'!E6</f>
        <v>43234</v>
      </c>
      <c r="F54" s="20" t="s">
        <v>81</v>
      </c>
      <c r="G54" s="20" t="s">
        <v>80</v>
      </c>
      <c r="H54" s="21">
        <v>60973000</v>
      </c>
      <c r="I54" s="21"/>
      <c r="J54" s="93">
        <v>43054</v>
      </c>
      <c r="K54" s="88"/>
      <c r="L54" s="88"/>
      <c r="M54" s="22"/>
      <c r="N54" s="22"/>
      <c r="O54" s="22"/>
      <c r="P54" s="23">
        <f t="shared" si="32"/>
        <v>66927305.786301367</v>
      </c>
      <c r="Q54" s="23">
        <f t="shared" si="33"/>
        <v>3321619.2260807664</v>
      </c>
      <c r="R54" s="51">
        <f t="shared" si="34"/>
        <v>0.26800000000000002</v>
      </c>
      <c r="S54" s="51">
        <f t="shared" si="35"/>
        <v>0.26800000000000002</v>
      </c>
      <c r="T54" s="27">
        <f t="shared" si="36"/>
        <v>0.10155135905967763</v>
      </c>
      <c r="U54" s="12">
        <f t="shared" ca="1" si="31"/>
        <v>2.1446796074253604E-4</v>
      </c>
      <c r="V54" s="28"/>
      <c r="W54" s="77" t="s">
        <v>276</v>
      </c>
      <c r="X54" s="77"/>
      <c r="Y54" s="77"/>
      <c r="AA54" s="127">
        <f t="shared" ca="1" si="37"/>
        <v>5.7477413478999661E-5</v>
      </c>
      <c r="AB54" s="29">
        <f t="shared" ca="1" si="38"/>
        <v>2.1779512888162123E-5</v>
      </c>
    </row>
    <row r="55" spans="1:28" s="29" customFormat="1">
      <c r="A55" s="45" t="str">
        <f>+'Pos PF Sura'!C7</f>
        <v>BBVA BANCO FRANCES SA</v>
      </c>
      <c r="B55" s="18"/>
      <c r="C55" s="18"/>
      <c r="D55" s="18">
        <f>+'Pos PF Sura'!I7/100</f>
        <v>0.27</v>
      </c>
      <c r="E55" s="40">
        <f>+'Pos PF Sura'!E7</f>
        <v>43416</v>
      </c>
      <c r="F55" s="20" t="s">
        <v>81</v>
      </c>
      <c r="G55" s="20" t="s">
        <v>80</v>
      </c>
      <c r="H55" s="21">
        <v>40000000</v>
      </c>
      <c r="I55" s="21"/>
      <c r="J55" s="93">
        <v>43055</v>
      </c>
      <c r="K55" s="88"/>
      <c r="L55" s="88"/>
      <c r="M55" s="22"/>
      <c r="N55" s="22"/>
      <c r="O55" s="22"/>
      <c r="P55" s="23">
        <f t="shared" si="32"/>
        <v>43905753.424657539</v>
      </c>
      <c r="Q55" s="23">
        <f t="shared" si="33"/>
        <v>2179053.7210113425</v>
      </c>
      <c r="R55" s="51">
        <f t="shared" si="34"/>
        <v>0.27</v>
      </c>
      <c r="S55" s="51">
        <f t="shared" si="35"/>
        <v>0.27</v>
      </c>
      <c r="T55" s="27">
        <f t="shared" si="36"/>
        <v>0.49401359076690754</v>
      </c>
      <c r="U55" s="12">
        <f t="shared" ca="1" si="31"/>
        <v>1.4069559937041805E-4</v>
      </c>
      <c r="V55" s="28"/>
      <c r="W55" s="77" t="s">
        <v>276</v>
      </c>
      <c r="X55" s="77"/>
      <c r="Y55" s="77"/>
      <c r="AA55" s="127">
        <f t="shared" ca="1" si="37"/>
        <v>3.7987811830012876E-5</v>
      </c>
      <c r="AB55" s="29">
        <f t="shared" ca="1" si="38"/>
        <v>6.9505538250082477E-5</v>
      </c>
    </row>
    <row r="56" spans="1:28" s="29" customFormat="1">
      <c r="A56" s="45" t="str">
        <f>+'Pos PF Sura'!C8</f>
        <v>BBVA BANCO FRANCES SA</v>
      </c>
      <c r="B56" s="18"/>
      <c r="C56" s="18"/>
      <c r="D56" s="18">
        <f>+'Pos PF Sura'!I8/100</f>
        <v>0.27</v>
      </c>
      <c r="E56" s="40">
        <f>+'Pos PF Sura'!E8</f>
        <v>43416</v>
      </c>
      <c r="F56" s="20" t="s">
        <v>81</v>
      </c>
      <c r="G56" s="20" t="s">
        <v>80</v>
      </c>
      <c r="H56" s="21">
        <v>40000000</v>
      </c>
      <c r="I56" s="21"/>
      <c r="J56" s="93">
        <v>43055</v>
      </c>
      <c r="K56" s="88"/>
      <c r="L56" s="88"/>
      <c r="M56" s="22"/>
      <c r="N56" s="22"/>
      <c r="O56" s="22"/>
      <c r="P56" s="23">
        <f t="shared" si="32"/>
        <v>43905753.424657539</v>
      </c>
      <c r="Q56" s="23">
        <f t="shared" si="33"/>
        <v>2179053.7210113425</v>
      </c>
      <c r="R56" s="51">
        <f t="shared" si="34"/>
        <v>0.27</v>
      </c>
      <c r="S56" s="51">
        <f t="shared" si="35"/>
        <v>0.27</v>
      </c>
      <c r="T56" s="27">
        <f t="shared" si="36"/>
        <v>0.49401359076690754</v>
      </c>
      <c r="U56" s="12">
        <f t="shared" ca="1" si="31"/>
        <v>1.4069559937041805E-4</v>
      </c>
      <c r="V56" s="28"/>
      <c r="W56" s="77" t="s">
        <v>276</v>
      </c>
      <c r="X56" s="77"/>
      <c r="Y56" s="77"/>
      <c r="AA56" s="127">
        <f t="shared" ca="1" si="37"/>
        <v>3.7987811830012876E-5</v>
      </c>
      <c r="AB56" s="29">
        <f t="shared" ca="1" si="38"/>
        <v>6.9505538250082477E-5</v>
      </c>
    </row>
    <row r="57" spans="1:28" s="29" customFormat="1">
      <c r="A57" s="45" t="str">
        <f>+'Pos PF Sura'!C9</f>
        <v>BCO.PATAGONIA SA</v>
      </c>
      <c r="B57" s="18"/>
      <c r="C57" s="18"/>
      <c r="D57" s="18">
        <f>+'Pos PF Sura'!I9/100</f>
        <v>0.26899999999999996</v>
      </c>
      <c r="E57" s="40">
        <f>+'Pos PF Sura'!E9</f>
        <v>43432</v>
      </c>
      <c r="F57" s="20" t="s">
        <v>81</v>
      </c>
      <c r="G57" s="20" t="s">
        <v>80</v>
      </c>
      <c r="H57" s="21">
        <v>13880000</v>
      </c>
      <c r="I57" s="21"/>
      <c r="J57" s="93">
        <v>43067</v>
      </c>
      <c r="K57" s="88"/>
      <c r="L57" s="88"/>
      <c r="M57" s="22"/>
      <c r="N57" s="22"/>
      <c r="O57" s="22"/>
      <c r="P57" s="23">
        <f t="shared" si="32"/>
        <v>15107524.383561645</v>
      </c>
      <c r="Q57" s="23">
        <f t="shared" si="33"/>
        <v>749790.28158030892</v>
      </c>
      <c r="R57" s="51">
        <f t="shared" si="34"/>
        <v>0.26899999999999996</v>
      </c>
      <c r="S57" s="51">
        <f t="shared" si="35"/>
        <v>0.26899999999999996</v>
      </c>
      <c r="T57" s="27">
        <f t="shared" si="36"/>
        <v>0.52894631734620079</v>
      </c>
      <c r="U57" s="12">
        <f t="shared" ca="1" si="31"/>
        <v>4.8411928559565326E-5</v>
      </c>
      <c r="V57" s="28"/>
      <c r="W57" s="77" t="s">
        <v>276</v>
      </c>
      <c r="X57" s="77"/>
      <c r="Y57" s="77"/>
      <c r="AA57" s="127">
        <f t="shared" ca="1" si="37"/>
        <v>1.3022808782523071E-5</v>
      </c>
      <c r="AB57" s="29">
        <f t="shared" ca="1" si="38"/>
        <v>2.5607311327209442E-5</v>
      </c>
    </row>
    <row r="58" spans="1:28" s="29" customFormat="1">
      <c r="A58" s="45" t="s">
        <v>274</v>
      </c>
      <c r="B58" s="18"/>
      <c r="C58" s="18"/>
      <c r="D58" s="18">
        <v>0.27</v>
      </c>
      <c r="E58" s="40">
        <v>43479</v>
      </c>
      <c r="F58" s="20" t="s">
        <v>81</v>
      </c>
      <c r="G58" s="20" t="s">
        <v>80</v>
      </c>
      <c r="H58" s="21">
        <v>16100000</v>
      </c>
      <c r="I58" s="21"/>
      <c r="J58" s="93">
        <v>43118</v>
      </c>
      <c r="K58" s="88"/>
      <c r="L58" s="88"/>
      <c r="M58" s="22"/>
      <c r="N58" s="22"/>
      <c r="O58" s="22"/>
      <c r="P58" s="23">
        <f t="shared" si="32"/>
        <v>16921761.643835619</v>
      </c>
      <c r="Q58" s="23">
        <f t="shared" si="33"/>
        <v>839831.33871832932</v>
      </c>
      <c r="R58" s="51">
        <f t="shared" si="34"/>
        <v>0.27</v>
      </c>
      <c r="S58" s="51">
        <f t="shared" ref="S58:S59" si="39">+R58</f>
        <v>0.27</v>
      </c>
      <c r="T58" s="27">
        <f t="shared" si="36"/>
        <v>0.62992125984251968</v>
      </c>
      <c r="U58" s="12">
        <f t="shared" ca="1" si="31"/>
        <v>5.4225635849030495E-5</v>
      </c>
      <c r="V58" s="87"/>
      <c r="W58" s="77" t="s">
        <v>276</v>
      </c>
      <c r="X58" s="77"/>
      <c r="Y58" s="77"/>
      <c r="AA58" s="127">
        <f t="shared" ca="1" si="37"/>
        <v>1.4640921679238234E-5</v>
      </c>
      <c r="AB58" s="29">
        <f t="shared" ca="1" si="38"/>
        <v>3.4157880849782991E-5</v>
      </c>
    </row>
    <row r="59" spans="1:28" s="29" customFormat="1">
      <c r="A59" s="45" t="s">
        <v>274</v>
      </c>
      <c r="B59" s="18"/>
      <c r="C59" s="18"/>
      <c r="D59" s="18">
        <v>0.26800000000000002</v>
      </c>
      <c r="E59" s="40">
        <v>43486</v>
      </c>
      <c r="F59" s="20" t="s">
        <v>81</v>
      </c>
      <c r="G59" s="20" t="s">
        <v>80</v>
      </c>
      <c r="H59" s="21">
        <v>22000000</v>
      </c>
      <c r="I59" s="21"/>
      <c r="J59" s="93">
        <v>43126</v>
      </c>
      <c r="K59" s="88"/>
      <c r="L59" s="88"/>
      <c r="M59" s="22"/>
      <c r="N59" s="22"/>
      <c r="O59" s="22"/>
      <c r="P59" s="23">
        <f t="shared" si="32"/>
        <v>22985358.90410959</v>
      </c>
      <c r="Q59" s="23">
        <f t="shared" si="33"/>
        <v>1140769.2145570295</v>
      </c>
      <c r="R59" s="51">
        <f t="shared" si="34"/>
        <v>0.26800000000000002</v>
      </c>
      <c r="S59" s="51">
        <f t="shared" si="39"/>
        <v>0.26800000000000002</v>
      </c>
      <c r="T59" s="27">
        <f t="shared" si="36"/>
        <v>0.64603949699667251</v>
      </c>
      <c r="U59" s="12">
        <f t="shared" ca="1" si="31"/>
        <v>7.3656379756865522E-5</v>
      </c>
      <c r="V59" s="87"/>
      <c r="W59" s="77" t="s">
        <v>276</v>
      </c>
      <c r="X59" s="77"/>
      <c r="Y59" s="77"/>
      <c r="AA59" s="127">
        <f t="shared" ca="1" si="37"/>
        <v>1.9739909774839962E-5</v>
      </c>
      <c r="AB59" s="29">
        <f t="shared" ca="1" si="38"/>
        <v>4.7584930528721294E-5</v>
      </c>
    </row>
    <row r="60" spans="1:28" s="29" customFormat="1">
      <c r="A60" s="45" t="s">
        <v>333</v>
      </c>
      <c r="B60" s="18"/>
      <c r="C60" s="18"/>
      <c r="D60" s="18">
        <v>0.255</v>
      </c>
      <c r="E60" s="40">
        <v>43362</v>
      </c>
      <c r="F60" s="20" t="s">
        <v>81</v>
      </c>
      <c r="G60" s="20" t="s">
        <v>80</v>
      </c>
      <c r="H60" s="21">
        <v>40000000</v>
      </c>
      <c r="I60" s="21"/>
      <c r="J60" s="93">
        <v>43182</v>
      </c>
      <c r="K60" s="101"/>
      <c r="L60" s="101"/>
      <c r="M60" s="22"/>
      <c r="N60" s="22"/>
      <c r="O60" s="22"/>
      <c r="P60" s="23">
        <f t="shared" si="32"/>
        <v>40139726.027397268</v>
      </c>
      <c r="Q60" s="23">
        <f t="shared" si="33"/>
        <v>1992144.8224426655</v>
      </c>
      <c r="R60" s="51">
        <f t="shared" ref="R60" si="40">+D60</f>
        <v>0.255</v>
      </c>
      <c r="S60" s="51">
        <f t="shared" ref="S60" si="41">+R60</f>
        <v>0.255</v>
      </c>
      <c r="T60" s="27">
        <f t="shared" ref="T60" si="42">((E60-"28/03/2018")/365)/(1+R60)</f>
        <v>0.38203350979643075</v>
      </c>
      <c r="U60" s="12">
        <f t="shared" ca="1" si="31"/>
        <v>1.2862739781200049E-4</v>
      </c>
      <c r="V60" s="87"/>
      <c r="W60" s="77" t="s">
        <v>276</v>
      </c>
      <c r="X60" s="77"/>
      <c r="Y60" s="77"/>
      <c r="AA60" s="127">
        <f t="shared" ca="1" si="37"/>
        <v>3.2799986442060125E-5</v>
      </c>
      <c r="AB60" s="29">
        <f t="shared" ca="1" si="38"/>
        <v>4.9139976242100287E-5</v>
      </c>
    </row>
    <row r="61" spans="1:28" s="29" customFormat="1">
      <c r="A61" s="45" t="s">
        <v>296</v>
      </c>
      <c r="B61" s="18"/>
      <c r="C61" s="18"/>
      <c r="D61" s="18">
        <v>0.26250000000000001</v>
      </c>
      <c r="E61" s="40">
        <v>43523</v>
      </c>
      <c r="F61" s="20" t="s">
        <v>81</v>
      </c>
      <c r="G61" s="20" t="s">
        <v>80</v>
      </c>
      <c r="H61" s="21">
        <v>60000000</v>
      </c>
      <c r="I61" s="21"/>
      <c r="J61" s="93">
        <v>43160</v>
      </c>
      <c r="K61" s="101"/>
      <c r="L61" s="101"/>
      <c r="M61" s="22"/>
      <c r="N61" s="22"/>
      <c r="O61" s="22"/>
      <c r="P61" s="23">
        <f t="shared" ref="P61" si="43">H61*(1+D61/365*("28/03/2018"-J61))</f>
        <v>61165068.493150681</v>
      </c>
      <c r="Q61" s="23">
        <f t="shared" si="33"/>
        <v>3035637.9221376088</v>
      </c>
      <c r="R61" s="51">
        <f t="shared" ref="R61" si="44">+D61</f>
        <v>0.26250000000000001</v>
      </c>
      <c r="S61" s="51">
        <f t="shared" ref="S61" si="45">+R61</f>
        <v>0.26250000000000001</v>
      </c>
      <c r="T61" s="27">
        <f t="shared" ref="T61" si="46">((E61-"28/03/2018")/365)/(1+R61)</f>
        <v>0.72914688729146893</v>
      </c>
      <c r="U61" s="12">
        <f t="shared" ca="1" si="31"/>
        <v>1.9600292218977295E-4</v>
      </c>
      <c r="V61" s="87"/>
      <c r="W61" s="77" t="s">
        <v>276</v>
      </c>
      <c r="X61" s="77"/>
      <c r="Y61" s="77"/>
      <c r="AA61" s="127">
        <f t="shared" ca="1" si="37"/>
        <v>5.14507670748154E-5</v>
      </c>
      <c r="AB61" s="29">
        <f t="shared" ca="1" si="38"/>
        <v>1.4291492061470492E-4</v>
      </c>
    </row>
    <row r="62" spans="1:28" s="29" customFormat="1">
      <c r="A62" s="45" t="s">
        <v>296</v>
      </c>
      <c r="B62" s="18"/>
      <c r="C62" s="18"/>
      <c r="D62" s="18">
        <v>0.23</v>
      </c>
      <c r="E62" s="40">
        <v>43213</v>
      </c>
      <c r="F62" s="20" t="s">
        <v>81</v>
      </c>
      <c r="G62" s="20" t="s">
        <v>80</v>
      </c>
      <c r="H62" s="21">
        <v>10908532.300000001</v>
      </c>
      <c r="I62" s="21"/>
      <c r="J62" s="93">
        <v>43180</v>
      </c>
      <c r="K62" s="101"/>
      <c r="L62" s="101"/>
      <c r="M62" s="22"/>
      <c r="N62" s="22"/>
      <c r="O62" s="22"/>
      <c r="P62" s="23">
        <f t="shared" ref="P62" si="47">H62*(1+D62/365*("28/03/2018"-J62))</f>
        <v>10956649.387679454</v>
      </c>
      <c r="Q62" s="23">
        <f t="shared" si="33"/>
        <v>543781.29870859371</v>
      </c>
      <c r="R62" s="51">
        <f t="shared" ref="R62" si="48">+D62</f>
        <v>0.23</v>
      </c>
      <c r="S62" s="51">
        <f t="shared" ref="S62" si="49">+R62</f>
        <v>0.23</v>
      </c>
      <c r="T62" s="27">
        <f t="shared" ref="T62" si="50">((E62-"28/03/2018")/365)/(1+R62)</f>
        <v>5.7912907896202251E-2</v>
      </c>
      <c r="U62" s="12">
        <f t="shared" ca="1" si="31"/>
        <v>3.5110486267736988E-5</v>
      </c>
      <c r="V62" s="87"/>
      <c r="W62" s="77" t="s">
        <v>276</v>
      </c>
      <c r="X62" s="77"/>
      <c r="Y62" s="77"/>
      <c r="AA62" s="127">
        <f t="shared" ca="1" si="37"/>
        <v>8.0754118415795076E-6</v>
      </c>
      <c r="AB62" s="29">
        <f t="shared" ca="1" si="38"/>
        <v>2.0333503574143263E-6</v>
      </c>
    </row>
    <row r="63" spans="1:28" s="29" customFormat="1">
      <c r="A63" s="45" t="s">
        <v>273</v>
      </c>
      <c r="B63" s="18"/>
      <c r="C63" s="18"/>
      <c r="D63" s="18">
        <v>0.27250000000000002</v>
      </c>
      <c r="E63" s="40">
        <v>43475</v>
      </c>
      <c r="F63" s="20" t="s">
        <v>81</v>
      </c>
      <c r="G63" s="20" t="s">
        <v>80</v>
      </c>
      <c r="H63" s="21">
        <v>40710721.549999997</v>
      </c>
      <c r="I63" s="21"/>
      <c r="J63" s="93">
        <v>43115</v>
      </c>
      <c r="K63" s="88"/>
      <c r="L63" s="88"/>
      <c r="M63" s="22"/>
      <c r="N63" s="22"/>
      <c r="O63" s="22"/>
      <c r="P63" s="23">
        <f t="shared" si="32"/>
        <v>42899062.253591776</v>
      </c>
      <c r="Q63" s="23">
        <f t="shared" si="33"/>
        <v>2129091.3818845488</v>
      </c>
      <c r="R63" s="51">
        <f t="shared" si="34"/>
        <v>0.27250000000000002</v>
      </c>
      <c r="S63" s="51">
        <f t="shared" ref="S63:S67" si="51">+R63</f>
        <v>0.27250000000000002</v>
      </c>
      <c r="T63" s="27">
        <f t="shared" si="36"/>
        <v>0.62007158812605967</v>
      </c>
      <c r="U63" s="12">
        <f t="shared" ca="1" si="31"/>
        <v>1.3746966639703099E-4</v>
      </c>
      <c r="V63" s="87"/>
      <c r="W63" s="77" t="s">
        <v>102</v>
      </c>
      <c r="X63" s="77"/>
      <c r="Y63" s="77"/>
      <c r="AA63" s="127">
        <f t="shared" ca="1" si="37"/>
        <v>3.7460484093190945E-5</v>
      </c>
      <c r="AB63" s="29">
        <f t="shared" ca="1" si="38"/>
        <v>8.524103436196662E-5</v>
      </c>
    </row>
    <row r="64" spans="1:28" s="29" customFormat="1">
      <c r="A64" s="45" t="s">
        <v>296</v>
      </c>
      <c r="B64" s="18"/>
      <c r="C64" s="18"/>
      <c r="D64" s="18">
        <v>0.26250000000000001</v>
      </c>
      <c r="E64" s="40">
        <v>43523</v>
      </c>
      <c r="F64" s="20" t="s">
        <v>81</v>
      </c>
      <c r="G64" s="20" t="s">
        <v>80</v>
      </c>
      <c r="H64" s="21">
        <v>15000000</v>
      </c>
      <c r="I64" s="21"/>
      <c r="J64" s="93">
        <v>43160</v>
      </c>
      <c r="K64" s="101"/>
      <c r="L64" s="101"/>
      <c r="M64" s="22"/>
      <c r="N64" s="22"/>
      <c r="O64" s="22"/>
      <c r="P64" s="23">
        <f t="shared" ref="P64" si="52">H64*(1+D64/365*("28/03/2018"-J64))</f>
        <v>15291267.12328767</v>
      </c>
      <c r="Q64" s="23">
        <f t="shared" si="33"/>
        <v>758909.48053440219</v>
      </c>
      <c r="R64" s="51">
        <f t="shared" ref="R64" si="53">+D64</f>
        <v>0.26250000000000001</v>
      </c>
      <c r="S64" s="51">
        <f t="shared" ref="S64" si="54">+R64</f>
        <v>0.26250000000000001</v>
      </c>
      <c r="T64" s="27">
        <f t="shared" ref="T64" si="55">((E64-"28/03/2018")/365)/(1+R64)</f>
        <v>0.72914688729146893</v>
      </c>
      <c r="U64" s="12">
        <f t="shared" ca="1" si="31"/>
        <v>4.9000730547443237E-5</v>
      </c>
      <c r="V64" s="87"/>
      <c r="W64" s="77" t="s">
        <v>102</v>
      </c>
      <c r="X64" s="77"/>
      <c r="Y64" s="77"/>
      <c r="AA64" s="127">
        <f t="shared" ca="1" si="37"/>
        <v>1.286269176870385E-5</v>
      </c>
      <c r="AB64" s="29">
        <f t="shared" ca="1" si="38"/>
        <v>3.572873015367623E-5</v>
      </c>
    </row>
    <row r="65" spans="1:28" s="29" customFormat="1">
      <c r="A65" s="45" t="s">
        <v>272</v>
      </c>
      <c r="B65" s="18"/>
      <c r="C65" s="18"/>
      <c r="D65" s="18">
        <v>0.27750000000000002</v>
      </c>
      <c r="E65" s="40">
        <v>43461</v>
      </c>
      <c r="F65" s="20" t="s">
        <v>81</v>
      </c>
      <c r="G65" s="20" t="s">
        <v>80</v>
      </c>
      <c r="H65" s="21">
        <v>2700000</v>
      </c>
      <c r="I65" s="21"/>
      <c r="J65" s="93">
        <v>43096</v>
      </c>
      <c r="K65" s="88"/>
      <c r="L65" s="88"/>
      <c r="M65" s="22"/>
      <c r="N65" s="22"/>
      <c r="O65" s="22"/>
      <c r="P65" s="23">
        <f t="shared" si="32"/>
        <v>2886799.3150684931</v>
      </c>
      <c r="Q65" s="23">
        <f t="shared" si="33"/>
        <v>143272.58499521035</v>
      </c>
      <c r="R65" s="51">
        <f t="shared" si="34"/>
        <v>0.27750000000000002</v>
      </c>
      <c r="S65" s="51">
        <f t="shared" si="51"/>
        <v>0.27750000000000002</v>
      </c>
      <c r="T65" s="27">
        <f t="shared" si="36"/>
        <v>0.58762029863549847</v>
      </c>
      <c r="U65" s="12">
        <f t="shared" ca="1" si="31"/>
        <v>9.2507229284345664E-6</v>
      </c>
      <c r="V65" s="87"/>
      <c r="W65" s="77" t="s">
        <v>102</v>
      </c>
      <c r="X65" s="77"/>
      <c r="Y65" s="77"/>
      <c r="AA65" s="127">
        <f t="shared" ca="1" si="37"/>
        <v>2.5670756126405924E-6</v>
      </c>
      <c r="AB65" s="29">
        <f t="shared" ca="1" si="38"/>
        <v>5.4359125698009731E-6</v>
      </c>
    </row>
    <row r="66" spans="1:28" s="29" customFormat="1">
      <c r="A66" s="45" t="s">
        <v>272</v>
      </c>
      <c r="B66" s="18"/>
      <c r="C66" s="18"/>
      <c r="D66" s="18">
        <v>0.27750000000000002</v>
      </c>
      <c r="E66" s="40">
        <v>43451</v>
      </c>
      <c r="F66" s="20" t="s">
        <v>81</v>
      </c>
      <c r="G66" s="20" t="s">
        <v>80</v>
      </c>
      <c r="H66" s="21">
        <v>5000000</v>
      </c>
      <c r="I66" s="21"/>
      <c r="J66" s="93">
        <v>43089</v>
      </c>
      <c r="K66" s="88"/>
      <c r="L66" s="88"/>
      <c r="M66" s="22"/>
      <c r="N66" s="22"/>
      <c r="O66" s="22"/>
      <c r="P66" s="23">
        <f t="shared" si="32"/>
        <v>5372534.2465753425</v>
      </c>
      <c r="Q66" s="23">
        <f t="shared" si="33"/>
        <v>266640.24252197839</v>
      </c>
      <c r="R66" s="51">
        <f t="shared" si="34"/>
        <v>0.27750000000000002</v>
      </c>
      <c r="S66" s="51">
        <f t="shared" si="51"/>
        <v>0.27750000000000002</v>
      </c>
      <c r="T66" s="27">
        <f t="shared" si="36"/>
        <v>0.56617430233493282</v>
      </c>
      <c r="U66" s="12">
        <f t="shared" ca="1" si="31"/>
        <v>1.7216238579236068E-5</v>
      </c>
      <c r="V66" s="87"/>
      <c r="W66" s="77" t="s">
        <v>102</v>
      </c>
      <c r="X66" s="77"/>
      <c r="Y66" s="77"/>
      <c r="AA66" s="127">
        <f t="shared" ca="1" si="37"/>
        <v>4.7775062057380096E-6</v>
      </c>
      <c r="AB66" s="29">
        <f t="shared" ca="1" si="38"/>
        <v>9.7473918664307366E-6</v>
      </c>
    </row>
    <row r="67" spans="1:28" s="29" customFormat="1">
      <c r="A67" s="45" t="s">
        <v>31</v>
      </c>
      <c r="B67" s="18"/>
      <c r="C67" s="18"/>
      <c r="D67" s="18">
        <v>0.26900000000000002</v>
      </c>
      <c r="E67" s="40">
        <v>43431</v>
      </c>
      <c r="F67" s="20" t="s">
        <v>81</v>
      </c>
      <c r="G67" s="20" t="s">
        <v>80</v>
      </c>
      <c r="H67" s="21">
        <v>5000000</v>
      </c>
      <c r="I67" s="21"/>
      <c r="J67" s="93">
        <v>43066</v>
      </c>
      <c r="K67" s="88"/>
      <c r="L67" s="88"/>
      <c r="M67" s="22"/>
      <c r="N67" s="22"/>
      <c r="O67" s="22"/>
      <c r="P67" s="23">
        <f t="shared" si="32"/>
        <v>5445876.7123287674</v>
      </c>
      <c r="Q67" s="23">
        <f t="shared" si="33"/>
        <v>270280.24777054775</v>
      </c>
      <c r="R67" s="51">
        <f t="shared" si="34"/>
        <v>0.26900000000000002</v>
      </c>
      <c r="S67" s="51">
        <f t="shared" si="51"/>
        <v>0.26900000000000002</v>
      </c>
      <c r="T67" s="27">
        <f t="shared" si="36"/>
        <v>0.52678735278560396</v>
      </c>
      <c r="U67" s="12">
        <f t="shared" ca="1" si="31"/>
        <v>1.7451263863477911E-5</v>
      </c>
      <c r="V67" s="87"/>
      <c r="W67" s="77" t="s">
        <v>102</v>
      </c>
      <c r="X67" s="77"/>
      <c r="Y67" s="77"/>
      <c r="AA67" s="127">
        <f t="shared" ca="1" si="37"/>
        <v>4.6943899792755581E-6</v>
      </c>
      <c r="AB67" s="29">
        <f t="shared" ca="1" si="38"/>
        <v>9.1931050934046004E-6</v>
      </c>
    </row>
    <row r="68" spans="1:28" s="29" customFormat="1">
      <c r="A68" s="32" t="s">
        <v>83</v>
      </c>
      <c r="B68" s="48"/>
      <c r="C68" s="48"/>
      <c r="D68" s="48"/>
      <c r="E68" s="33"/>
      <c r="F68" s="48"/>
      <c r="G68" s="48"/>
      <c r="H68" s="34"/>
      <c r="I68" s="34"/>
      <c r="J68" s="34"/>
      <c r="K68" s="34"/>
      <c r="L68" s="34"/>
      <c r="M68" s="35"/>
      <c r="N68" s="35"/>
      <c r="O68" s="35"/>
      <c r="P68" s="52"/>
      <c r="Q68" s="52"/>
      <c r="R68" s="48"/>
      <c r="S68" s="48"/>
      <c r="T68" s="49"/>
      <c r="U68" s="53"/>
      <c r="V68" s="28"/>
      <c r="W68" s="77"/>
      <c r="X68" s="77"/>
      <c r="Y68" s="77"/>
    </row>
    <row r="69" spans="1:28" s="29" customFormat="1">
      <c r="A69" s="28" t="s">
        <v>75</v>
      </c>
      <c r="B69" s="20"/>
      <c r="C69" s="20"/>
      <c r="D69" s="20"/>
      <c r="E69" s="40"/>
      <c r="F69" s="20" t="s">
        <v>81</v>
      </c>
      <c r="G69" s="20" t="s">
        <v>312</v>
      </c>
      <c r="H69" s="21">
        <f t="shared" si="15"/>
        <v>33161156</v>
      </c>
      <c r="I69" s="21"/>
      <c r="J69" s="88">
        <v>30301241</v>
      </c>
      <c r="K69" s="88">
        <v>2859915</v>
      </c>
      <c r="L69" s="88"/>
      <c r="M69" s="22"/>
      <c r="N69" s="22">
        <f ca="1">OFFSET(FCI!$A$1,7-1,MATCH(A69,FCI!$1:$1,0)-1)</f>
        <v>7.896306</v>
      </c>
      <c r="O69" s="22"/>
      <c r="P69" s="23">
        <f t="shared" ref="P69:P75" ca="1" si="56">+H69*N69</f>
        <v>261850635.08973601</v>
      </c>
      <c r="Q69" s="23">
        <f t="shared" ref="Q69:Q75" ca="1" si="57">P69/$N$95</f>
        <v>12995713.687514815</v>
      </c>
      <c r="R69" s="12"/>
      <c r="S69" s="12"/>
      <c r="T69" s="27"/>
      <c r="U69" s="12">
        <f t="shared" ref="U69:U75" ca="1" si="58">P69/$P$99</f>
        <v>8.3909804924984935E-4</v>
      </c>
      <c r="V69" s="28"/>
      <c r="W69" s="77"/>
      <c r="X69" s="77"/>
      <c r="Y69" s="77"/>
      <c r="Z69" s="6"/>
      <c r="AA69" s="127">
        <f t="shared" ref="AA69:AA75" ca="1" si="59">S69*U69</f>
        <v>0</v>
      </c>
      <c r="AB69" s="29">
        <f t="shared" ref="AB69:AB75" ca="1" si="60">T69*U69</f>
        <v>0</v>
      </c>
    </row>
    <row r="70" spans="1:28" s="29" customFormat="1">
      <c r="A70" s="28" t="s">
        <v>43</v>
      </c>
      <c r="B70" s="20"/>
      <c r="C70" s="20"/>
      <c r="D70" s="20"/>
      <c r="E70" s="40"/>
      <c r="F70" s="20" t="s">
        <v>36</v>
      </c>
      <c r="G70" s="20" t="s">
        <v>312</v>
      </c>
      <c r="H70" s="21">
        <f t="shared" si="15"/>
        <v>848879</v>
      </c>
      <c r="I70" s="21"/>
      <c r="J70" s="88">
        <v>845805</v>
      </c>
      <c r="K70" s="88">
        <v>3074</v>
      </c>
      <c r="L70" s="88"/>
      <c r="M70" s="22"/>
      <c r="N70" s="22">
        <f ca="1">OFFSET(FCI!$A$1,7-1,MATCH(A70,FCI!$1:$1,0)-1)</f>
        <v>1.041191</v>
      </c>
      <c r="O70" s="22">
        <v>5.5706740307791297E-2</v>
      </c>
      <c r="P70" s="23">
        <f t="shared" ca="1" si="56"/>
        <v>883845.17488900002</v>
      </c>
      <c r="Q70" s="23">
        <f t="shared" ca="1" si="57"/>
        <v>43865.461059556306</v>
      </c>
      <c r="R70" s="12"/>
      <c r="S70" s="12"/>
      <c r="T70" s="27"/>
      <c r="U70" s="12">
        <f t="shared" ca="1" si="58"/>
        <v>2.8322740627842849E-6</v>
      </c>
      <c r="V70" s="30"/>
      <c r="W70" s="77"/>
      <c r="X70" s="77"/>
      <c r="Y70" s="77"/>
      <c r="Z70" s="6"/>
      <c r="AA70" s="127">
        <f t="shared" ca="1" si="59"/>
        <v>0</v>
      </c>
      <c r="AB70" s="29">
        <f t="shared" ca="1" si="60"/>
        <v>0</v>
      </c>
    </row>
    <row r="71" spans="1:28">
      <c r="A71" s="28" t="s">
        <v>25</v>
      </c>
      <c r="B71" s="20"/>
      <c r="C71" s="20"/>
      <c r="D71" s="20"/>
      <c r="E71" s="40"/>
      <c r="F71" s="20" t="s">
        <v>81</v>
      </c>
      <c r="G71" s="20" t="s">
        <v>312</v>
      </c>
      <c r="H71" s="21">
        <f t="shared" si="15"/>
        <v>0</v>
      </c>
      <c r="I71" s="21"/>
      <c r="J71" s="88"/>
      <c r="K71" s="88"/>
      <c r="L71" s="88"/>
      <c r="M71" s="22"/>
      <c r="N71" s="22">
        <f ca="1">OFFSET(FCI!$A$1,7-1,MATCH(A71,FCI!$1:$1,0)-1)</f>
        <v>7.1263569999999996</v>
      </c>
      <c r="O71" s="22"/>
      <c r="P71" s="23">
        <f t="shared" ca="1" si="56"/>
        <v>0</v>
      </c>
      <c r="Q71" s="23">
        <f t="shared" ca="1" si="57"/>
        <v>0</v>
      </c>
      <c r="R71" s="12"/>
      <c r="S71" s="12"/>
      <c r="T71" s="27"/>
      <c r="U71" s="12">
        <f t="shared" ca="1" si="58"/>
        <v>0</v>
      </c>
      <c r="V71" s="30"/>
      <c r="W71" s="77"/>
      <c r="X71" s="77"/>
      <c r="Y71" s="77"/>
      <c r="AA71" s="127">
        <f t="shared" ca="1" si="59"/>
        <v>0</v>
      </c>
      <c r="AB71" s="29">
        <f t="shared" ca="1" si="60"/>
        <v>0</v>
      </c>
    </row>
    <row r="72" spans="1:28" s="29" customFormat="1">
      <c r="A72" s="28" t="s">
        <v>84</v>
      </c>
      <c r="B72" s="20"/>
      <c r="C72" s="20"/>
      <c r="D72" s="20"/>
      <c r="E72" s="40"/>
      <c r="F72" s="20" t="s">
        <v>81</v>
      </c>
      <c r="G72" s="20" t="s">
        <v>312</v>
      </c>
      <c r="H72" s="21">
        <f t="shared" si="15"/>
        <v>71574.51999999999</v>
      </c>
      <c r="I72" s="21"/>
      <c r="J72" s="88">
        <v>37223</v>
      </c>
      <c r="K72" s="88">
        <v>34351.519999999997</v>
      </c>
      <c r="L72" s="88"/>
      <c r="M72" s="22"/>
      <c r="N72" s="22">
        <f ca="1">OFFSET(FCI!$A$1,7-1,MATCH(A72,FCI!$1:$1,0)-1)</f>
        <v>6.9614229999999999</v>
      </c>
      <c r="O72" s="22"/>
      <c r="P72" s="23">
        <f t="shared" ca="1" si="56"/>
        <v>498260.50974195992</v>
      </c>
      <c r="Q72" s="23">
        <f t="shared" ca="1" si="57"/>
        <v>24728.795957216731</v>
      </c>
      <c r="R72" s="12"/>
      <c r="S72" s="12"/>
      <c r="T72" s="27"/>
      <c r="U72" s="12">
        <f t="shared" ca="1" si="58"/>
        <v>1.5966714061985574E-6</v>
      </c>
      <c r="V72" s="30"/>
      <c r="W72" s="77"/>
      <c r="X72" s="77"/>
      <c r="Y72" s="77"/>
      <c r="AA72" s="127">
        <f t="shared" ca="1" si="59"/>
        <v>0</v>
      </c>
      <c r="AB72" s="29">
        <f t="shared" ca="1" si="60"/>
        <v>0</v>
      </c>
    </row>
    <row r="73" spans="1:28" s="29" customFormat="1">
      <c r="A73" s="28" t="s">
        <v>85</v>
      </c>
      <c r="B73" s="20"/>
      <c r="C73" s="20"/>
      <c r="D73" s="20"/>
      <c r="E73" s="40"/>
      <c r="F73" s="20" t="s">
        <v>81</v>
      </c>
      <c r="G73" s="20" t="s">
        <v>312</v>
      </c>
      <c r="H73" s="21">
        <f t="shared" si="15"/>
        <v>3223</v>
      </c>
      <c r="I73" s="21"/>
      <c r="J73" s="88">
        <v>3223</v>
      </c>
      <c r="K73" s="88"/>
      <c r="L73" s="88"/>
      <c r="M73" s="22"/>
      <c r="N73" s="22">
        <f ca="1">OFFSET(FCI!$A$1,7-1,MATCH(A73,FCI!$1:$1,0)-1)</f>
        <v>4.2840619999999996</v>
      </c>
      <c r="O73" s="22"/>
      <c r="P73" s="23">
        <f t="shared" ca="1" si="56"/>
        <v>13807.531825999999</v>
      </c>
      <c r="Q73" s="23">
        <f t="shared" ca="1" si="57"/>
        <v>685.27131996625133</v>
      </c>
      <c r="R73" s="12"/>
      <c r="S73" s="12"/>
      <c r="T73" s="27"/>
      <c r="U73" s="12">
        <f t="shared" ca="1" si="58"/>
        <v>4.4246113881607883E-8</v>
      </c>
      <c r="V73" s="30"/>
      <c r="W73" s="77"/>
      <c r="X73" s="77"/>
      <c r="Y73" s="77"/>
      <c r="AA73" s="127">
        <f t="shared" ca="1" si="59"/>
        <v>0</v>
      </c>
      <c r="AB73" s="29">
        <f t="shared" ca="1" si="60"/>
        <v>0</v>
      </c>
    </row>
    <row r="74" spans="1:28" s="29" customFormat="1">
      <c r="A74" s="28" t="s">
        <v>38</v>
      </c>
      <c r="B74" s="20"/>
      <c r="C74" s="20"/>
      <c r="D74" s="20"/>
      <c r="E74" s="40"/>
      <c r="F74" s="20" t="s">
        <v>81</v>
      </c>
      <c r="G74" s="20" t="s">
        <v>312</v>
      </c>
      <c r="H74" s="21">
        <f t="shared" si="15"/>
        <v>0</v>
      </c>
      <c r="I74" s="21"/>
      <c r="J74" s="88"/>
      <c r="K74" s="88"/>
      <c r="L74" s="88"/>
      <c r="M74" s="22"/>
      <c r="N74" s="22">
        <f ca="1">OFFSET(FCI!$A$1,7-1,MATCH(A74,FCI!$1:$1,0)-1)</f>
        <v>6.2566560000000004</v>
      </c>
      <c r="O74" s="22"/>
      <c r="P74" s="23">
        <f t="shared" ca="1" si="56"/>
        <v>0</v>
      </c>
      <c r="Q74" s="23">
        <f t="shared" ca="1" si="57"/>
        <v>0</v>
      </c>
      <c r="R74" s="12"/>
      <c r="S74" s="12"/>
      <c r="T74" s="27"/>
      <c r="U74" s="12">
        <f t="shared" ca="1" si="58"/>
        <v>0</v>
      </c>
      <c r="V74" s="30"/>
      <c r="W74" s="77"/>
      <c r="X74" s="77"/>
      <c r="Y74" s="77"/>
      <c r="AA74" s="127">
        <f t="shared" ca="1" si="59"/>
        <v>0</v>
      </c>
      <c r="AB74" s="29">
        <f t="shared" ca="1" si="60"/>
        <v>0</v>
      </c>
    </row>
    <row r="75" spans="1:28">
      <c r="A75" s="28" t="s">
        <v>86</v>
      </c>
      <c r="B75" s="20"/>
      <c r="C75" s="20"/>
      <c r="D75" s="20"/>
      <c r="E75" s="40"/>
      <c r="F75" s="20" t="s">
        <v>81</v>
      </c>
      <c r="G75" s="20" t="s">
        <v>312</v>
      </c>
      <c r="H75" s="21">
        <f t="shared" si="15"/>
        <v>7826</v>
      </c>
      <c r="I75" s="21"/>
      <c r="J75" s="88">
        <v>7826</v>
      </c>
      <c r="K75" s="88"/>
      <c r="L75" s="88"/>
      <c r="M75" s="22"/>
      <c r="N75" s="22">
        <f ca="1">OFFSET(FCI!$A$1,7-1,MATCH(A75,FCI!$1:$1,0)-1)</f>
        <v>4.1965510000000004</v>
      </c>
      <c r="O75" s="22"/>
      <c r="P75" s="23">
        <f t="shared" ca="1" si="56"/>
        <v>32842.208126000005</v>
      </c>
      <c r="Q75" s="23">
        <f t="shared" ca="1" si="57"/>
        <v>1629.967151024865</v>
      </c>
      <c r="R75" s="12"/>
      <c r="S75" s="12"/>
      <c r="T75" s="27"/>
      <c r="U75" s="12">
        <f t="shared" ca="1" si="58"/>
        <v>1.0524256609933409E-7</v>
      </c>
      <c r="V75" s="21"/>
      <c r="W75" s="77"/>
      <c r="X75" s="77"/>
      <c r="Y75" s="77"/>
      <c r="AA75" s="127">
        <f t="shared" ca="1" si="59"/>
        <v>0</v>
      </c>
      <c r="AB75" s="29">
        <f t="shared" ca="1" si="60"/>
        <v>0</v>
      </c>
    </row>
    <row r="76" spans="1:28">
      <c r="A76" s="32" t="s">
        <v>87</v>
      </c>
      <c r="B76" s="32"/>
      <c r="C76" s="32"/>
      <c r="D76" s="32"/>
      <c r="E76" s="33"/>
      <c r="F76" s="32"/>
      <c r="G76" s="32"/>
      <c r="H76" s="34"/>
      <c r="I76" s="34"/>
      <c r="J76" s="34"/>
      <c r="K76" s="34"/>
      <c r="L76" s="34"/>
      <c r="M76" s="35"/>
      <c r="N76" s="35"/>
      <c r="O76" s="35"/>
      <c r="P76" s="34"/>
      <c r="Q76" s="34"/>
      <c r="R76" s="37"/>
      <c r="S76" s="37"/>
      <c r="T76" s="38"/>
      <c r="U76" s="53"/>
      <c r="V76" s="30"/>
      <c r="W76" s="77"/>
      <c r="X76" s="77"/>
      <c r="Y76" s="77"/>
    </row>
    <row r="77" spans="1:28">
      <c r="A77" s="54" t="s">
        <v>83</v>
      </c>
      <c r="B77" s="20"/>
      <c r="C77" s="20"/>
      <c r="D77" s="20"/>
      <c r="E77" s="40"/>
      <c r="F77" s="20"/>
      <c r="G77" s="20"/>
      <c r="H77" s="21"/>
      <c r="I77" s="21"/>
      <c r="J77" s="21"/>
      <c r="K77" s="21"/>
      <c r="L77" s="21"/>
      <c r="M77" s="22"/>
      <c r="N77" s="22"/>
      <c r="O77" s="22"/>
      <c r="P77" s="23"/>
      <c r="Q77" s="23"/>
      <c r="R77" s="12"/>
      <c r="S77" s="12"/>
      <c r="T77" s="27"/>
      <c r="U77" s="12"/>
      <c r="V77" s="30"/>
      <c r="W77" s="77"/>
      <c r="X77" s="77"/>
      <c r="Y77" s="77"/>
    </row>
    <row r="78" spans="1:28">
      <c r="A78" s="28" t="s">
        <v>88</v>
      </c>
      <c r="B78" s="20"/>
      <c r="C78" s="20"/>
      <c r="D78" s="20"/>
      <c r="E78" s="40"/>
      <c r="F78" s="20" t="s">
        <v>13</v>
      </c>
      <c r="G78" s="20" t="s">
        <v>312</v>
      </c>
      <c r="H78" s="21">
        <f t="shared" ref="H78:H79" si="61">SUM(J78:K78)</f>
        <v>7599584</v>
      </c>
      <c r="I78" s="21"/>
      <c r="J78" s="88">
        <v>7523358</v>
      </c>
      <c r="K78" s="88">
        <v>76226</v>
      </c>
      <c r="L78" s="88"/>
      <c r="M78" s="22"/>
      <c r="N78" s="22">
        <f ca="1">OFFSET(FCI!$A$1,7-1,MATCH(A78,FCI!$1:$1,0)-1)</f>
        <v>0.668906</v>
      </c>
      <c r="O78" s="22"/>
      <c r="P78" s="23">
        <f ca="1">+H78*N78</f>
        <v>5083407.3351039998</v>
      </c>
      <c r="Q78" s="23">
        <f ca="1">P78/$N$95</f>
        <v>252290.800293017</v>
      </c>
      <c r="R78" s="12"/>
      <c r="S78" s="12"/>
      <c r="T78" s="27"/>
      <c r="U78" s="12">
        <f ca="1">P78/$P$99</f>
        <v>1.6289733943041101E-5</v>
      </c>
      <c r="V78" s="30"/>
      <c r="W78" s="77"/>
      <c r="X78" s="77"/>
      <c r="Y78" s="77" t="s">
        <v>331</v>
      </c>
      <c r="AA78" s="127">
        <f t="shared" ref="AA78:AA79" ca="1" si="62">S78*U78</f>
        <v>0</v>
      </c>
      <c r="AB78" s="29">
        <f t="shared" ref="AB78:AB79" ca="1" si="63">T78*U78</f>
        <v>0</v>
      </c>
    </row>
    <row r="79" spans="1:28">
      <c r="A79" s="28" t="s">
        <v>62</v>
      </c>
      <c r="B79" s="18"/>
      <c r="C79" s="18"/>
      <c r="D79" s="18"/>
      <c r="E79" s="19"/>
      <c r="F79" s="20" t="s">
        <v>13</v>
      </c>
      <c r="G79" s="20" t="s">
        <v>312</v>
      </c>
      <c r="H79" s="21">
        <f t="shared" si="61"/>
        <v>19203.010000000002</v>
      </c>
      <c r="I79" s="21"/>
      <c r="J79" s="88">
        <v>1163.56</v>
      </c>
      <c r="K79" s="88">
        <v>18039.45</v>
      </c>
      <c r="L79" s="88"/>
      <c r="M79" s="22"/>
      <c r="N79" s="22">
        <f ca="1">OFFSET(FCI!$A$1,7-1,MATCH(A79,FCI!$1:$1,0)-1)</f>
        <v>3.4739659999999999</v>
      </c>
      <c r="O79" s="131"/>
      <c r="P79" s="23">
        <f ca="1">+H79*N79</f>
        <v>66710.603837660005</v>
      </c>
      <c r="Q79" s="23">
        <f ca="1">P79/$N$95</f>
        <v>3310.8642531966848</v>
      </c>
      <c r="R79" s="12"/>
      <c r="S79" s="12"/>
      <c r="T79" s="27"/>
      <c r="U79" s="12">
        <f ca="1">P79/$P$99</f>
        <v>2.1377354126056191E-7</v>
      </c>
      <c r="V79" s="30"/>
      <c r="W79" s="77"/>
      <c r="X79" s="77"/>
      <c r="Y79" s="77" t="s">
        <v>332</v>
      </c>
      <c r="AA79" s="127">
        <f t="shared" ca="1" si="62"/>
        <v>0</v>
      </c>
      <c r="AB79" s="29">
        <f t="shared" ca="1" si="63"/>
        <v>0</v>
      </c>
    </row>
    <row r="80" spans="1:28">
      <c r="A80" s="54" t="s">
        <v>90</v>
      </c>
      <c r="B80" s="18"/>
      <c r="C80" s="18"/>
      <c r="D80" s="18"/>
      <c r="E80" s="19"/>
      <c r="F80" s="20"/>
      <c r="G80" s="20"/>
      <c r="H80" s="21"/>
      <c r="I80" s="21"/>
      <c r="J80" s="21"/>
      <c r="K80" s="21"/>
      <c r="L80" s="21"/>
      <c r="M80" s="22"/>
      <c r="N80" s="22"/>
      <c r="O80" s="22"/>
      <c r="P80" s="23"/>
      <c r="Q80" s="23"/>
      <c r="R80" s="12"/>
      <c r="S80" s="12"/>
      <c r="T80" s="27"/>
      <c r="U80" s="12"/>
      <c r="V80" s="30"/>
      <c r="W80" s="77"/>
      <c r="X80" s="77"/>
      <c r="Y80" s="77"/>
    </row>
    <row r="81" spans="1:28">
      <c r="A81" s="28" t="s">
        <v>91</v>
      </c>
      <c r="B81" s="18" t="str">
        <f>VLOOKUP(A81,'Identidad de Codigos'!A:C,2,FALSE)</f>
        <v>ARIPSA050207</v>
      </c>
      <c r="C81" s="81">
        <f>VLOOKUP(A81,'Identidad de Codigos'!A:C,3,FALSE)</f>
        <v>38678</v>
      </c>
      <c r="D81" s="18">
        <v>3.7400000000000003E-2</v>
      </c>
      <c r="E81" s="55"/>
      <c r="F81" s="20" t="s">
        <v>13</v>
      </c>
      <c r="G81" s="20" t="s">
        <v>297</v>
      </c>
      <c r="H81" s="21">
        <f t="shared" ref="H81:H86" si="64">SUM(J81:K81)</f>
        <v>19000000</v>
      </c>
      <c r="I81" s="21">
        <f t="shared" ref="I81:I86" si="65">H81-SUM(J81:L81)</f>
        <v>0</v>
      </c>
      <c r="J81" s="101">
        <v>19000000</v>
      </c>
      <c r="K81" s="88"/>
      <c r="L81" s="88"/>
      <c r="M81" s="22"/>
      <c r="N81" s="22">
        <v>0</v>
      </c>
      <c r="O81" s="22"/>
      <c r="P81" s="23">
        <f>+H81*N81</f>
        <v>0</v>
      </c>
      <c r="Q81" s="23">
        <f t="shared" ref="Q81:Q86" si="66">P81/$N$95</f>
        <v>0</v>
      </c>
      <c r="R81" s="12"/>
      <c r="S81" s="12"/>
      <c r="T81" s="27"/>
      <c r="U81" s="12">
        <f t="shared" ref="U81:U86" ca="1" si="67">P81/$P$99</f>
        <v>0</v>
      </c>
      <c r="V81" s="130"/>
      <c r="W81" s="77"/>
      <c r="X81" s="77"/>
      <c r="Y81" s="77" t="s">
        <v>330</v>
      </c>
      <c r="AA81" s="127">
        <f t="shared" ref="AA81:AA86" ca="1" si="68">S81*U81</f>
        <v>0</v>
      </c>
      <c r="AB81" s="29">
        <f t="shared" ref="AB81:AB86" ca="1" si="69">T81*U81</f>
        <v>0</v>
      </c>
    </row>
    <row r="82" spans="1:28">
      <c r="A82" s="28" t="s">
        <v>92</v>
      </c>
      <c r="B82" s="18" t="str">
        <f>VLOOKUP(A82,'Identidad de Codigos'!A:C,2,FALSE)</f>
        <v>ARIPSA050215</v>
      </c>
      <c r="C82" s="81">
        <f>VLOOKUP(A82,'Identidad de Codigos'!A:C,3,FALSE)</f>
        <v>38679</v>
      </c>
      <c r="D82" s="18">
        <v>0.03</v>
      </c>
      <c r="E82" s="55"/>
      <c r="F82" s="20" t="s">
        <v>13</v>
      </c>
      <c r="G82" s="20" t="s">
        <v>297</v>
      </c>
      <c r="H82" s="21">
        <f t="shared" si="64"/>
        <v>4270000</v>
      </c>
      <c r="I82" s="21">
        <f t="shared" si="65"/>
        <v>0</v>
      </c>
      <c r="J82" s="101">
        <v>3700000</v>
      </c>
      <c r="K82" s="88">
        <v>570000</v>
      </c>
      <c r="L82" s="88"/>
      <c r="M82" s="22"/>
      <c r="N82" s="22">
        <v>0</v>
      </c>
      <c r="O82" s="22"/>
      <c r="P82" s="23">
        <f t="shared" ref="P82:P86" si="70">+H82*N82</f>
        <v>0</v>
      </c>
      <c r="Q82" s="23">
        <f t="shared" si="66"/>
        <v>0</v>
      </c>
      <c r="R82" s="12"/>
      <c r="S82" s="12"/>
      <c r="T82" s="27"/>
      <c r="U82" s="12">
        <f t="shared" ca="1" si="67"/>
        <v>0</v>
      </c>
      <c r="V82" s="130"/>
      <c r="W82" s="77"/>
      <c r="X82" s="77"/>
      <c r="Y82" s="77" t="s">
        <v>330</v>
      </c>
      <c r="AA82" s="127">
        <f t="shared" ca="1" si="68"/>
        <v>0</v>
      </c>
      <c r="AB82" s="29">
        <f t="shared" ca="1" si="69"/>
        <v>0</v>
      </c>
    </row>
    <row r="83" spans="1:28">
      <c r="A83" s="28" t="s">
        <v>298</v>
      </c>
      <c r="B83" s="18" t="str">
        <f>VLOOKUP(A83,'Identidad de Codigos'!A:C,2,FALSE)</f>
        <v>ARYPFS560010</v>
      </c>
      <c r="C83" s="81">
        <f>VLOOKUP(A83,'Identidad de Codigos'!A:C,3,FALSE)</f>
        <v>50108</v>
      </c>
      <c r="D83" s="18">
        <v>4.7399999999999998E-2</v>
      </c>
      <c r="E83" s="55">
        <v>43871</v>
      </c>
      <c r="F83" s="20" t="s">
        <v>13</v>
      </c>
      <c r="G83" s="20" t="s">
        <v>297</v>
      </c>
      <c r="H83" s="21">
        <f t="shared" si="64"/>
        <v>35855000</v>
      </c>
      <c r="I83" s="21">
        <f t="shared" si="65"/>
        <v>0</v>
      </c>
      <c r="J83" s="88">
        <v>29755000</v>
      </c>
      <c r="K83" s="88">
        <v>6100000</v>
      </c>
      <c r="L83" s="88"/>
      <c r="M83" s="22"/>
      <c r="N83" s="22">
        <f>VLOOKUP(A83,'Precios para Valuar'!$C:$L,5,FALSE)/100</f>
        <v>1.0376681603926021</v>
      </c>
      <c r="O83" s="22"/>
      <c r="P83" s="23">
        <f t="shared" si="70"/>
        <v>37205591.890876748</v>
      </c>
      <c r="Q83" s="23">
        <f t="shared" si="66"/>
        <v>1846522.9982071938</v>
      </c>
      <c r="R83" s="26">
        <f>VLOOKUP(A83,'Precios para Valuar'!C:Z,6,FALSE)</f>
        <v>3.8831633198620347E-2</v>
      </c>
      <c r="S83" s="26">
        <f>+R83+Badlar</f>
        <v>0.26583163319862035</v>
      </c>
      <c r="T83" s="27">
        <f>VLOOKUP(A83,'Precios para Valuar'!C:AC,9,FALSE)</f>
        <v>1.4438344744455274</v>
      </c>
      <c r="U83" s="12">
        <f t="shared" ca="1" si="67"/>
        <v>1.1922499086596417E-4</v>
      </c>
      <c r="V83" s="130"/>
      <c r="W83" s="77" t="str">
        <f>VLOOKUP(A83,'Precios para Valuar'!$C:$T,8,FALSE)</f>
        <v>devengado</v>
      </c>
      <c r="X83" s="77"/>
      <c r="Y83" s="77" t="s">
        <v>323</v>
      </c>
      <c r="AA83" s="127">
        <f t="shared" ca="1" si="68"/>
        <v>3.1693774039989849E-5</v>
      </c>
      <c r="AB83" s="29">
        <f t="shared" ca="1" si="69"/>
        <v>1.7214115202773218E-4</v>
      </c>
    </row>
    <row r="84" spans="1:28">
      <c r="A84" s="28" t="s">
        <v>299</v>
      </c>
      <c r="B84" s="18" t="str">
        <f>VLOOKUP(A84,'Identidad de Codigos'!A:C,2,FALSE)</f>
        <v>ARPANE560055</v>
      </c>
      <c r="C84" s="81">
        <f>VLOOKUP(A84,'Identidad de Codigos'!A:C,3,FALSE)</f>
        <v>51035</v>
      </c>
      <c r="D84" s="18" t="s">
        <v>93</v>
      </c>
      <c r="E84" s="55">
        <v>44155</v>
      </c>
      <c r="F84" s="20" t="s">
        <v>13</v>
      </c>
      <c r="G84" s="20" t="s">
        <v>297</v>
      </c>
      <c r="H84" s="21">
        <f t="shared" si="64"/>
        <v>7344309</v>
      </c>
      <c r="I84" s="21">
        <f t="shared" si="65"/>
        <v>0</v>
      </c>
      <c r="J84" s="88">
        <v>7344309</v>
      </c>
      <c r="K84" s="88"/>
      <c r="L84" s="88"/>
      <c r="M84" s="22"/>
      <c r="N84" s="22">
        <f>VLOOKUP(A84,'Precios para Valuar'!$C:$L,5,FALSE)/100</f>
        <v>0.9581821240732844</v>
      </c>
      <c r="O84" s="22"/>
      <c r="P84" s="23">
        <f t="shared" si="70"/>
        <v>7037185.5974705396</v>
      </c>
      <c r="Q84" s="23">
        <f t="shared" si="66"/>
        <v>349257.31289247802</v>
      </c>
      <c r="R84" s="26">
        <f>VLOOKUP(A84,'Precios para Valuar'!C:Z,6,FALSE)</f>
        <v>3.6648215191852324E-2</v>
      </c>
      <c r="S84" s="26">
        <f>+R84+Badlar</f>
        <v>0.26364821519185233</v>
      </c>
      <c r="T84" s="27">
        <f>VLOOKUP(A84,'Precios para Valuar'!C:AC,9,FALSE)</f>
        <v>1.8768070707596727</v>
      </c>
      <c r="U84" s="12">
        <f t="shared" ca="1" si="67"/>
        <v>2.2550599142228793E-5</v>
      </c>
      <c r="V84" s="130"/>
      <c r="W84" s="77" t="str">
        <f>VLOOKUP(A84,'Precios para Valuar'!$C:$T,8,FALSE)</f>
        <v>devengado</v>
      </c>
      <c r="X84" s="77"/>
      <c r="Y84" s="77" t="s">
        <v>329</v>
      </c>
      <c r="AA84" s="127">
        <f t="shared" ca="1" si="68"/>
        <v>5.9454252153555374E-6</v>
      </c>
      <c r="AB84" s="29">
        <f t="shared" ca="1" si="69"/>
        <v>4.2323123920002008E-5</v>
      </c>
    </row>
    <row r="85" spans="1:28">
      <c r="A85" s="28" t="s">
        <v>300</v>
      </c>
      <c r="B85" s="18" t="str">
        <f>VLOOKUP(A85,'Identidad de Codigos'!A:C,2,FALSE)</f>
        <v>ARPANE560063</v>
      </c>
      <c r="C85" s="81">
        <f>VLOOKUP(A85,'Identidad de Codigos'!A:C,3,FALSE)</f>
        <v>51097</v>
      </c>
      <c r="D85" s="18" t="s">
        <v>93</v>
      </c>
      <c r="E85" s="55">
        <v>44175</v>
      </c>
      <c r="F85" s="20" t="s">
        <v>13</v>
      </c>
      <c r="G85" s="20" t="s">
        <v>297</v>
      </c>
      <c r="H85" s="21">
        <f t="shared" si="64"/>
        <v>18350992</v>
      </c>
      <c r="I85" s="21">
        <f t="shared" si="65"/>
        <v>0</v>
      </c>
      <c r="J85" s="88">
        <v>13763244</v>
      </c>
      <c r="K85" s="88">
        <v>4587748</v>
      </c>
      <c r="L85" s="88"/>
      <c r="M85" s="22"/>
      <c r="N85" s="22">
        <f>VLOOKUP(A85,'Precios para Valuar'!$C:$L,5,FALSE)/100</f>
        <v>0.94253214277410846</v>
      </c>
      <c r="O85" s="22"/>
      <c r="P85" s="23">
        <f t="shared" si="70"/>
        <v>17296399.811790522</v>
      </c>
      <c r="Q85" s="23">
        <f t="shared" si="66"/>
        <v>858424.72637800989</v>
      </c>
      <c r="R85" s="26">
        <f>VLOOKUP(A85,'Precios para Valuar'!C:Z,6,FALSE)</f>
        <v>3.8568423545982278E-2</v>
      </c>
      <c r="S85" s="26">
        <f>+R85+Badlar</f>
        <v>0.26556842354598226</v>
      </c>
      <c r="T85" s="27">
        <f>VLOOKUP(A85,'Precios para Valuar'!C:AC,9,FALSE)</f>
        <v>1.9335363316314726</v>
      </c>
      <c r="U85" s="12">
        <f t="shared" ca="1" si="67"/>
        <v>5.5426160551969507E-5</v>
      </c>
      <c r="V85" s="130"/>
      <c r="W85" s="77" t="str">
        <f>VLOOKUP(A85,'Precios para Valuar'!$C:$T,8,FALSE)</f>
        <v>devengado</v>
      </c>
      <c r="X85" s="77"/>
      <c r="Y85" s="77" t="s">
        <v>329</v>
      </c>
      <c r="AA85" s="127">
        <f t="shared" ca="1" si="68"/>
        <v>1.4719438080993052E-5</v>
      </c>
      <c r="AB85" s="29">
        <f t="shared" ca="1" si="69"/>
        <v>1.0716849515007216E-4</v>
      </c>
    </row>
    <row r="86" spans="1:28">
      <c r="A86" s="28" t="s">
        <v>89</v>
      </c>
      <c r="B86" s="18" t="str">
        <f>VLOOKUP(A86,'Identidad de Codigos'!A:C,2,FALSE)</f>
        <v>ARYPFS560085</v>
      </c>
      <c r="C86" s="81">
        <f>VLOOKUP(A86,'Identidad de Codigos'!A:C,3,FALSE)</f>
        <v>50879</v>
      </c>
      <c r="D86" s="18" t="s">
        <v>93</v>
      </c>
      <c r="E86" s="55">
        <v>44094</v>
      </c>
      <c r="F86" s="20" t="s">
        <v>13</v>
      </c>
      <c r="G86" s="20" t="s">
        <v>297</v>
      </c>
      <c r="H86" s="21">
        <f t="shared" si="64"/>
        <v>5899466</v>
      </c>
      <c r="I86" s="21">
        <f t="shared" si="65"/>
        <v>0</v>
      </c>
      <c r="J86" s="101">
        <v>5803165</v>
      </c>
      <c r="K86" s="88">
        <v>96301</v>
      </c>
      <c r="L86" s="88"/>
      <c r="M86" s="22"/>
      <c r="N86" s="22">
        <f>VLOOKUP(A86,'Precios para Valuar'!$C:$L,5,FALSE)/100</f>
        <v>0.96042123774703148</v>
      </c>
      <c r="O86" s="22"/>
      <c r="P86" s="23">
        <f t="shared" si="70"/>
        <v>5665972.4377665287</v>
      </c>
      <c r="Q86" s="23">
        <f t="shared" si="66"/>
        <v>281203.65466110123</v>
      </c>
      <c r="R86" s="26">
        <f>VLOOKUP(A86,'Precios para Valuar'!C:Z,6,FALSE)</f>
        <v>3.3196931443070149E-2</v>
      </c>
      <c r="S86" s="26">
        <f>+R86+Badlar</f>
        <v>0.2601969314430701</v>
      </c>
      <c r="T86" s="27"/>
      <c r="U86" s="12">
        <f t="shared" ca="1" si="67"/>
        <v>1.8156558673245188E-5</v>
      </c>
      <c r="V86" s="130"/>
      <c r="W86" s="77" t="str">
        <f>VLOOKUP(A86,'Precios para Valuar'!$C:$T,8,FALSE)</f>
        <v>devengado</v>
      </c>
      <c r="X86" s="77"/>
      <c r="Y86" s="77" t="s">
        <v>323</v>
      </c>
      <c r="AA86" s="127">
        <f t="shared" ca="1" si="68"/>
        <v>4.724280852344458E-6</v>
      </c>
      <c r="AB86" s="29">
        <f t="shared" ca="1" si="69"/>
        <v>0</v>
      </c>
    </row>
    <row r="87" spans="1:28">
      <c r="A87" s="54" t="s">
        <v>94</v>
      </c>
      <c r="B87" s="18"/>
      <c r="C87" s="18"/>
      <c r="D87" s="18"/>
      <c r="E87" s="55"/>
      <c r="F87" s="20"/>
      <c r="G87" s="20"/>
      <c r="H87" s="21"/>
      <c r="I87" s="21"/>
      <c r="J87" s="21"/>
      <c r="K87" s="21"/>
      <c r="L87" s="21"/>
      <c r="M87" s="22"/>
      <c r="N87" s="22"/>
      <c r="O87" s="22"/>
      <c r="P87" s="23"/>
      <c r="Q87" s="23"/>
      <c r="R87" s="12"/>
      <c r="S87" s="12"/>
      <c r="T87" s="27"/>
      <c r="U87" s="12"/>
      <c r="V87" s="30"/>
      <c r="W87" s="77"/>
      <c r="X87" s="77"/>
      <c r="Y87" s="77"/>
    </row>
    <row r="88" spans="1:28">
      <c r="A88" s="28" t="s">
        <v>78</v>
      </c>
      <c r="B88" s="18" t="str">
        <f>VLOOKUP(A88,'Identidad de Codigos'!A:C,2,FALSE)</f>
        <v>USP989MJAY76</v>
      </c>
      <c r="C88" s="81">
        <f>VLOOKUP(A88,'Identidad de Codigos'!A:C,3,FALSE)</f>
        <v>90154</v>
      </c>
      <c r="D88" s="18"/>
      <c r="E88" s="55">
        <v>45386</v>
      </c>
      <c r="F88" s="20" t="s">
        <v>36</v>
      </c>
      <c r="G88" s="20" t="s">
        <v>297</v>
      </c>
      <c r="H88" s="21">
        <f t="shared" ref="H88" si="71">SUM(J88:K88)</f>
        <v>1618000</v>
      </c>
      <c r="I88" s="21">
        <f>H88-SUM(J88:L88)</f>
        <v>0</v>
      </c>
      <c r="J88" s="101">
        <v>1507000</v>
      </c>
      <c r="K88" s="88">
        <v>111000</v>
      </c>
      <c r="L88" s="88"/>
      <c r="M88" s="22"/>
      <c r="N88" s="22">
        <f>VLOOKUP(A88,'Precios para Valuar'!$C:$L,5,FALSE)/100</f>
        <v>22.55</v>
      </c>
      <c r="O88" s="22">
        <v>123.8698589736715</v>
      </c>
      <c r="P88" s="23">
        <f t="shared" ref="P88" si="72">+H88*N88</f>
        <v>36485900</v>
      </c>
      <c r="Q88" s="23">
        <f>P88/$N$95</f>
        <v>1810804.5064271179</v>
      </c>
      <c r="R88" s="26">
        <f>VLOOKUP(A88,'Precios para Valuar'!C:Z,6,FALSE)</f>
        <v>6.0246267945110787E-2</v>
      </c>
      <c r="S88" s="26">
        <f>R88+Dev</f>
        <v>0.21166817473949262</v>
      </c>
      <c r="T88" s="27">
        <f>VLOOKUP(A88,'Precios para Valuar'!C:AC,9,FALSE)</f>
        <v>4.1456292839066773</v>
      </c>
      <c r="U88" s="12">
        <f ca="1">P88/$P$99</f>
        <v>1.169187445531047E-4</v>
      </c>
      <c r="V88" s="130"/>
      <c r="W88" s="77" t="str">
        <f>VLOOKUP(A88,'Precios para Valuar'!$C:$T,8,FALSE)</f>
        <v>Bolsa</v>
      </c>
      <c r="X88" s="77"/>
      <c r="Y88" s="77" t="s">
        <v>323</v>
      </c>
      <c r="AA88" s="127">
        <f ca="1">S88*U88</f>
        <v>2.4747977252388667E-5</v>
      </c>
      <c r="AB88" s="29">
        <f t="shared" ref="AB88" ca="1" si="73">T88*U88</f>
        <v>4.8470177125695514E-4</v>
      </c>
    </row>
    <row r="89" spans="1:28">
      <c r="A89" s="32" t="s">
        <v>95</v>
      </c>
      <c r="B89" s="48"/>
      <c r="C89" s="48"/>
      <c r="D89" s="48"/>
      <c r="E89" s="33"/>
      <c r="F89" s="48"/>
      <c r="G89" s="48"/>
      <c r="H89" s="34"/>
      <c r="I89" s="34"/>
      <c r="J89" s="34"/>
      <c r="K89" s="34"/>
      <c r="L89" s="34"/>
      <c r="M89" s="35"/>
      <c r="N89" s="35"/>
      <c r="O89" s="35"/>
      <c r="P89" s="36"/>
      <c r="Q89" s="36"/>
      <c r="R89" s="37"/>
      <c r="S89" s="37"/>
      <c r="T89" s="38"/>
      <c r="U89" s="39"/>
      <c r="V89" s="21"/>
      <c r="W89" s="77"/>
      <c r="X89" s="77"/>
      <c r="Y89" s="77"/>
    </row>
    <row r="90" spans="1:28">
      <c r="A90" s="54" t="s">
        <v>83</v>
      </c>
      <c r="B90" s="18"/>
      <c r="C90" s="18"/>
      <c r="D90" s="18"/>
      <c r="E90" s="19"/>
      <c r="F90" s="20"/>
      <c r="G90" s="20"/>
      <c r="H90" s="21"/>
      <c r="I90" s="21"/>
      <c r="J90" s="21"/>
      <c r="K90" s="21"/>
      <c r="L90" s="21"/>
      <c r="M90" s="22"/>
      <c r="N90" s="22"/>
      <c r="O90" s="22"/>
      <c r="P90" s="23"/>
      <c r="Q90" s="23"/>
      <c r="R90" s="12"/>
      <c r="S90" s="12"/>
      <c r="T90" s="27"/>
      <c r="U90" s="12"/>
      <c r="V90" s="30"/>
      <c r="W90" s="77"/>
      <c r="X90" s="77"/>
      <c r="Y90" s="77"/>
    </row>
    <row r="91" spans="1:28">
      <c r="A91" s="28" t="s">
        <v>82</v>
      </c>
      <c r="B91" s="18"/>
      <c r="C91" s="18"/>
      <c r="D91" s="18"/>
      <c r="E91" s="19"/>
      <c r="F91" s="20" t="s">
        <v>13</v>
      </c>
      <c r="G91" s="20" t="s">
        <v>312</v>
      </c>
      <c r="H91" s="21">
        <f t="shared" ref="H91:H93" si="74">SUM(J91:K91)</f>
        <v>7424458.8700000001</v>
      </c>
      <c r="I91" s="21"/>
      <c r="J91" s="88">
        <v>7424458.8700000001</v>
      </c>
      <c r="K91" s="88"/>
      <c r="L91" s="88"/>
      <c r="M91" s="22"/>
      <c r="N91" s="22">
        <f ca="1">OFFSET(FCI!$A$1,7-1,MATCH(A91,FCI!$1:$1,0)-1)</f>
        <v>3.4032719999999999</v>
      </c>
      <c r="O91" s="22"/>
      <c r="P91" s="23">
        <f ca="1">+H91*N91</f>
        <v>25267452.987422638</v>
      </c>
      <c r="Q91" s="23">
        <f ca="1">P91/$N$95</f>
        <v>1254030.1249403264</v>
      </c>
      <c r="R91" s="12"/>
      <c r="S91" s="12"/>
      <c r="T91" s="27"/>
      <c r="U91" s="12">
        <f ca="1">P91/$P$99</f>
        <v>8.0969330106809743E-5</v>
      </c>
      <c r="V91" s="28"/>
      <c r="W91" s="77"/>
      <c r="X91" s="77"/>
      <c r="Y91" s="77"/>
      <c r="AA91" s="127">
        <f t="shared" ref="AA91:AA93" ca="1" si="75">S91*U91</f>
        <v>0</v>
      </c>
      <c r="AB91" s="29">
        <f t="shared" ref="AB91:AB93" ca="1" si="76">T91*U91</f>
        <v>0</v>
      </c>
    </row>
    <row r="92" spans="1:28">
      <c r="A92" s="28" t="s">
        <v>70</v>
      </c>
      <c r="B92" s="18"/>
      <c r="C92" s="18"/>
      <c r="D92" s="18"/>
      <c r="E92" s="19"/>
      <c r="F92" s="20" t="s">
        <v>13</v>
      </c>
      <c r="G92" s="20" t="s">
        <v>312</v>
      </c>
      <c r="H92" s="21">
        <f t="shared" si="74"/>
        <v>14503144.029999999</v>
      </c>
      <c r="I92" s="21"/>
      <c r="J92" s="88">
        <v>13393912.029999999</v>
      </c>
      <c r="K92" s="88">
        <v>1109232</v>
      </c>
      <c r="L92" s="88"/>
      <c r="M92" s="22"/>
      <c r="N92" s="22">
        <f ca="1">OFFSET(FCI!$A$1,7-1,MATCH(A92,FCI!$1:$1,0)-1)</f>
        <v>3.2580499999999999</v>
      </c>
      <c r="O92" s="22"/>
      <c r="P92" s="23">
        <f ca="1">+H92*N92</f>
        <v>47251968.406941496</v>
      </c>
      <c r="Q92" s="23">
        <f ca="1">P92/$N$95</f>
        <v>2345127.2225391581</v>
      </c>
      <c r="R92" s="12"/>
      <c r="S92" s="12"/>
      <c r="T92" s="27"/>
      <c r="U92" s="12">
        <f ca="1">P92/$P$99</f>
        <v>1.5141851574999017E-4</v>
      </c>
      <c r="V92" s="30"/>
      <c r="W92" s="77"/>
      <c r="X92" s="77"/>
      <c r="Y92" s="77" t="s">
        <v>331</v>
      </c>
      <c r="AA92" s="127">
        <f t="shared" ca="1" si="75"/>
        <v>0</v>
      </c>
      <c r="AB92" s="29">
        <f t="shared" ca="1" si="76"/>
        <v>0</v>
      </c>
    </row>
    <row r="93" spans="1:28">
      <c r="A93" s="28" t="s">
        <v>59</v>
      </c>
      <c r="B93" s="18"/>
      <c r="C93" s="18"/>
      <c r="D93" s="18"/>
      <c r="E93" s="19"/>
      <c r="F93" s="20" t="s">
        <v>13</v>
      </c>
      <c r="G93" s="20" t="s">
        <v>312</v>
      </c>
      <c r="H93" s="21">
        <f t="shared" si="74"/>
        <v>166841064.67000002</v>
      </c>
      <c r="I93" s="21"/>
      <c r="J93" s="88">
        <v>155782526.83000001</v>
      </c>
      <c r="K93" s="88">
        <v>11058537.84</v>
      </c>
      <c r="L93" s="88"/>
      <c r="M93" s="22"/>
      <c r="N93" s="22">
        <f ca="1">OFFSET(FCI!$A$1,7-1,MATCH(A93,FCI!$1:$1,0)-1)</f>
        <v>0.35231600000000002</v>
      </c>
      <c r="O93" s="22"/>
      <c r="P93" s="23">
        <f ca="1">+H93*N93</f>
        <v>58780776.54027573</v>
      </c>
      <c r="Q93" s="23">
        <f ca="1">P93/$N$95</f>
        <v>2917304.9054680495</v>
      </c>
      <c r="R93" s="12"/>
      <c r="S93" s="12"/>
      <c r="T93" s="27"/>
      <c r="U93" s="12">
        <f ca="1">P93/$P$99</f>
        <v>1.8836247966873854E-4</v>
      </c>
      <c r="V93" s="28"/>
      <c r="W93" s="77"/>
      <c r="X93" s="77"/>
      <c r="Y93" s="77"/>
      <c r="AA93" s="127">
        <f t="shared" ca="1" si="75"/>
        <v>0</v>
      </c>
      <c r="AB93" s="29">
        <f t="shared" ca="1" si="76"/>
        <v>0</v>
      </c>
    </row>
    <row r="94" spans="1:28">
      <c r="A94" s="32" t="s">
        <v>97</v>
      </c>
      <c r="B94" s="48"/>
      <c r="C94" s="48"/>
      <c r="D94" s="48"/>
      <c r="E94" s="33"/>
      <c r="F94" s="48"/>
      <c r="G94" s="48"/>
      <c r="H94" s="34"/>
      <c r="I94" s="34"/>
      <c r="J94" s="34"/>
      <c r="K94" s="34"/>
      <c r="L94" s="34"/>
      <c r="M94" s="35"/>
      <c r="N94" s="35"/>
      <c r="O94" s="35"/>
      <c r="P94" s="36"/>
      <c r="Q94" s="36"/>
      <c r="R94" s="37"/>
      <c r="S94" s="37"/>
      <c r="T94" s="38"/>
      <c r="U94" s="39"/>
      <c r="V94" s="28"/>
      <c r="W94" s="77"/>
      <c r="X94" s="77"/>
      <c r="Y94" s="77"/>
    </row>
    <row r="95" spans="1:28">
      <c r="A95" s="28" t="s">
        <v>31</v>
      </c>
      <c r="B95" s="28"/>
      <c r="C95" s="28"/>
      <c r="D95" s="28"/>
      <c r="E95" s="28"/>
      <c r="F95" s="20" t="s">
        <v>36</v>
      </c>
      <c r="G95" s="20" t="s">
        <v>97</v>
      </c>
      <c r="H95" s="21">
        <f t="shared" ref="H95:H97" si="77">SUM(J95:K95)</f>
        <v>109633.14000000001</v>
      </c>
      <c r="I95" s="30"/>
      <c r="J95" s="89">
        <v>16215.93</v>
      </c>
      <c r="K95" s="89">
        <v>93417.21</v>
      </c>
      <c r="L95" s="89"/>
      <c r="M95" s="22"/>
      <c r="N95" s="22">
        <v>20.149000000000001</v>
      </c>
      <c r="O95" s="22"/>
      <c r="P95" s="23">
        <f>+H95*N95</f>
        <v>2208998.1378600006</v>
      </c>
      <c r="Q95" s="23">
        <f>P95/$N$95</f>
        <v>109633.14000000003</v>
      </c>
      <c r="R95" s="56"/>
      <c r="S95" s="56"/>
      <c r="T95" s="27"/>
      <c r="U95" s="12">
        <f ca="1">P95/$P$99</f>
        <v>7.0787150378293358E-6</v>
      </c>
      <c r="V95" s="28"/>
      <c r="W95" s="77"/>
      <c r="X95" s="77"/>
      <c r="Y95" s="77"/>
      <c r="AA95" s="127">
        <f t="shared" ref="AA95:AA97" ca="1" si="78">S95*U95</f>
        <v>0</v>
      </c>
      <c r="AB95" s="29">
        <f t="shared" ref="AB95:AB97" ca="1" si="79">T95*U95</f>
        <v>0</v>
      </c>
    </row>
    <row r="96" spans="1:28">
      <c r="A96" s="28" t="s">
        <v>31</v>
      </c>
      <c r="B96" s="28"/>
      <c r="C96" s="28"/>
      <c r="D96" s="28"/>
      <c r="E96" s="28"/>
      <c r="F96" s="20" t="s">
        <v>81</v>
      </c>
      <c r="G96" s="20" t="s">
        <v>97</v>
      </c>
      <c r="H96" s="21">
        <f t="shared" si="77"/>
        <v>177023</v>
      </c>
      <c r="I96" s="30"/>
      <c r="J96" s="89">
        <v>117779.21</v>
      </c>
      <c r="K96" s="89">
        <v>59243.79</v>
      </c>
      <c r="L96" s="89"/>
      <c r="M96" s="22"/>
      <c r="N96" s="22">
        <v>1</v>
      </c>
      <c r="O96" s="22"/>
      <c r="P96" s="23">
        <f>+H96</f>
        <v>177023</v>
      </c>
      <c r="Q96" s="23">
        <f>P96/$N$95</f>
        <v>8785.6965606233553</v>
      </c>
      <c r="R96" s="56"/>
      <c r="S96" s="56"/>
      <c r="T96" s="27"/>
      <c r="U96" s="12">
        <f ca="1">P96/$P$99</f>
        <v>5.6726864122919411E-7</v>
      </c>
      <c r="V96" s="28"/>
      <c r="W96" s="77"/>
      <c r="X96" s="77"/>
      <c r="Y96" s="77"/>
      <c r="AA96" s="127">
        <f t="shared" ca="1" si="78"/>
        <v>0</v>
      </c>
      <c r="AB96" s="29">
        <f t="shared" ca="1" si="79"/>
        <v>0</v>
      </c>
    </row>
    <row r="97" spans="1:28">
      <c r="A97" s="5" t="s">
        <v>96</v>
      </c>
      <c r="B97" s="28"/>
      <c r="C97" s="28"/>
      <c r="D97" s="28"/>
      <c r="E97" s="28"/>
      <c r="F97" s="20" t="s">
        <v>81</v>
      </c>
      <c r="G97" s="20" t="s">
        <v>97</v>
      </c>
      <c r="H97" s="21">
        <f t="shared" si="77"/>
        <v>12704092.5</v>
      </c>
      <c r="I97" s="30"/>
      <c r="J97" s="89">
        <v>12704092.5</v>
      </c>
      <c r="K97" s="89"/>
      <c r="L97" s="89"/>
      <c r="M97" s="22"/>
      <c r="N97" s="22">
        <v>1</v>
      </c>
      <c r="O97" s="22"/>
      <c r="P97" s="23">
        <f>+H97</f>
        <v>12704092.5</v>
      </c>
      <c r="Q97" s="23">
        <f>P97/$N$95</f>
        <v>630507.34527768125</v>
      </c>
      <c r="R97" s="56"/>
      <c r="S97" s="56"/>
      <c r="T97" s="27"/>
      <c r="U97" s="12">
        <f ca="1">P97/$P$99</f>
        <v>4.0710152299559921E-5</v>
      </c>
      <c r="V97" s="28"/>
      <c r="W97" s="77"/>
      <c r="X97" s="77"/>
      <c r="Y97" s="77"/>
      <c r="AA97" s="127">
        <f t="shared" ca="1" si="78"/>
        <v>0</v>
      </c>
      <c r="AB97" s="29">
        <f t="shared" ca="1" si="79"/>
        <v>0</v>
      </c>
    </row>
    <row r="98" spans="1:28">
      <c r="A98" s="28"/>
      <c r="B98" s="28"/>
      <c r="C98" s="28"/>
      <c r="D98" s="28"/>
      <c r="E98" s="40"/>
      <c r="F98" s="28"/>
      <c r="G98" s="87"/>
      <c r="H98" s="21"/>
      <c r="I98" s="21"/>
      <c r="J98" s="21"/>
      <c r="K98" s="21"/>
      <c r="L98" s="21"/>
      <c r="M98" s="22"/>
      <c r="N98" s="22"/>
      <c r="O98" s="22"/>
      <c r="P98" s="41"/>
      <c r="Q98" s="41"/>
      <c r="R98" s="57"/>
      <c r="S98" s="57"/>
      <c r="T98" s="43"/>
      <c r="U98" s="44"/>
      <c r="V98" s="28"/>
      <c r="W98" s="77"/>
      <c r="X98" s="77"/>
      <c r="Y98" s="77"/>
    </row>
    <row r="99" spans="1:28">
      <c r="A99" s="58" t="s">
        <v>19</v>
      </c>
      <c r="B99" s="59"/>
      <c r="C99" s="59"/>
      <c r="D99" s="59"/>
      <c r="E99" s="59"/>
      <c r="F99" s="60"/>
      <c r="G99" s="60"/>
      <c r="H99" s="61"/>
      <c r="I99" s="61"/>
      <c r="J99" s="61"/>
      <c r="K99" s="61"/>
      <c r="L99" s="61"/>
      <c r="M99" s="62"/>
      <c r="N99" s="62"/>
      <c r="O99" s="62"/>
      <c r="P99" s="63">
        <f ca="1">SUM(P5:P97)</f>
        <v>312062023411.72113</v>
      </c>
      <c r="Q99" s="63">
        <f ca="1">SUM(Q5:Q97)</f>
        <v>14584508308.617998</v>
      </c>
      <c r="R99" s="64"/>
      <c r="S99" s="64">
        <f ca="1">SUMPRODUCT(S4:S98,U4:U98)</f>
        <v>0.24793509497904312</v>
      </c>
      <c r="T99" s="65">
        <f ca="1">SUMPRODUCT(T4:T98,U4:U98)</f>
        <v>1.1950020933941399</v>
      </c>
      <c r="U99" s="66">
        <v>1</v>
      </c>
      <c r="V99" s="67"/>
      <c r="W99" s="80"/>
      <c r="X99" s="80"/>
      <c r="Y99" s="80"/>
    </row>
    <row r="100" spans="1:28">
      <c r="A100" s="28"/>
      <c r="B100" s="28"/>
      <c r="C100" s="28"/>
      <c r="D100" s="28"/>
      <c r="E100" s="28"/>
      <c r="F100" s="28"/>
      <c r="G100" s="87"/>
      <c r="H100" s="68"/>
      <c r="I100" s="68"/>
      <c r="J100" s="68"/>
      <c r="K100" s="68"/>
      <c r="L100" s="68"/>
      <c r="M100" s="22"/>
      <c r="N100" s="22"/>
      <c r="O100" s="22"/>
      <c r="P100" s="30"/>
      <c r="Q100" s="30"/>
      <c r="R100" s="20"/>
      <c r="S100" s="20"/>
      <c r="T100" s="69"/>
      <c r="U100" s="12"/>
      <c r="V100" s="28"/>
      <c r="W100" s="77"/>
      <c r="X100" s="77"/>
      <c r="Y100" s="77"/>
    </row>
    <row r="101" spans="1:28">
      <c r="A101" s="28"/>
      <c r="B101" s="28"/>
      <c r="C101" s="28"/>
      <c r="D101" s="28"/>
      <c r="E101" s="28"/>
      <c r="F101" s="28"/>
      <c r="G101" s="87"/>
      <c r="H101" s="68"/>
      <c r="I101" s="68"/>
      <c r="J101" s="68"/>
      <c r="K101" s="68"/>
      <c r="L101" s="68"/>
      <c r="M101" s="22"/>
      <c r="N101" s="22"/>
      <c r="O101" s="22"/>
      <c r="P101" s="30"/>
      <c r="Q101" s="30"/>
      <c r="R101" s="20"/>
      <c r="S101" s="20"/>
      <c r="T101" s="69"/>
      <c r="U101" s="12"/>
      <c r="V101" s="28"/>
      <c r="W101" s="77"/>
      <c r="X101" s="77"/>
      <c r="Y101" s="77"/>
    </row>
    <row r="102" spans="1:28">
      <c r="A102" s="28" t="s">
        <v>270</v>
      </c>
      <c r="B102" s="87"/>
      <c r="C102" s="28"/>
      <c r="D102" s="28"/>
      <c r="E102" s="28"/>
      <c r="F102" s="28"/>
      <c r="G102" s="87"/>
      <c r="H102" s="68"/>
      <c r="I102" s="68"/>
      <c r="J102" s="68"/>
      <c r="K102" s="68"/>
      <c r="L102" s="68"/>
      <c r="M102" s="22"/>
      <c r="N102" s="22"/>
      <c r="O102" s="22"/>
      <c r="P102" s="30"/>
      <c r="Q102" s="30"/>
      <c r="R102" s="20"/>
      <c r="S102" s="20"/>
      <c r="T102" s="69"/>
      <c r="U102" s="12"/>
      <c r="V102" s="28"/>
      <c r="W102" s="77"/>
      <c r="X102" s="77"/>
      <c r="Y102" s="77"/>
    </row>
    <row r="103" spans="1:28">
      <c r="A103" s="87" t="s">
        <v>267</v>
      </c>
      <c r="B103" s="87"/>
      <c r="C103" s="87"/>
      <c r="D103" s="100">
        <v>0.22699999999999998</v>
      </c>
      <c r="E103" s="87"/>
      <c r="F103" s="87"/>
      <c r="G103" s="87"/>
      <c r="H103" s="68"/>
      <c r="I103" s="68"/>
      <c r="J103" s="68"/>
      <c r="K103" s="68"/>
      <c r="L103" s="68"/>
      <c r="M103" s="22"/>
      <c r="N103" s="22"/>
      <c r="O103" s="22"/>
      <c r="P103" s="30"/>
      <c r="Q103" s="30"/>
      <c r="R103" s="20"/>
      <c r="S103" s="20"/>
      <c r="T103" s="69"/>
      <c r="U103" s="12"/>
      <c r="V103" s="87"/>
      <c r="W103" s="77"/>
      <c r="X103" s="77"/>
      <c r="Y103" s="77"/>
    </row>
    <row r="104" spans="1:28">
      <c r="A104" s="87" t="s">
        <v>302</v>
      </c>
      <c r="B104" s="87"/>
      <c r="C104" s="87"/>
      <c r="D104" s="100">
        <v>0.23225000000000001</v>
      </c>
      <c r="E104" s="87"/>
      <c r="F104" s="87"/>
      <c r="G104" s="87"/>
      <c r="H104" s="68"/>
      <c r="I104" s="68"/>
      <c r="J104" s="68"/>
      <c r="K104" s="68"/>
      <c r="L104" s="68"/>
      <c r="M104" s="22"/>
      <c r="N104" s="22"/>
      <c r="O104" s="22"/>
      <c r="P104" s="30"/>
      <c r="Q104" s="30"/>
      <c r="R104" s="20"/>
      <c r="S104" s="20"/>
      <c r="T104" s="69"/>
      <c r="U104" s="12"/>
      <c r="V104" s="87"/>
      <c r="W104" s="77"/>
      <c r="X104" s="77"/>
      <c r="Y104" s="77"/>
    </row>
    <row r="105" spans="1:28">
      <c r="A105" s="87" t="s">
        <v>268</v>
      </c>
      <c r="B105" s="87"/>
      <c r="C105" s="87"/>
      <c r="D105" s="100">
        <v>0.17799999999999999</v>
      </c>
      <c r="E105" s="87"/>
      <c r="F105" s="87"/>
      <c r="G105" s="87"/>
      <c r="H105" s="21"/>
      <c r="I105" s="21"/>
      <c r="J105" s="21"/>
      <c r="K105" s="21"/>
      <c r="L105" s="21"/>
      <c r="M105" s="22"/>
      <c r="N105" s="22"/>
      <c r="O105" s="22"/>
      <c r="P105" s="87"/>
      <c r="Q105" s="87"/>
      <c r="R105" s="20"/>
      <c r="S105" s="20"/>
      <c r="T105" s="69"/>
      <c r="U105" s="12"/>
      <c r="V105" s="87"/>
      <c r="W105" s="77"/>
      <c r="X105" s="77"/>
      <c r="Y105" s="77"/>
    </row>
    <row r="106" spans="1:28">
      <c r="A106" s="87" t="s">
        <v>269</v>
      </c>
      <c r="B106" s="87"/>
      <c r="C106" s="87"/>
      <c r="D106" s="100">
        <f>23.2/N95-1</f>
        <v>0.15142190679438183</v>
      </c>
      <c r="E106" s="87"/>
      <c r="F106" s="87"/>
      <c r="G106" s="87"/>
      <c r="H106" s="21"/>
      <c r="I106" s="21"/>
      <c r="J106" s="21"/>
      <c r="K106" s="21"/>
      <c r="L106" s="21"/>
      <c r="M106" s="22"/>
      <c r="N106" s="22"/>
      <c r="O106" s="22"/>
      <c r="P106" s="125"/>
      <c r="Q106" s="87"/>
      <c r="R106" s="20"/>
      <c r="S106" s="20"/>
      <c r="T106" s="69"/>
      <c r="U106" s="12"/>
      <c r="V106" s="87"/>
      <c r="W106" s="77"/>
      <c r="X106" s="77"/>
      <c r="Y106" s="77"/>
    </row>
    <row r="107" spans="1:28">
      <c r="A107" s="87"/>
      <c r="B107" s="87"/>
      <c r="C107" s="87"/>
      <c r="D107" s="87"/>
      <c r="E107" s="87"/>
      <c r="F107" s="87"/>
      <c r="G107" s="87"/>
      <c r="H107" s="21"/>
      <c r="I107" s="21"/>
      <c r="J107" s="21"/>
      <c r="K107" s="21"/>
      <c r="L107" s="21"/>
      <c r="M107" s="22"/>
      <c r="N107" s="22"/>
      <c r="O107" s="22"/>
      <c r="P107" s="87"/>
      <c r="Q107" s="87"/>
      <c r="R107" s="20"/>
      <c r="S107" s="20"/>
      <c r="T107" s="69"/>
      <c r="U107" s="12"/>
      <c r="V107" s="87"/>
      <c r="W107" s="77"/>
      <c r="X107" s="77"/>
      <c r="Y107" s="77"/>
    </row>
    <row r="108" spans="1:28">
      <c r="A108" s="87"/>
      <c r="B108" s="87"/>
      <c r="C108" s="87"/>
      <c r="D108" s="87"/>
      <c r="E108" s="87"/>
      <c r="F108" s="87"/>
      <c r="G108" s="87"/>
      <c r="H108" s="21"/>
      <c r="I108" s="21"/>
      <c r="J108" s="21"/>
      <c r="K108" s="21"/>
      <c r="L108" s="21"/>
      <c r="M108" s="22"/>
      <c r="N108" s="22"/>
      <c r="O108" s="22"/>
      <c r="P108" s="87"/>
      <c r="Q108" s="87"/>
      <c r="R108" s="20"/>
      <c r="S108" s="20"/>
      <c r="T108" s="69"/>
      <c r="U108" s="12"/>
      <c r="V108" s="87"/>
      <c r="W108" s="77"/>
      <c r="X108" s="77"/>
      <c r="Y108" s="77"/>
    </row>
    <row r="109" spans="1:28">
      <c r="A109" s="87"/>
      <c r="B109" s="87"/>
      <c r="C109" s="87"/>
      <c r="D109" s="129" t="s">
        <v>339</v>
      </c>
      <c r="E109" s="129" t="s">
        <v>7</v>
      </c>
      <c r="F109" s="129" t="s">
        <v>337</v>
      </c>
      <c r="G109" s="87"/>
      <c r="H109" s="21"/>
      <c r="I109" s="21"/>
      <c r="J109" s="21"/>
      <c r="K109" s="21"/>
      <c r="L109" s="21"/>
      <c r="M109" s="22"/>
      <c r="N109" s="22"/>
      <c r="O109" s="22"/>
      <c r="P109" s="87"/>
      <c r="Q109" s="87"/>
      <c r="R109" s="20"/>
      <c r="S109" s="20"/>
      <c r="T109" s="69"/>
      <c r="U109" s="12"/>
      <c r="V109" s="87"/>
      <c r="W109" s="77"/>
      <c r="X109" s="77"/>
      <c r="Y109" s="77"/>
    </row>
    <row r="110" spans="1:28">
      <c r="A110" s="20" t="s">
        <v>277</v>
      </c>
      <c r="B110" s="87"/>
      <c r="C110" s="87"/>
      <c r="D110" s="125">
        <f t="shared" ref="D110:D117" ca="1" si="80">SUMIF(G:G,A110,P:P)/$P$99</f>
        <v>0.37327092397771988</v>
      </c>
      <c r="E110" s="126">
        <f t="shared" ref="E110:E117" ca="1" si="81">SUMIF(G:G,A110,AA:AA)/D110</f>
        <v>0.22568453751162021</v>
      </c>
      <c r="F110" s="128">
        <f t="shared" ref="F110:F117" ca="1" si="82">SUMIF(G:G,A110,AB:AB)/D110</f>
        <v>2.0439523579470253</v>
      </c>
      <c r="G110" s="87"/>
      <c r="H110" s="21"/>
      <c r="I110" s="21"/>
      <c r="J110" s="21"/>
      <c r="K110" s="21"/>
      <c r="L110" s="21"/>
      <c r="M110" s="22"/>
      <c r="N110" s="22"/>
      <c r="O110" s="22"/>
      <c r="P110" s="87"/>
      <c r="Q110" s="87"/>
      <c r="R110" s="20"/>
      <c r="S110" s="20"/>
      <c r="T110" s="69"/>
      <c r="U110" s="12"/>
      <c r="V110" s="87"/>
      <c r="W110" s="77"/>
      <c r="X110" s="77"/>
      <c r="Y110" s="77"/>
    </row>
    <row r="111" spans="1:28">
      <c r="A111" s="20" t="s">
        <v>281</v>
      </c>
      <c r="B111" s="87"/>
      <c r="C111" s="87"/>
      <c r="D111" s="125">
        <f t="shared" ca="1" si="80"/>
        <v>0.3695968459065882</v>
      </c>
      <c r="E111" s="126">
        <f t="shared" ca="1" si="81"/>
        <v>0.26198034340814536</v>
      </c>
      <c r="F111" s="128">
        <f t="shared" ca="1" si="82"/>
        <v>0.13686630786451481</v>
      </c>
      <c r="G111" s="87"/>
      <c r="H111" s="21"/>
      <c r="I111" s="21"/>
      <c r="J111" s="21"/>
      <c r="K111" s="21"/>
      <c r="L111" s="21"/>
      <c r="M111" s="22"/>
      <c r="N111" s="22"/>
      <c r="O111" s="22"/>
      <c r="P111" s="87"/>
      <c r="Q111" s="87"/>
      <c r="R111" s="20"/>
      <c r="S111" s="20"/>
      <c r="T111" s="69"/>
      <c r="U111" s="12"/>
      <c r="V111" s="87"/>
      <c r="W111" s="77"/>
      <c r="X111" s="77"/>
      <c r="Y111" s="77"/>
    </row>
    <row r="112" spans="1:28">
      <c r="A112" s="20" t="s">
        <v>297</v>
      </c>
      <c r="B112" s="87"/>
      <c r="C112" s="87"/>
      <c r="D112" s="125">
        <f t="shared" ca="1" si="80"/>
        <v>3.3227705378651232E-4</v>
      </c>
      <c r="E112" s="126">
        <f t="shared" ca="1" si="81"/>
        <v>0.24627308599421924</v>
      </c>
      <c r="F112" s="128">
        <f t="shared" ca="1" si="82"/>
        <v>2.4266934269642064</v>
      </c>
      <c r="G112" s="87"/>
      <c r="H112" s="21"/>
      <c r="I112" s="21"/>
      <c r="J112" s="21"/>
      <c r="K112" s="21"/>
      <c r="L112" s="21"/>
      <c r="M112" s="22"/>
      <c r="N112" s="22"/>
      <c r="O112" s="22"/>
      <c r="P112" s="87"/>
      <c r="Q112" s="87"/>
      <c r="R112" s="20"/>
      <c r="S112" s="20"/>
      <c r="T112" s="69"/>
      <c r="U112" s="12"/>
      <c r="V112" s="87"/>
      <c r="W112" s="77"/>
      <c r="X112" s="77"/>
      <c r="Y112" s="77"/>
    </row>
    <row r="113" spans="1:25">
      <c r="A113" s="20" t="s">
        <v>285</v>
      </c>
      <c r="B113" s="87"/>
      <c r="C113" s="87"/>
      <c r="D113" s="125">
        <f t="shared" ca="1" si="80"/>
        <v>0.13423048208525362</v>
      </c>
      <c r="E113" s="126">
        <f t="shared" ca="1" si="81"/>
        <v>0.25727066311367375</v>
      </c>
      <c r="F113" s="128">
        <f t="shared" ca="1" si="82"/>
        <v>1.5747804586517906</v>
      </c>
      <c r="G113" s="87"/>
      <c r="H113" s="21"/>
      <c r="I113" s="21"/>
      <c r="J113" s="21"/>
      <c r="K113" s="21"/>
      <c r="L113" s="21"/>
      <c r="M113" s="22"/>
      <c r="N113" s="22"/>
      <c r="O113" s="22"/>
      <c r="P113" s="87"/>
      <c r="Q113" s="87"/>
      <c r="R113" s="20"/>
      <c r="S113" s="20"/>
      <c r="T113" s="69"/>
      <c r="U113" s="12"/>
      <c r="V113" s="87"/>
      <c r="W113" s="77"/>
      <c r="X113" s="77"/>
      <c r="Y113" s="77"/>
    </row>
    <row r="114" spans="1:25">
      <c r="A114" s="20" t="s">
        <v>288</v>
      </c>
      <c r="B114" s="87"/>
      <c r="C114" s="87"/>
      <c r="D114" s="125">
        <f t="shared" ca="1" si="80"/>
        <v>0.11973551469828492</v>
      </c>
      <c r="E114" s="126">
        <f t="shared" ca="1" si="81"/>
        <v>0.26603698281785143</v>
      </c>
      <c r="F114" s="128">
        <f t="shared" ca="1" si="82"/>
        <v>1.4073176086150088</v>
      </c>
      <c r="G114" s="87"/>
      <c r="H114" s="21"/>
      <c r="I114" s="21"/>
      <c r="J114" s="21"/>
      <c r="K114" s="21"/>
      <c r="L114" s="21"/>
      <c r="M114" s="22"/>
      <c r="N114" s="22"/>
      <c r="O114" s="22"/>
      <c r="P114" s="87"/>
      <c r="Q114" s="87"/>
      <c r="R114" s="20"/>
      <c r="S114" s="20"/>
      <c r="T114" s="69"/>
      <c r="U114" s="12"/>
      <c r="V114" s="87"/>
      <c r="W114" s="77"/>
      <c r="X114" s="77"/>
      <c r="Y114" s="77"/>
    </row>
    <row r="115" spans="1:25">
      <c r="A115" s="20" t="s">
        <v>312</v>
      </c>
      <c r="B115" s="87"/>
      <c r="C115" s="87"/>
      <c r="D115" s="125">
        <f t="shared" ca="1" si="80"/>
        <v>1.2809303164086532E-3</v>
      </c>
      <c r="E115" s="126">
        <f t="shared" ca="1" si="81"/>
        <v>0</v>
      </c>
      <c r="F115" s="128">
        <f t="shared" ca="1" si="82"/>
        <v>0</v>
      </c>
      <c r="G115" s="87"/>
      <c r="H115" s="21"/>
      <c r="I115" s="21"/>
      <c r="J115" s="21"/>
      <c r="K115" s="21"/>
      <c r="L115" s="21"/>
      <c r="M115" s="22"/>
      <c r="N115" s="22"/>
      <c r="O115" s="22"/>
      <c r="P115" s="87"/>
      <c r="Q115" s="87"/>
      <c r="R115" s="20"/>
      <c r="S115" s="20"/>
      <c r="T115" s="69"/>
      <c r="U115" s="12"/>
      <c r="V115" s="87"/>
      <c r="W115" s="77"/>
      <c r="X115" s="77"/>
      <c r="Y115" s="77"/>
    </row>
    <row r="116" spans="1:25">
      <c r="A116" s="20" t="s">
        <v>80</v>
      </c>
      <c r="B116" s="87"/>
      <c r="C116" s="87"/>
      <c r="D116" s="125">
        <f t="shared" ca="1" si="80"/>
        <v>1.5046698259798018E-3</v>
      </c>
      <c r="E116" s="126">
        <f t="shared" ca="1" si="81"/>
        <v>0.26387145971098391</v>
      </c>
      <c r="F116" s="128">
        <f t="shared" ca="1" si="82"/>
        <v>0.51372039816605775</v>
      </c>
      <c r="G116" s="87"/>
      <c r="H116" s="21"/>
      <c r="I116" s="21"/>
      <c r="J116" s="21"/>
      <c r="K116" s="21"/>
      <c r="L116" s="21"/>
      <c r="M116" s="22"/>
      <c r="N116" s="22"/>
      <c r="O116" s="22"/>
      <c r="P116" s="87"/>
      <c r="Q116" s="87"/>
      <c r="R116" s="20"/>
      <c r="S116" s="20"/>
      <c r="T116" s="69"/>
      <c r="U116" s="12"/>
      <c r="V116" s="87"/>
      <c r="W116" s="77"/>
      <c r="X116" s="77"/>
      <c r="Y116" s="77"/>
    </row>
    <row r="117" spans="1:25">
      <c r="A117" s="20" t="s">
        <v>97</v>
      </c>
      <c r="B117" s="87"/>
      <c r="C117" s="87"/>
      <c r="D117" s="125">
        <f t="shared" ca="1" si="80"/>
        <v>4.8356135978618443E-5</v>
      </c>
      <c r="E117" s="126">
        <f t="shared" ca="1" si="81"/>
        <v>0</v>
      </c>
      <c r="F117" s="128">
        <f t="shared" ca="1" si="82"/>
        <v>0</v>
      </c>
      <c r="G117" s="87"/>
      <c r="H117" s="21"/>
      <c r="I117" s="21"/>
      <c r="J117" s="21"/>
      <c r="K117" s="21"/>
      <c r="L117" s="21"/>
      <c r="M117" s="22"/>
      <c r="N117" s="22"/>
      <c r="O117" s="22"/>
      <c r="P117" s="87"/>
      <c r="Q117" s="87"/>
      <c r="R117" s="20"/>
      <c r="S117" s="20"/>
      <c r="T117" s="69"/>
      <c r="U117" s="12"/>
      <c r="V117" s="87"/>
      <c r="W117" s="77"/>
      <c r="X117" s="77"/>
      <c r="Y117" s="77"/>
    </row>
    <row r="118" spans="1:25">
      <c r="A118" s="87"/>
      <c r="B118" s="87"/>
      <c r="C118" s="87"/>
      <c r="D118" s="87"/>
      <c r="E118" s="129"/>
      <c r="F118" s="129"/>
      <c r="G118" s="87"/>
      <c r="H118" s="21"/>
      <c r="I118" s="21"/>
      <c r="J118" s="21"/>
      <c r="K118" s="21"/>
      <c r="L118" s="21"/>
      <c r="M118" s="22"/>
      <c r="N118" s="22"/>
      <c r="O118" s="22"/>
      <c r="P118" s="87"/>
      <c r="Q118" s="87"/>
      <c r="R118" s="20"/>
      <c r="S118" s="20"/>
      <c r="T118" s="69"/>
      <c r="U118" s="12"/>
      <c r="V118" s="87"/>
      <c r="W118" s="77"/>
      <c r="X118" s="77"/>
      <c r="Y118" s="77"/>
    </row>
    <row r="119" spans="1:25">
      <c r="A119" s="20" t="s">
        <v>36</v>
      </c>
      <c r="B119" s="87"/>
      <c r="C119" s="87"/>
      <c r="D119" s="125">
        <f t="shared" ref="D119:D124" ca="1" si="83">SUMIF($F$1:$F$100,A119,$P$1:$P$100)/$P$99</f>
        <v>3.2672596486305115E-4</v>
      </c>
      <c r="E119" s="126">
        <f t="shared" ref="E119:E124" ca="1" si="84">SUMIF($F$1:$F$100,A119,$AA$1:$AA$100)/D119</f>
        <v>0.20031931548041731</v>
      </c>
      <c r="F119" s="128">
        <f t="shared" ref="F119:F124" ca="1" si="85">SUMIF($F$1:$F$100,A119,$AB$1:$AB$100)/D119</f>
        <v>3.5303175472667507</v>
      </c>
      <c r="G119" s="87"/>
      <c r="H119" s="21"/>
      <c r="I119" s="21"/>
      <c r="J119" s="21"/>
      <c r="K119" s="21"/>
      <c r="L119" s="21"/>
      <c r="M119" s="22"/>
      <c r="N119" s="22"/>
      <c r="O119" s="22"/>
      <c r="P119" s="87"/>
      <c r="Q119" s="87"/>
      <c r="R119" s="20"/>
      <c r="S119" s="20"/>
      <c r="T119" s="69"/>
      <c r="U119" s="12"/>
      <c r="V119" s="87"/>
      <c r="W119" s="77"/>
      <c r="X119" s="77"/>
      <c r="Y119" s="77"/>
    </row>
    <row r="120" spans="1:25">
      <c r="A120" s="20" t="s">
        <v>81</v>
      </c>
      <c r="B120" s="87"/>
      <c r="C120" s="87"/>
      <c r="D120" s="125">
        <f t="shared" ca="1" si="83"/>
        <v>0.37198225935991169</v>
      </c>
      <c r="E120" s="126">
        <f t="shared" ca="1" si="84"/>
        <v>0.26136706992949149</v>
      </c>
      <c r="F120" s="128">
        <f t="shared" ca="1" si="85"/>
        <v>0.1380658536964392</v>
      </c>
      <c r="G120" s="87"/>
      <c r="H120" s="21"/>
      <c r="I120" s="21"/>
      <c r="J120" s="21"/>
      <c r="K120" s="21"/>
      <c r="L120" s="21"/>
      <c r="M120" s="22"/>
      <c r="N120" s="22"/>
      <c r="O120" s="22"/>
      <c r="P120" s="87"/>
      <c r="Q120" s="87"/>
      <c r="R120" s="20"/>
      <c r="S120" s="20"/>
      <c r="T120" s="69"/>
      <c r="U120" s="12"/>
      <c r="V120" s="87"/>
      <c r="W120" s="77"/>
      <c r="X120" s="77"/>
      <c r="Y120" s="77"/>
    </row>
    <row r="121" spans="1:25">
      <c r="A121" s="20" t="s">
        <v>13</v>
      </c>
      <c r="B121" s="87"/>
      <c r="C121" s="87"/>
      <c r="D121" s="125">
        <f t="shared" ca="1" si="83"/>
        <v>0.34717943634766379</v>
      </c>
      <c r="E121" s="126">
        <f t="shared" ca="1" si="84"/>
        <v>0.25273207935558045</v>
      </c>
      <c r="F121" s="128">
        <f t="shared" ca="1" si="85"/>
        <v>1.4252216808215132</v>
      </c>
      <c r="G121" s="87"/>
      <c r="H121" s="21"/>
      <c r="I121" s="21"/>
      <c r="J121" s="21"/>
      <c r="K121" s="21"/>
      <c r="L121" s="21"/>
      <c r="M121" s="22"/>
      <c r="N121" s="22"/>
      <c r="O121" s="22"/>
      <c r="P121" s="87"/>
      <c r="Q121" s="87"/>
      <c r="R121" s="20"/>
      <c r="S121" s="20"/>
      <c r="T121" s="69"/>
      <c r="U121" s="12"/>
      <c r="V121" s="87"/>
      <c r="W121" s="77"/>
      <c r="X121" s="77"/>
      <c r="Y121" s="77"/>
    </row>
    <row r="122" spans="1:25">
      <c r="A122" s="20" t="s">
        <v>302</v>
      </c>
      <c r="B122" s="87"/>
      <c r="C122" s="87"/>
      <c r="D122" s="125">
        <f t="shared" ca="1" si="83"/>
        <v>5.7938957146379283E-2</v>
      </c>
      <c r="E122" s="126">
        <f t="shared" ca="1" si="84"/>
        <v>0.25561730196772214</v>
      </c>
      <c r="F122" s="128">
        <f t="shared" ca="1" si="85"/>
        <v>1.8388336534737215</v>
      </c>
      <c r="G122" s="87"/>
      <c r="H122" s="21"/>
      <c r="I122" s="21"/>
      <c r="J122" s="21"/>
      <c r="K122" s="21"/>
      <c r="L122" s="21"/>
      <c r="M122" s="22"/>
      <c r="N122" s="22"/>
      <c r="O122" s="22"/>
      <c r="P122" s="87"/>
      <c r="Q122" s="87"/>
      <c r="R122" s="20"/>
      <c r="S122" s="20"/>
      <c r="T122" s="69"/>
      <c r="U122" s="12"/>
      <c r="V122" s="87"/>
      <c r="W122" s="77"/>
      <c r="X122" s="77"/>
      <c r="Y122" s="77"/>
    </row>
    <row r="123" spans="1:25">
      <c r="A123" s="20" t="s">
        <v>33</v>
      </c>
      <c r="B123" s="87"/>
      <c r="C123" s="87"/>
      <c r="D123" s="125">
        <f t="shared" ca="1" si="83"/>
        <v>0.16422845036236261</v>
      </c>
      <c r="E123" s="126">
        <f t="shared" ca="1" si="84"/>
        <v>0.20888145636977731</v>
      </c>
      <c r="F123" s="128">
        <f t="shared" ca="1" si="85"/>
        <v>2.7125821614955608</v>
      </c>
      <c r="G123" s="87"/>
      <c r="H123" s="21"/>
      <c r="I123" s="21"/>
      <c r="J123" s="21"/>
      <c r="K123" s="21"/>
      <c r="L123" s="21"/>
      <c r="M123" s="22"/>
      <c r="N123" s="22"/>
      <c r="O123" s="22"/>
      <c r="P123" s="87"/>
      <c r="Q123" s="87"/>
      <c r="R123" s="20"/>
      <c r="S123" s="20"/>
      <c r="T123" s="69"/>
      <c r="U123" s="12"/>
      <c r="V123" s="87"/>
      <c r="W123" s="77"/>
      <c r="X123" s="77"/>
      <c r="Y123" s="77"/>
    </row>
    <row r="124" spans="1:25">
      <c r="A124" s="20" t="s">
        <v>28</v>
      </c>
      <c r="B124" s="87"/>
      <c r="C124" s="87"/>
      <c r="D124" s="125">
        <f t="shared" ca="1" si="83"/>
        <v>5.8344170818819797E-2</v>
      </c>
      <c r="E124" s="126">
        <f t="shared" ca="1" si="84"/>
        <v>0.23631964287074858</v>
      </c>
      <c r="F124" s="128">
        <f t="shared" ca="1" si="85"/>
        <v>1.6395754454513933</v>
      </c>
      <c r="G124" s="87"/>
      <c r="H124" s="21"/>
      <c r="I124" s="21"/>
      <c r="J124" s="21"/>
      <c r="K124" s="21"/>
      <c r="L124" s="21"/>
      <c r="M124" s="22"/>
      <c r="N124" s="22"/>
      <c r="O124" s="22"/>
      <c r="P124" s="87"/>
      <c r="Q124" s="87"/>
      <c r="R124" s="20"/>
      <c r="S124" s="20"/>
      <c r="T124" s="69"/>
      <c r="U124" s="12"/>
      <c r="V124" s="87"/>
      <c r="W124" s="77"/>
      <c r="X124" s="77"/>
      <c r="Y124" s="77"/>
    </row>
    <row r="125" spans="1:25">
      <c r="A125" s="87"/>
      <c r="B125" s="87"/>
      <c r="C125" s="87"/>
      <c r="D125" s="87"/>
      <c r="E125" s="87"/>
      <c r="F125" s="87"/>
      <c r="G125" s="87"/>
      <c r="H125" s="21"/>
      <c r="I125" s="21"/>
      <c r="J125" s="21"/>
      <c r="K125" s="21"/>
      <c r="L125" s="21"/>
      <c r="M125" s="22"/>
      <c r="N125" s="22"/>
      <c r="O125" s="22"/>
      <c r="P125" s="87"/>
      <c r="Q125" s="87"/>
      <c r="R125" s="20"/>
      <c r="S125" s="20"/>
      <c r="T125" s="69"/>
      <c r="U125" s="12"/>
      <c r="V125" s="87"/>
      <c r="W125" s="77"/>
      <c r="X125" s="77"/>
      <c r="Y125" s="77"/>
    </row>
    <row r="126" spans="1:25">
      <c r="A126" s="87"/>
      <c r="B126" s="87"/>
      <c r="C126" s="87"/>
      <c r="D126" s="87"/>
      <c r="E126" s="87"/>
      <c r="F126" s="87"/>
      <c r="G126" s="87"/>
      <c r="H126" s="21"/>
      <c r="I126" s="21"/>
      <c r="J126" s="21"/>
      <c r="K126" s="21"/>
      <c r="L126" s="21"/>
      <c r="M126" s="22"/>
      <c r="N126" s="22"/>
      <c r="O126" s="22"/>
      <c r="P126" s="87"/>
      <c r="Q126" s="87"/>
      <c r="R126" s="20"/>
      <c r="S126" s="20"/>
      <c r="T126" s="69"/>
      <c r="U126" s="12"/>
      <c r="V126" s="87"/>
      <c r="W126" s="77"/>
      <c r="X126" s="77"/>
      <c r="Y126" s="77"/>
    </row>
    <row r="127" spans="1:25">
      <c r="A127" s="87"/>
      <c r="B127" s="87"/>
      <c r="C127" s="87"/>
      <c r="D127" s="87"/>
      <c r="E127" s="87"/>
      <c r="F127" s="87"/>
      <c r="G127" s="87"/>
      <c r="H127" s="21"/>
      <c r="I127" s="21"/>
      <c r="J127" s="21"/>
      <c r="K127" s="21"/>
      <c r="L127" s="21"/>
      <c r="M127" s="22"/>
      <c r="N127" s="22"/>
      <c r="O127" s="22"/>
      <c r="P127" s="87"/>
      <c r="Q127" s="87"/>
      <c r="R127" s="20"/>
      <c r="S127" s="20"/>
      <c r="T127" s="69"/>
      <c r="U127" s="12"/>
      <c r="V127" s="87"/>
      <c r="W127" s="77"/>
      <c r="X127" s="77"/>
      <c r="Y127" s="77"/>
    </row>
    <row r="128" spans="1:25">
      <c r="A128" s="87"/>
      <c r="B128" s="87"/>
      <c r="C128" s="87"/>
      <c r="D128" s="87"/>
      <c r="E128" s="87"/>
      <c r="F128" s="87"/>
      <c r="G128" s="87"/>
      <c r="H128" s="21"/>
      <c r="I128" s="21"/>
      <c r="J128" s="21"/>
      <c r="K128" s="21"/>
      <c r="L128" s="21"/>
      <c r="M128" s="22"/>
      <c r="N128" s="22"/>
      <c r="O128" s="22"/>
      <c r="P128" s="87"/>
      <c r="Q128" s="87"/>
      <c r="R128" s="20"/>
      <c r="S128" s="20"/>
      <c r="T128" s="69"/>
      <c r="U128" s="12"/>
      <c r="V128" s="87"/>
      <c r="W128" s="77"/>
      <c r="X128" s="77"/>
      <c r="Y128" s="77"/>
    </row>
  </sheetData>
  <mergeCells count="1">
    <mergeCell ref="AA2:AB2"/>
  </mergeCells>
  <conditionalFormatting sqref="E28 E32 E83 E11 E88 E86 E5:E9 E46:E47">
    <cfRule type="cellIs" dxfId="44" priority="55" operator="lessThan">
      <formula>#REF!</formula>
    </cfRule>
  </conditionalFormatting>
  <conditionalFormatting sqref="E29">
    <cfRule type="cellIs" dxfId="43" priority="53" operator="lessThanOrEqual">
      <formula>#REF!</formula>
    </cfRule>
  </conditionalFormatting>
  <conditionalFormatting sqref="E37:E38 E40">
    <cfRule type="cellIs" dxfId="42" priority="52" operator="lessThanOrEqual">
      <formula>#REF!</formula>
    </cfRule>
  </conditionalFormatting>
  <conditionalFormatting sqref="E13:E14 E52:E54">
    <cfRule type="cellIs" dxfId="41" priority="51" operator="lessThan">
      <formula>#REF!</formula>
    </cfRule>
  </conditionalFormatting>
  <conditionalFormatting sqref="E30">
    <cfRule type="cellIs" dxfId="40" priority="49" operator="lessThanOrEqual">
      <formula>#REF!</formula>
    </cfRule>
  </conditionalFormatting>
  <conditionalFormatting sqref="E42">
    <cfRule type="cellIs" dxfId="39" priority="48" operator="lessThanOrEqual">
      <formula>#REF!</formula>
    </cfRule>
  </conditionalFormatting>
  <conditionalFormatting sqref="E56">
    <cfRule type="cellIs" dxfId="38" priority="47" operator="lessThan">
      <formula>#REF!</formula>
    </cfRule>
  </conditionalFormatting>
  <conditionalFormatting sqref="E44">
    <cfRule type="cellIs" dxfId="37" priority="46" operator="lessThanOrEqual">
      <formula>#REF!</formula>
    </cfRule>
  </conditionalFormatting>
  <conditionalFormatting sqref="E45">
    <cfRule type="cellIs" dxfId="36" priority="44" operator="lessThanOrEqual">
      <formula>#REF!</formula>
    </cfRule>
  </conditionalFormatting>
  <conditionalFormatting sqref="E31">
    <cfRule type="cellIs" dxfId="35" priority="43" operator="lessThanOrEqual">
      <formula>#REF!</formula>
    </cfRule>
  </conditionalFormatting>
  <conditionalFormatting sqref="E24">
    <cfRule type="cellIs" dxfId="34" priority="42" operator="lessThan">
      <formula>#REF!</formula>
    </cfRule>
  </conditionalFormatting>
  <conditionalFormatting sqref="E26:E27">
    <cfRule type="cellIs" dxfId="33" priority="41" operator="lessThanOrEqual">
      <formula>#REF!</formula>
    </cfRule>
  </conditionalFormatting>
  <conditionalFormatting sqref="E41">
    <cfRule type="cellIs" dxfId="32" priority="40" operator="lessThanOrEqual">
      <formula>#REF!</formula>
    </cfRule>
  </conditionalFormatting>
  <conditionalFormatting sqref="E54">
    <cfRule type="cellIs" dxfId="31" priority="38" operator="lessThan">
      <formula>#REF!</formula>
    </cfRule>
  </conditionalFormatting>
  <conditionalFormatting sqref="E43">
    <cfRule type="cellIs" dxfId="30" priority="37" operator="lessThanOrEqual">
      <formula>#REF!</formula>
    </cfRule>
  </conditionalFormatting>
  <conditionalFormatting sqref="E49">
    <cfRule type="cellIs" dxfId="29" priority="36" operator="lessThan">
      <formula>#REF!</formula>
    </cfRule>
  </conditionalFormatting>
  <conditionalFormatting sqref="E10">
    <cfRule type="cellIs" dxfId="28" priority="35" operator="lessThanOrEqual">
      <formula>#REF!</formula>
    </cfRule>
  </conditionalFormatting>
  <conditionalFormatting sqref="E34">
    <cfRule type="cellIs" dxfId="27" priority="34" operator="lessThan">
      <formula>#REF!</formula>
    </cfRule>
  </conditionalFormatting>
  <conditionalFormatting sqref="E18:E19">
    <cfRule type="cellIs" dxfId="26" priority="33" operator="lessThan">
      <formula>#REF!</formula>
    </cfRule>
  </conditionalFormatting>
  <conditionalFormatting sqref="E19:E21">
    <cfRule type="cellIs" dxfId="25" priority="32" operator="lessThanOrEqual">
      <formula>#REF!</formula>
    </cfRule>
  </conditionalFormatting>
  <conditionalFormatting sqref="E55:E57">
    <cfRule type="cellIs" dxfId="24" priority="31" operator="lessThan">
      <formula>#REF!</formula>
    </cfRule>
  </conditionalFormatting>
  <conditionalFormatting sqref="E55">
    <cfRule type="cellIs" dxfId="23" priority="30" operator="lessThan">
      <formula>#REF!</formula>
    </cfRule>
  </conditionalFormatting>
  <conditionalFormatting sqref="E57">
    <cfRule type="cellIs" dxfId="22" priority="29" operator="lessThan">
      <formula>#REF!</formula>
    </cfRule>
  </conditionalFormatting>
  <conditionalFormatting sqref="E33">
    <cfRule type="cellIs" dxfId="21" priority="25" operator="lessThan">
      <formula>#REF!</formula>
    </cfRule>
  </conditionalFormatting>
  <conditionalFormatting sqref="E35">
    <cfRule type="cellIs" dxfId="20" priority="24" operator="lessThanOrEqual">
      <formula>#REF!</formula>
    </cfRule>
  </conditionalFormatting>
  <conditionalFormatting sqref="E15">
    <cfRule type="cellIs" dxfId="19" priority="23" operator="lessThan">
      <formula>#REF!</formula>
    </cfRule>
  </conditionalFormatting>
  <conditionalFormatting sqref="E63 E65:E67">
    <cfRule type="cellIs" dxfId="18" priority="19" operator="lessThan">
      <formula>#REF!</formula>
    </cfRule>
  </conditionalFormatting>
  <conditionalFormatting sqref="E63 E65:E67">
    <cfRule type="cellIs" dxfId="17" priority="18" operator="lessThan">
      <formula>#REF!</formula>
    </cfRule>
  </conditionalFormatting>
  <conditionalFormatting sqref="E58:E59">
    <cfRule type="cellIs" dxfId="16" priority="17" operator="lessThan">
      <formula>#REF!</formula>
    </cfRule>
  </conditionalFormatting>
  <conditionalFormatting sqref="E58:E59">
    <cfRule type="cellIs" dxfId="15" priority="16" operator="lessThan">
      <formula>#REF!</formula>
    </cfRule>
  </conditionalFormatting>
  <conditionalFormatting sqref="E39">
    <cfRule type="cellIs" dxfId="14" priority="15" operator="lessThanOrEqual">
      <formula>#REF!</formula>
    </cfRule>
  </conditionalFormatting>
  <conditionalFormatting sqref="E25">
    <cfRule type="cellIs" dxfId="13" priority="14" operator="lessThanOrEqual">
      <formula>#REF!</formula>
    </cfRule>
  </conditionalFormatting>
  <conditionalFormatting sqref="E48">
    <cfRule type="cellIs" dxfId="12" priority="13" operator="lessThan">
      <formula>#REF!</formula>
    </cfRule>
  </conditionalFormatting>
  <conditionalFormatting sqref="E12">
    <cfRule type="cellIs" dxfId="11" priority="12" operator="lessThan">
      <formula>#REF!</formula>
    </cfRule>
  </conditionalFormatting>
  <conditionalFormatting sqref="E36">
    <cfRule type="cellIs" dxfId="10" priority="11" operator="lessThanOrEqual">
      <formula>#REF!</formula>
    </cfRule>
  </conditionalFormatting>
  <conditionalFormatting sqref="E51">
    <cfRule type="cellIs" dxfId="9" priority="10" operator="lessThan">
      <formula>#REF!</formula>
    </cfRule>
  </conditionalFormatting>
  <conditionalFormatting sqref="E51">
    <cfRule type="cellIs" dxfId="8" priority="9" operator="lessThan">
      <formula>#REF!</formula>
    </cfRule>
  </conditionalFormatting>
  <conditionalFormatting sqref="E60">
    <cfRule type="cellIs" dxfId="7" priority="8" operator="lessThan">
      <formula>#REF!</formula>
    </cfRule>
  </conditionalFormatting>
  <conditionalFormatting sqref="E60">
    <cfRule type="cellIs" dxfId="6" priority="7" operator="lessThan">
      <formula>#REF!</formula>
    </cfRule>
  </conditionalFormatting>
  <conditionalFormatting sqref="E61">
    <cfRule type="cellIs" dxfId="5" priority="6" operator="lessThan">
      <formula>#REF!</formula>
    </cfRule>
  </conditionalFormatting>
  <conditionalFormatting sqref="E61">
    <cfRule type="cellIs" dxfId="4" priority="5" operator="lessThan">
      <formula>#REF!</formula>
    </cfRule>
  </conditionalFormatting>
  <conditionalFormatting sqref="E62">
    <cfRule type="cellIs" dxfId="3" priority="4" operator="lessThan">
      <formula>#REF!</formula>
    </cfRule>
  </conditionalFormatting>
  <conditionalFormatting sqref="E62">
    <cfRule type="cellIs" dxfId="2" priority="3" operator="lessThan">
      <formula>#REF!</formula>
    </cfRule>
  </conditionalFormatting>
  <conditionalFormatting sqref="E64">
    <cfRule type="cellIs" dxfId="1" priority="2" operator="lessThan">
      <formula>#REF!</formula>
    </cfRule>
  </conditionalFormatting>
  <conditionalFormatting sqref="E64">
    <cfRule type="cellIs" dxfId="0" priority="1" operator="lessThan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103"/>
  <sheetViews>
    <sheetView workbookViewId="0">
      <selection activeCell="I7" sqref="I7"/>
    </sheetView>
  </sheetViews>
  <sheetFormatPr baseColWidth="10" defaultRowHeight="15"/>
  <sheetData>
    <row r="1" spans="1:20">
      <c r="B1" s="86" t="s">
        <v>75</v>
      </c>
      <c r="C1" s="86" t="s">
        <v>43</v>
      </c>
      <c r="D1" s="86" t="s">
        <v>25</v>
      </c>
      <c r="E1" s="86" t="s">
        <v>84</v>
      </c>
      <c r="F1" s="85" t="s">
        <v>85</v>
      </c>
      <c r="G1" s="85" t="s">
        <v>38</v>
      </c>
      <c r="H1" s="85" t="s">
        <v>86</v>
      </c>
      <c r="I1" s="85" t="s">
        <v>88</v>
      </c>
      <c r="J1" s="85" t="s">
        <v>62</v>
      </c>
      <c r="K1" t="s">
        <v>70</v>
      </c>
      <c r="L1" t="s">
        <v>82</v>
      </c>
      <c r="M1" t="s">
        <v>59</v>
      </c>
      <c r="R1" s="94" t="s">
        <v>209</v>
      </c>
      <c r="S1" s="94"/>
      <c r="T1" s="94"/>
    </row>
    <row r="2" spans="1:20">
      <c r="A2" t="s">
        <v>275</v>
      </c>
    </row>
    <row r="3" spans="1:20">
      <c r="A3" t="s">
        <v>186</v>
      </c>
      <c r="B3" t="s">
        <v>187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I3" t="s">
        <v>187</v>
      </c>
      <c r="J3" t="s">
        <v>187</v>
      </c>
      <c r="K3" t="s">
        <v>187</v>
      </c>
      <c r="L3" t="s">
        <v>187</v>
      </c>
      <c r="M3" t="s">
        <v>187</v>
      </c>
    </row>
    <row r="4" spans="1:20">
      <c r="A4" s="82">
        <v>43195</v>
      </c>
      <c r="B4">
        <v>7.9333619999999998</v>
      </c>
      <c r="C4">
        <v>1.0416909999999999</v>
      </c>
      <c r="D4">
        <v>7.1438430000000004</v>
      </c>
      <c r="E4">
        <v>6.9815160000000001</v>
      </c>
      <c r="F4">
        <v>4.2932370000000004</v>
      </c>
      <c r="G4">
        <v>6.2734639999999997</v>
      </c>
      <c r="H4">
        <v>4.2070410000000003</v>
      </c>
      <c r="I4">
        <v>0.67094200000000004</v>
      </c>
      <c r="J4">
        <v>3.4902310000000001</v>
      </c>
      <c r="K4">
        <v>3.2719710000000002</v>
      </c>
      <c r="L4">
        <v>3.4194610000000001</v>
      </c>
      <c r="M4">
        <v>0.35384199999999999</v>
      </c>
    </row>
    <row r="5" spans="1:20">
      <c r="A5" s="82">
        <v>43194</v>
      </c>
      <c r="B5">
        <v>7.9283590000000004</v>
      </c>
      <c r="C5">
        <v>1.0414950000000001</v>
      </c>
      <c r="D5">
        <v>7.1388800000000003</v>
      </c>
      <c r="E5">
        <v>6.9765579999999998</v>
      </c>
      <c r="F5">
        <v>4.2902889999999996</v>
      </c>
      <c r="G5">
        <v>6.2688309999999996</v>
      </c>
      <c r="H5">
        <v>4.2042250000000001</v>
      </c>
      <c r="I5">
        <v>0.670014</v>
      </c>
      <c r="J5">
        <v>3.4882529999999998</v>
      </c>
      <c r="K5">
        <v>3.270241</v>
      </c>
      <c r="L5">
        <v>3.417414</v>
      </c>
      <c r="M5">
        <v>0.35356799999999999</v>
      </c>
    </row>
    <row r="6" spans="1:20">
      <c r="A6" s="82">
        <v>43193</v>
      </c>
      <c r="B6">
        <v>7.923362</v>
      </c>
      <c r="C6">
        <v>1.041398</v>
      </c>
      <c r="D6">
        <v>7.1342369999999997</v>
      </c>
      <c r="E6">
        <v>6.971597</v>
      </c>
      <c r="F6">
        <v>4.2874189999999999</v>
      </c>
      <c r="G6">
        <v>6.264818</v>
      </c>
      <c r="H6">
        <v>4.2015979999999997</v>
      </c>
      <c r="I6">
        <v>0.66983199999999998</v>
      </c>
      <c r="J6">
        <v>3.4861249999999999</v>
      </c>
      <c r="K6">
        <v>3.2684799999999998</v>
      </c>
      <c r="L6">
        <v>3.4153500000000001</v>
      </c>
      <c r="M6">
        <v>0.353404</v>
      </c>
    </row>
    <row r="7" spans="1:20">
      <c r="A7" s="82">
        <v>43187</v>
      </c>
      <c r="B7">
        <v>7.896306</v>
      </c>
      <c r="C7">
        <v>1.041191</v>
      </c>
      <c r="D7">
        <v>7.1263569999999996</v>
      </c>
      <c r="E7">
        <v>6.9614229999999999</v>
      </c>
      <c r="F7">
        <v>4.2840619999999996</v>
      </c>
      <c r="G7">
        <v>6.2566560000000004</v>
      </c>
      <c r="H7">
        <v>4.1965510000000004</v>
      </c>
      <c r="I7">
        <v>0.668906</v>
      </c>
      <c r="J7">
        <v>3.4739659999999999</v>
      </c>
      <c r="K7">
        <v>3.2580499999999999</v>
      </c>
      <c r="L7">
        <v>3.4032719999999999</v>
      </c>
      <c r="M7">
        <v>0.35231600000000002</v>
      </c>
    </row>
    <row r="8" spans="1:20">
      <c r="A8" s="82">
        <v>43186</v>
      </c>
      <c r="B8">
        <v>7.8913070000000003</v>
      </c>
      <c r="C8">
        <v>1.0408550000000001</v>
      </c>
      <c r="D8">
        <v>7.100428</v>
      </c>
      <c r="E8">
        <v>6.9377760000000004</v>
      </c>
      <c r="F8">
        <v>4.2597930000000002</v>
      </c>
      <c r="G8">
        <v>6.234369</v>
      </c>
      <c r="H8">
        <v>4.1819059999999997</v>
      </c>
      <c r="I8">
        <v>0.66899799999999998</v>
      </c>
      <c r="J8">
        <v>3.4720170000000001</v>
      </c>
      <c r="K8">
        <v>3.2554319999999999</v>
      </c>
      <c r="L8">
        <v>3.4012799999999999</v>
      </c>
      <c r="M8">
        <v>0.351995</v>
      </c>
    </row>
    <row r="9" spans="1:20">
      <c r="A9" s="82">
        <v>43185</v>
      </c>
      <c r="B9">
        <v>7.8865850000000002</v>
      </c>
      <c r="C9">
        <v>1.0406260000000001</v>
      </c>
      <c r="D9">
        <v>7.0955899999999996</v>
      </c>
      <c r="E9">
        <v>6.933789</v>
      </c>
      <c r="F9">
        <v>4.2572099999999997</v>
      </c>
      <c r="G9">
        <v>6.2301570000000002</v>
      </c>
      <c r="H9">
        <v>4.1789849999999999</v>
      </c>
      <c r="I9">
        <v>0.66820000000000002</v>
      </c>
      <c r="J9">
        <v>3.4699559999999998</v>
      </c>
      <c r="K9">
        <v>3.2516620000000001</v>
      </c>
      <c r="L9">
        <v>3.3990529999999999</v>
      </c>
      <c r="M9">
        <v>0.351576</v>
      </c>
    </row>
    <row r="10" spans="1:20">
      <c r="A10" s="82">
        <v>43182</v>
      </c>
      <c r="B10">
        <v>7.8713930000000003</v>
      </c>
      <c r="C10">
        <v>1.040505</v>
      </c>
      <c r="D10">
        <v>7.0904179999999997</v>
      </c>
      <c r="E10">
        <v>6.9271799999999999</v>
      </c>
      <c r="F10">
        <v>4.2546210000000002</v>
      </c>
      <c r="G10">
        <v>6.2251240000000001</v>
      </c>
      <c r="H10">
        <v>4.1756880000000001</v>
      </c>
      <c r="I10">
        <v>0.66689799999999999</v>
      </c>
      <c r="J10">
        <v>3.463873</v>
      </c>
      <c r="K10">
        <v>3.2449669999999999</v>
      </c>
      <c r="L10">
        <v>3.393078</v>
      </c>
      <c r="M10">
        <v>0.350962</v>
      </c>
    </row>
    <row r="11" spans="1:20">
      <c r="A11" s="82">
        <v>43181</v>
      </c>
      <c r="B11">
        <v>7.8665250000000002</v>
      </c>
      <c r="C11">
        <v>1.040351</v>
      </c>
      <c r="D11">
        <v>7.0771730000000002</v>
      </c>
      <c r="E11">
        <v>6.915527</v>
      </c>
      <c r="F11">
        <v>4.2463680000000004</v>
      </c>
      <c r="G11">
        <v>6.2142090000000003</v>
      </c>
      <c r="H11">
        <v>4.1682759999999996</v>
      </c>
      <c r="I11">
        <v>0.666771</v>
      </c>
      <c r="J11">
        <v>3.4620320000000002</v>
      </c>
      <c r="K11">
        <v>3.2430870000000001</v>
      </c>
      <c r="L11">
        <v>3.3910040000000001</v>
      </c>
      <c r="M11">
        <v>0.35065499999999999</v>
      </c>
    </row>
    <row r="12" spans="1:20">
      <c r="A12" s="82">
        <v>43180</v>
      </c>
      <c r="B12">
        <v>7.8616979999999996</v>
      </c>
      <c r="C12">
        <v>1.04023</v>
      </c>
      <c r="D12">
        <v>7.0736230000000004</v>
      </c>
      <c r="E12">
        <v>6.9123089999999996</v>
      </c>
      <c r="F12">
        <v>4.2433540000000001</v>
      </c>
      <c r="G12">
        <v>6.2111799999999997</v>
      </c>
      <c r="H12">
        <v>4.1652300000000002</v>
      </c>
      <c r="I12">
        <v>0.66700400000000004</v>
      </c>
      <c r="J12">
        <v>3.459946</v>
      </c>
      <c r="K12">
        <v>3.2413669999999999</v>
      </c>
      <c r="L12">
        <v>3.3886940000000001</v>
      </c>
      <c r="M12">
        <v>0.35042400000000001</v>
      </c>
    </row>
    <row r="13" spans="1:20">
      <c r="A13" s="82">
        <v>43179</v>
      </c>
      <c r="B13">
        <v>7.8568389999999999</v>
      </c>
      <c r="C13">
        <v>1.040157</v>
      </c>
      <c r="D13">
        <v>7.0678380000000001</v>
      </c>
      <c r="E13">
        <v>6.908455</v>
      </c>
      <c r="F13">
        <v>4.2405169999999996</v>
      </c>
      <c r="G13">
        <v>6.2053609999999999</v>
      </c>
      <c r="H13">
        <v>4.1628160000000003</v>
      </c>
      <c r="I13">
        <v>0.66673099999999996</v>
      </c>
      <c r="J13">
        <v>3.4575550000000002</v>
      </c>
      <c r="K13">
        <v>3.2385220000000001</v>
      </c>
      <c r="L13">
        <v>3.3865729999999998</v>
      </c>
      <c r="M13">
        <v>0.35002299999999997</v>
      </c>
    </row>
    <row r="14" spans="1:20">
      <c r="A14" s="82">
        <v>43178</v>
      </c>
      <c r="B14">
        <v>7.85189</v>
      </c>
      <c r="C14">
        <v>1.0400780000000001</v>
      </c>
      <c r="D14">
        <v>7.0622889999999998</v>
      </c>
      <c r="E14">
        <v>6.9010619999999996</v>
      </c>
      <c r="F14">
        <v>4.2374609999999997</v>
      </c>
      <c r="G14">
        <v>6.2009689999999997</v>
      </c>
      <c r="H14">
        <v>4.1596260000000003</v>
      </c>
      <c r="I14">
        <v>0.66507099999999997</v>
      </c>
      <c r="J14">
        <v>3.4554619999999998</v>
      </c>
      <c r="K14">
        <v>3.2367089999999998</v>
      </c>
      <c r="L14">
        <v>3.383184</v>
      </c>
      <c r="M14">
        <v>0.349775</v>
      </c>
    </row>
    <row r="15" spans="1:20">
      <c r="A15" s="82">
        <v>43175</v>
      </c>
      <c r="B15">
        <v>7.8366769999999999</v>
      </c>
      <c r="C15">
        <v>1.040049</v>
      </c>
      <c r="D15">
        <v>7.0558909999999999</v>
      </c>
      <c r="E15">
        <v>6.8946870000000002</v>
      </c>
      <c r="F15">
        <v>4.2346529999999998</v>
      </c>
      <c r="G15">
        <v>6.1956429999999996</v>
      </c>
      <c r="H15">
        <v>4.1562289999999997</v>
      </c>
      <c r="I15">
        <v>0.66491400000000001</v>
      </c>
      <c r="J15">
        <v>3.450132</v>
      </c>
      <c r="K15">
        <v>3.2310989999999999</v>
      </c>
      <c r="L15">
        <v>3.375712</v>
      </c>
      <c r="M15">
        <v>0.34925200000000001</v>
      </c>
    </row>
    <row r="16" spans="1:20">
      <c r="A16" s="82">
        <v>43174</v>
      </c>
      <c r="B16">
        <v>7.831747</v>
      </c>
      <c r="C16">
        <v>1.0399290000000001</v>
      </c>
      <c r="D16">
        <v>7.0428139999999999</v>
      </c>
      <c r="E16">
        <v>6.88246</v>
      </c>
      <c r="F16">
        <v>4.2260799999999996</v>
      </c>
      <c r="G16">
        <v>6.1840970000000004</v>
      </c>
      <c r="H16">
        <v>4.1485599999999998</v>
      </c>
      <c r="I16">
        <v>0.66655399999999998</v>
      </c>
      <c r="J16">
        <v>3.447565</v>
      </c>
      <c r="K16">
        <v>3.2292139999999998</v>
      </c>
      <c r="L16">
        <v>3.3736410000000001</v>
      </c>
      <c r="M16">
        <v>0.34909400000000002</v>
      </c>
    </row>
    <row r="17" spans="1:13">
      <c r="A17" s="82">
        <v>43173</v>
      </c>
      <c r="B17">
        <v>7.8268069999999996</v>
      </c>
      <c r="C17">
        <v>1.0398259999999999</v>
      </c>
      <c r="D17">
        <v>7.0383209999999998</v>
      </c>
      <c r="E17">
        <v>6.8779000000000003</v>
      </c>
      <c r="F17">
        <v>4.2233000000000001</v>
      </c>
      <c r="G17">
        <v>6.18011</v>
      </c>
      <c r="H17">
        <v>4.1459799999999998</v>
      </c>
      <c r="I17">
        <v>0.66433299999999995</v>
      </c>
      <c r="J17">
        <v>3.4454910000000001</v>
      </c>
      <c r="K17">
        <v>3.2273170000000002</v>
      </c>
      <c r="L17">
        <v>3.3720469999999998</v>
      </c>
      <c r="M17">
        <v>0.348798</v>
      </c>
    </row>
    <row r="18" spans="1:13">
      <c r="A18" s="82">
        <v>43172</v>
      </c>
      <c r="B18">
        <v>7.8217970000000001</v>
      </c>
      <c r="C18">
        <v>1.039739</v>
      </c>
      <c r="D18">
        <v>7.0331619999999999</v>
      </c>
      <c r="E18">
        <v>6.872903</v>
      </c>
      <c r="F18">
        <v>4.2202929999999999</v>
      </c>
      <c r="G18">
        <v>6.1756419999999999</v>
      </c>
      <c r="H18">
        <v>4.1428950000000002</v>
      </c>
      <c r="I18">
        <v>0.66366000000000003</v>
      </c>
      <c r="J18">
        <v>3.4433660000000001</v>
      </c>
      <c r="K18">
        <v>3.2252610000000002</v>
      </c>
      <c r="L18">
        <v>3.3699810000000001</v>
      </c>
      <c r="M18">
        <v>0.34857300000000002</v>
      </c>
    </row>
    <row r="19" spans="1:13">
      <c r="A19" s="82">
        <v>43171</v>
      </c>
      <c r="B19">
        <v>7.8168749999999996</v>
      </c>
      <c r="C19">
        <v>1.0396510000000001</v>
      </c>
      <c r="D19">
        <v>7.0283290000000003</v>
      </c>
      <c r="E19">
        <v>6.8680729999999999</v>
      </c>
      <c r="F19">
        <v>4.2174050000000003</v>
      </c>
      <c r="G19">
        <v>6.1713149999999999</v>
      </c>
      <c r="H19">
        <v>4.1401070000000004</v>
      </c>
      <c r="I19">
        <v>0.66330100000000003</v>
      </c>
      <c r="J19">
        <v>3.4415749999999998</v>
      </c>
      <c r="K19">
        <v>3.223363</v>
      </c>
      <c r="L19">
        <v>3.3679830000000002</v>
      </c>
      <c r="M19">
        <v>0.34836800000000001</v>
      </c>
    </row>
    <row r="20" spans="1:13">
      <c r="A20" s="82">
        <v>43168</v>
      </c>
      <c r="B20">
        <v>7.8018929999999997</v>
      </c>
      <c r="C20">
        <v>1.039334</v>
      </c>
      <c r="D20">
        <v>7.021846</v>
      </c>
      <c r="E20">
        <v>6.8618069999999998</v>
      </c>
      <c r="F20">
        <v>4.2143490000000003</v>
      </c>
      <c r="G20">
        <v>6.165826</v>
      </c>
      <c r="H20">
        <v>4.1365239999999996</v>
      </c>
      <c r="I20">
        <v>0.66378000000000004</v>
      </c>
      <c r="J20">
        <v>3.4360110000000001</v>
      </c>
      <c r="K20">
        <v>3.217787</v>
      </c>
      <c r="L20">
        <v>3.362365</v>
      </c>
      <c r="M20">
        <v>0.34776200000000002</v>
      </c>
    </row>
    <row r="21" spans="1:13">
      <c r="A21" s="82">
        <v>43167</v>
      </c>
      <c r="B21">
        <v>7.7969530000000002</v>
      </c>
      <c r="C21">
        <v>1.0392479999999999</v>
      </c>
      <c r="D21">
        <v>7.0094859999999999</v>
      </c>
      <c r="E21">
        <v>6.8495840000000001</v>
      </c>
      <c r="F21">
        <v>4.2059670000000002</v>
      </c>
      <c r="G21">
        <v>6.1547580000000002</v>
      </c>
      <c r="H21">
        <v>4.1289949999999997</v>
      </c>
      <c r="I21">
        <v>0.66427800000000004</v>
      </c>
      <c r="J21">
        <v>3.4342220000000001</v>
      </c>
      <c r="K21">
        <v>3.2157360000000001</v>
      </c>
      <c r="L21">
        <v>3.3601749999999999</v>
      </c>
      <c r="M21">
        <v>0.34761900000000001</v>
      </c>
    </row>
    <row r="22" spans="1:13">
      <c r="A22" s="82">
        <v>43166</v>
      </c>
      <c r="B22">
        <v>7.7920870000000004</v>
      </c>
      <c r="C22">
        <v>1.039142</v>
      </c>
      <c r="D22">
        <v>7.0045489999999999</v>
      </c>
      <c r="E22">
        <v>6.8447079999999998</v>
      </c>
      <c r="F22">
        <v>4.2030609999999999</v>
      </c>
      <c r="G22">
        <v>6.150525</v>
      </c>
      <c r="H22">
        <v>4.125972</v>
      </c>
      <c r="I22">
        <v>0.66477799999999998</v>
      </c>
      <c r="J22">
        <v>3.4318569999999999</v>
      </c>
      <c r="K22">
        <v>3.2139519999999999</v>
      </c>
      <c r="L22">
        <v>3.3579059999999998</v>
      </c>
      <c r="M22">
        <v>0.34747099999999997</v>
      </c>
    </row>
    <row r="23" spans="1:13">
      <c r="A23" s="82">
        <v>43165</v>
      </c>
      <c r="B23">
        <v>7.7871519999999999</v>
      </c>
      <c r="C23">
        <v>1.0391090000000001</v>
      </c>
      <c r="D23">
        <v>6.9993650000000001</v>
      </c>
      <c r="E23">
        <v>6.839995</v>
      </c>
      <c r="F23">
        <v>4.2001020000000002</v>
      </c>
      <c r="G23">
        <v>6.1462430000000001</v>
      </c>
      <c r="H23">
        <v>4.1232069999999998</v>
      </c>
      <c r="I23">
        <v>0.66901999999999995</v>
      </c>
      <c r="J23">
        <v>3.4292340000000001</v>
      </c>
      <c r="K23">
        <v>3.2125059999999999</v>
      </c>
      <c r="L23">
        <v>3.355537</v>
      </c>
      <c r="M23">
        <v>0.34710999999999997</v>
      </c>
    </row>
    <row r="24" spans="1:13">
      <c r="A24" s="82">
        <v>43164</v>
      </c>
      <c r="B24">
        <v>7.7822810000000002</v>
      </c>
      <c r="C24">
        <v>1.0390809999999999</v>
      </c>
      <c r="D24">
        <v>6.9944220000000001</v>
      </c>
      <c r="E24">
        <v>6.8354900000000001</v>
      </c>
      <c r="F24">
        <v>4.1973440000000002</v>
      </c>
      <c r="G24">
        <v>6.1419769999999998</v>
      </c>
      <c r="H24">
        <v>4.1204359999999998</v>
      </c>
      <c r="I24">
        <v>0.66618299999999997</v>
      </c>
      <c r="J24">
        <v>3.4274830000000001</v>
      </c>
      <c r="K24">
        <v>3.2108020000000002</v>
      </c>
      <c r="L24">
        <v>3.3510490000000002</v>
      </c>
      <c r="M24">
        <v>0.34680800000000001</v>
      </c>
    </row>
    <row r="25" spans="1:13">
      <c r="A25" s="82">
        <v>43161</v>
      </c>
      <c r="B25">
        <v>7.7673819999999996</v>
      </c>
      <c r="C25">
        <v>1.039075</v>
      </c>
      <c r="D25">
        <v>6.986713</v>
      </c>
      <c r="E25">
        <v>6.8286980000000002</v>
      </c>
      <c r="F25">
        <v>4.1945249999999996</v>
      </c>
      <c r="G25">
        <v>6.1367510000000003</v>
      </c>
      <c r="H25">
        <v>4.1168940000000003</v>
      </c>
      <c r="I25">
        <v>0.66719499999999998</v>
      </c>
      <c r="J25">
        <v>3.4208129999999999</v>
      </c>
      <c r="K25">
        <v>3.2055349999999998</v>
      </c>
      <c r="L25">
        <v>3.3450479999999998</v>
      </c>
      <c r="M25">
        <v>0.34628199999999998</v>
      </c>
    </row>
    <row r="26" spans="1:13">
      <c r="A26" s="82">
        <v>43160</v>
      </c>
      <c r="B26">
        <v>7.7625820000000001</v>
      </c>
      <c r="C26">
        <v>1.038975</v>
      </c>
      <c r="D26">
        <v>6.9743259999999996</v>
      </c>
      <c r="E26">
        <v>6.8163600000000004</v>
      </c>
      <c r="F26">
        <v>4.1857389999999999</v>
      </c>
      <c r="G26">
        <v>6.1251139999999999</v>
      </c>
      <c r="H26">
        <v>4.1090609999999996</v>
      </c>
      <c r="I26">
        <v>0.66514300000000004</v>
      </c>
      <c r="J26">
        <v>3.4185859999999999</v>
      </c>
      <c r="K26">
        <v>3.203252</v>
      </c>
      <c r="L26">
        <v>3.3430270000000002</v>
      </c>
      <c r="M26">
        <v>0.34602500000000003</v>
      </c>
    </row>
    <row r="27" spans="1:13">
      <c r="A27" s="82">
        <v>43159</v>
      </c>
      <c r="B27">
        <v>7.757924</v>
      </c>
      <c r="C27">
        <v>1.038875</v>
      </c>
      <c r="D27">
        <v>6.9696470000000001</v>
      </c>
      <c r="E27">
        <v>6.8114249999999998</v>
      </c>
      <c r="F27">
        <v>4.1829499999999999</v>
      </c>
      <c r="G27">
        <v>6.1210170000000002</v>
      </c>
      <c r="H27">
        <v>4.1061709999999998</v>
      </c>
      <c r="I27">
        <v>0.66378999999999999</v>
      </c>
      <c r="J27">
        <v>3.4169890000000001</v>
      </c>
      <c r="K27">
        <v>3.2014520000000002</v>
      </c>
      <c r="L27">
        <v>3.341011</v>
      </c>
      <c r="M27">
        <v>0.345725</v>
      </c>
    </row>
    <row r="28" spans="1:13">
      <c r="A28" s="82">
        <v>43158</v>
      </c>
      <c r="B28">
        <v>7.7530539999999997</v>
      </c>
      <c r="C28">
        <v>1.03881</v>
      </c>
      <c r="D28">
        <v>6.9652019999999997</v>
      </c>
      <c r="E28">
        <v>6.8067849999999996</v>
      </c>
      <c r="F28">
        <v>4.1802510000000002</v>
      </c>
      <c r="G28">
        <v>6.1170179999999998</v>
      </c>
      <c r="H28">
        <v>4.1036520000000003</v>
      </c>
      <c r="I28">
        <v>0.66466800000000004</v>
      </c>
      <c r="J28">
        <v>3.4150299999999998</v>
      </c>
      <c r="K28">
        <v>3.1997559999999998</v>
      </c>
      <c r="L28">
        <v>3.3389829999999998</v>
      </c>
      <c r="M28">
        <v>0.34533700000000001</v>
      </c>
    </row>
    <row r="29" spans="1:13">
      <c r="A29" s="82">
        <v>43157</v>
      </c>
      <c r="B29">
        <v>7.7482110000000004</v>
      </c>
      <c r="C29">
        <v>1.0387109999999999</v>
      </c>
      <c r="D29">
        <v>6.9603789999999996</v>
      </c>
      <c r="E29">
        <v>6.8014219999999996</v>
      </c>
      <c r="F29">
        <v>4.1774240000000002</v>
      </c>
      <c r="G29">
        <v>6.1127739999999999</v>
      </c>
      <c r="H29">
        <v>4.1007600000000002</v>
      </c>
      <c r="I29">
        <v>0.67045500000000002</v>
      </c>
      <c r="J29">
        <v>3.411988</v>
      </c>
      <c r="K29">
        <v>3.197962</v>
      </c>
      <c r="L29">
        <v>3.3369239999999998</v>
      </c>
      <c r="M29">
        <v>0.345387</v>
      </c>
    </row>
    <row r="30" spans="1:13">
      <c r="A30" s="82">
        <v>43154</v>
      </c>
      <c r="B30">
        <v>7.7334449999999997</v>
      </c>
      <c r="C30">
        <v>1.0386089999999999</v>
      </c>
      <c r="D30">
        <v>6.9549519999999996</v>
      </c>
      <c r="E30">
        <v>6.794543</v>
      </c>
      <c r="F30">
        <v>4.1746949999999998</v>
      </c>
      <c r="G30">
        <v>6.1078239999999999</v>
      </c>
      <c r="H30">
        <v>4.097378</v>
      </c>
      <c r="I30">
        <v>0.66618999999999995</v>
      </c>
      <c r="J30">
        <v>3.4056139999999999</v>
      </c>
      <c r="K30">
        <v>3.1924860000000002</v>
      </c>
      <c r="L30">
        <v>3.330749</v>
      </c>
      <c r="M30">
        <v>0.34471099999999999</v>
      </c>
    </row>
    <row r="31" spans="1:13">
      <c r="A31" s="82">
        <v>43153</v>
      </c>
      <c r="B31">
        <v>7.7286599999999996</v>
      </c>
      <c r="C31">
        <v>1.0385340000000001</v>
      </c>
      <c r="D31">
        <v>6.9412500000000001</v>
      </c>
      <c r="E31">
        <v>6.7824059999999999</v>
      </c>
      <c r="F31">
        <v>4.1664909999999997</v>
      </c>
      <c r="G31">
        <v>6.0964410000000004</v>
      </c>
      <c r="H31">
        <v>4.0901620000000003</v>
      </c>
      <c r="I31">
        <v>0.66554599999999997</v>
      </c>
      <c r="J31">
        <v>3.403616</v>
      </c>
      <c r="K31">
        <v>3.1908150000000002</v>
      </c>
      <c r="L31">
        <v>3.328783</v>
      </c>
      <c r="M31">
        <v>0.34435700000000002</v>
      </c>
    </row>
    <row r="32" spans="1:13">
      <c r="A32" s="82">
        <v>43152</v>
      </c>
      <c r="B32">
        <v>7.723808</v>
      </c>
      <c r="C32">
        <v>1.038443</v>
      </c>
      <c r="D32">
        <v>6.9359710000000003</v>
      </c>
      <c r="E32">
        <v>6.7772880000000004</v>
      </c>
      <c r="F32">
        <v>4.163373</v>
      </c>
      <c r="G32">
        <v>6.0917779999999997</v>
      </c>
      <c r="H32">
        <v>4.0865</v>
      </c>
      <c r="I32">
        <v>0.66463399999999995</v>
      </c>
      <c r="J32">
        <v>3.4013620000000002</v>
      </c>
      <c r="K32">
        <v>3.1890390000000002</v>
      </c>
      <c r="L32">
        <v>3.3269359999999999</v>
      </c>
      <c r="M32">
        <v>0.344192</v>
      </c>
    </row>
    <row r="33" spans="1:13">
      <c r="A33" s="82">
        <v>43151</v>
      </c>
      <c r="B33">
        <v>7.718998</v>
      </c>
      <c r="C33">
        <v>1.0383709999999999</v>
      </c>
      <c r="D33">
        <v>6.9320190000000004</v>
      </c>
      <c r="E33">
        <v>6.7733429999999997</v>
      </c>
      <c r="F33">
        <v>4.1609569999999998</v>
      </c>
      <c r="G33">
        <v>6.0871599999999999</v>
      </c>
      <c r="H33">
        <v>4.0840389999999998</v>
      </c>
      <c r="I33">
        <v>0.66262699999999997</v>
      </c>
      <c r="J33">
        <v>3.3997489999999999</v>
      </c>
      <c r="K33">
        <v>3.1871269999999998</v>
      </c>
      <c r="L33">
        <v>3.324821</v>
      </c>
      <c r="M33">
        <v>0.34385100000000002</v>
      </c>
    </row>
    <row r="34" spans="1:13">
      <c r="A34" s="82">
        <v>43150</v>
      </c>
      <c r="B34">
        <v>7.7139179999999996</v>
      </c>
      <c r="C34">
        <v>1.038279</v>
      </c>
      <c r="D34">
        <v>6.9251820000000004</v>
      </c>
      <c r="E34">
        <v>6.7680689999999997</v>
      </c>
      <c r="F34">
        <v>4.1577380000000002</v>
      </c>
      <c r="G34">
        <v>6.0827299999999997</v>
      </c>
      <c r="H34">
        <v>4.0802050000000003</v>
      </c>
      <c r="I34">
        <v>0.66316299999999995</v>
      </c>
      <c r="J34">
        <v>3.3973550000000001</v>
      </c>
      <c r="K34">
        <v>3.1856589999999998</v>
      </c>
      <c r="L34">
        <v>3.322835</v>
      </c>
      <c r="M34">
        <v>0.34370200000000001</v>
      </c>
    </row>
    <row r="35" spans="1:13">
      <c r="A35" s="82">
        <v>43147</v>
      </c>
      <c r="B35">
        <v>7.6987059999999996</v>
      </c>
      <c r="C35">
        <v>1.0382</v>
      </c>
      <c r="D35">
        <v>6.9107430000000001</v>
      </c>
      <c r="E35">
        <v>6.7605750000000002</v>
      </c>
      <c r="F35">
        <v>4.1542240000000001</v>
      </c>
      <c r="G35">
        <v>6.0770949999999999</v>
      </c>
      <c r="H35">
        <v>4.0761539999999998</v>
      </c>
      <c r="I35">
        <v>0.660103</v>
      </c>
      <c r="J35">
        <v>3.3911549999999999</v>
      </c>
      <c r="K35">
        <v>3.1804749999999999</v>
      </c>
      <c r="L35">
        <v>3.3168980000000001</v>
      </c>
      <c r="M35">
        <v>0.343028</v>
      </c>
    </row>
    <row r="36" spans="1:13">
      <c r="A36" s="82">
        <v>43146</v>
      </c>
      <c r="B36">
        <v>7.6935929999999999</v>
      </c>
      <c r="C36">
        <v>1.0380309999999999</v>
      </c>
      <c r="D36">
        <v>6.9056470000000001</v>
      </c>
      <c r="E36">
        <v>6.748176</v>
      </c>
      <c r="F36">
        <v>4.1454620000000002</v>
      </c>
      <c r="G36">
        <v>6.065137</v>
      </c>
      <c r="H36">
        <v>4.0683509999999998</v>
      </c>
      <c r="I36">
        <v>0.65792099999999998</v>
      </c>
      <c r="J36">
        <v>3.3904380000000001</v>
      </c>
      <c r="K36">
        <v>3.178957</v>
      </c>
      <c r="L36">
        <v>3.3144070000000001</v>
      </c>
      <c r="M36">
        <v>0.34275600000000001</v>
      </c>
    </row>
    <row r="37" spans="1:13">
      <c r="A37" s="82">
        <v>43145</v>
      </c>
      <c r="B37">
        <v>7.6886979999999996</v>
      </c>
      <c r="C37">
        <v>1.037933</v>
      </c>
      <c r="D37">
        <v>6.9018309999999996</v>
      </c>
      <c r="E37">
        <v>6.7438219999999998</v>
      </c>
      <c r="F37">
        <v>4.1428510000000003</v>
      </c>
      <c r="G37">
        <v>6.0613539999999997</v>
      </c>
      <c r="H37">
        <v>4.0656670000000004</v>
      </c>
      <c r="I37">
        <v>0.66227499999999995</v>
      </c>
      <c r="J37">
        <v>3.3889109999999998</v>
      </c>
      <c r="K37">
        <v>3.1772279999999999</v>
      </c>
      <c r="L37">
        <v>3.3123969999999998</v>
      </c>
      <c r="M37">
        <v>0.34244599999999997</v>
      </c>
    </row>
    <row r="38" spans="1:13">
      <c r="A38" s="82">
        <v>43140</v>
      </c>
      <c r="B38">
        <v>7.6633969999999998</v>
      </c>
      <c r="C38">
        <v>1.0379290000000001</v>
      </c>
      <c r="D38">
        <v>6.8938309999999996</v>
      </c>
      <c r="E38">
        <v>6.7356860000000003</v>
      </c>
      <c r="F38">
        <v>4.1404129999999997</v>
      </c>
      <c r="G38">
        <v>6.0553100000000004</v>
      </c>
      <c r="H38">
        <v>4.062138</v>
      </c>
      <c r="I38">
        <v>0.66270600000000002</v>
      </c>
      <c r="J38">
        <v>3.3791630000000001</v>
      </c>
      <c r="K38">
        <v>3.168831</v>
      </c>
      <c r="L38">
        <v>3.3023220000000002</v>
      </c>
      <c r="M38">
        <v>0.34119300000000002</v>
      </c>
    </row>
    <row r="39" spans="1:13">
      <c r="A39" s="82">
        <v>43139</v>
      </c>
      <c r="B39">
        <v>7.6584519999999996</v>
      </c>
      <c r="C39">
        <v>1.037841</v>
      </c>
      <c r="D39">
        <v>6.8757580000000003</v>
      </c>
      <c r="E39">
        <v>6.7182300000000001</v>
      </c>
      <c r="F39">
        <v>4.1266639999999999</v>
      </c>
      <c r="G39">
        <v>6.0375189999999996</v>
      </c>
      <c r="H39">
        <v>4.0503359999999997</v>
      </c>
      <c r="I39">
        <v>0.66166199999999997</v>
      </c>
      <c r="J39">
        <v>3.3758629999999998</v>
      </c>
      <c r="K39">
        <v>3.1669640000000001</v>
      </c>
      <c r="L39">
        <v>3.3001809999999998</v>
      </c>
      <c r="M39">
        <v>0.34099699999999999</v>
      </c>
    </row>
    <row r="40" spans="1:13">
      <c r="A40" s="82">
        <v>43138</v>
      </c>
      <c r="B40">
        <v>7.653505</v>
      </c>
      <c r="C40">
        <v>1.0378350000000001</v>
      </c>
      <c r="D40">
        <v>6.8712169999999997</v>
      </c>
      <c r="E40">
        <v>6.7137469999999997</v>
      </c>
      <c r="F40">
        <v>4.1238400000000004</v>
      </c>
      <c r="G40">
        <v>6.0333779999999999</v>
      </c>
      <c r="H40">
        <v>4.0476510000000001</v>
      </c>
      <c r="I40">
        <v>0.65652200000000005</v>
      </c>
      <c r="J40">
        <v>3.373259</v>
      </c>
      <c r="K40">
        <v>3.1652239999999998</v>
      </c>
      <c r="L40">
        <v>3.2982649999999998</v>
      </c>
      <c r="M40">
        <v>0.34099299999999999</v>
      </c>
    </row>
    <row r="41" spans="1:13">
      <c r="A41" s="82">
        <v>43137</v>
      </c>
      <c r="B41">
        <v>7.6486499999999999</v>
      </c>
      <c r="C41">
        <v>1.037744</v>
      </c>
      <c r="D41">
        <v>6.8665989999999999</v>
      </c>
      <c r="E41">
        <v>6.7092710000000002</v>
      </c>
      <c r="F41">
        <v>4.1210380000000004</v>
      </c>
      <c r="G41">
        <v>6.0290460000000001</v>
      </c>
      <c r="H41">
        <v>4.044905</v>
      </c>
      <c r="I41">
        <v>0.65342100000000003</v>
      </c>
      <c r="J41">
        <v>3.3709220000000002</v>
      </c>
      <c r="K41">
        <v>3.1636489999999999</v>
      </c>
      <c r="L41">
        <v>3.296262</v>
      </c>
      <c r="M41">
        <v>0.34072400000000003</v>
      </c>
    </row>
    <row r="42" spans="1:13">
      <c r="A42" s="82">
        <v>43136</v>
      </c>
      <c r="B42">
        <v>7.6438940000000004</v>
      </c>
      <c r="C42">
        <v>1.0377190000000001</v>
      </c>
      <c r="D42">
        <v>6.8621629999999998</v>
      </c>
      <c r="E42">
        <v>6.7043569999999999</v>
      </c>
      <c r="F42">
        <v>4.1181239999999999</v>
      </c>
      <c r="G42">
        <v>6.0246579999999996</v>
      </c>
      <c r="H42">
        <v>4.0420740000000004</v>
      </c>
      <c r="I42">
        <v>0.65225999999999995</v>
      </c>
      <c r="J42">
        <v>3.3690340000000001</v>
      </c>
      <c r="K42">
        <v>3.1619410000000001</v>
      </c>
      <c r="L42">
        <v>3.2941590000000001</v>
      </c>
      <c r="M42">
        <v>0.34051700000000001</v>
      </c>
    </row>
    <row r="43" spans="1:13">
      <c r="A43" s="82">
        <v>43133</v>
      </c>
      <c r="B43">
        <v>7.6291919999999998</v>
      </c>
      <c r="C43">
        <v>1.0377149999999999</v>
      </c>
      <c r="D43">
        <v>6.8543950000000002</v>
      </c>
      <c r="E43">
        <v>6.6979930000000003</v>
      </c>
      <c r="F43">
        <v>4.1153029999999999</v>
      </c>
      <c r="G43">
        <v>6.0193399999999997</v>
      </c>
      <c r="H43">
        <v>4.038475</v>
      </c>
      <c r="I43">
        <v>0.65249699999999999</v>
      </c>
      <c r="J43">
        <v>3.3626659999999999</v>
      </c>
      <c r="K43">
        <v>3.1568520000000002</v>
      </c>
      <c r="L43">
        <v>3.2881749999999998</v>
      </c>
      <c r="M43">
        <v>0.33996599999999999</v>
      </c>
    </row>
    <row r="44" spans="1:13">
      <c r="A44" s="82">
        <v>43132</v>
      </c>
      <c r="B44">
        <v>7.6242780000000003</v>
      </c>
      <c r="C44">
        <v>1.0375449999999999</v>
      </c>
      <c r="D44">
        <v>6.843483</v>
      </c>
      <c r="E44">
        <v>6.6858899999999997</v>
      </c>
      <c r="F44">
        <v>4.1062969999999996</v>
      </c>
      <c r="G44">
        <v>6.0078250000000004</v>
      </c>
      <c r="H44">
        <v>4.0309600000000003</v>
      </c>
      <c r="I44">
        <v>0.65004099999999998</v>
      </c>
      <c r="J44">
        <v>3.361761</v>
      </c>
      <c r="K44">
        <v>3.1550379999999998</v>
      </c>
      <c r="L44">
        <v>3.286241</v>
      </c>
      <c r="M44">
        <v>0.33969700000000003</v>
      </c>
    </row>
    <row r="45" spans="1:13">
      <c r="A45" s="82">
        <v>43131</v>
      </c>
      <c r="B45">
        <v>7.6197509999999999</v>
      </c>
      <c r="C45">
        <v>1.037461</v>
      </c>
      <c r="D45">
        <v>6.8388879999999999</v>
      </c>
      <c r="E45">
        <v>6.6811509999999998</v>
      </c>
      <c r="F45">
        <v>4.1032349999999997</v>
      </c>
      <c r="G45">
        <v>6.003717</v>
      </c>
      <c r="H45">
        <v>4.0281289999999998</v>
      </c>
      <c r="I45">
        <v>0.65503400000000001</v>
      </c>
      <c r="J45">
        <v>3.3601429999999999</v>
      </c>
      <c r="K45">
        <v>3.1533069999999999</v>
      </c>
      <c r="L45">
        <v>3.2842690000000001</v>
      </c>
      <c r="M45">
        <v>0.339777</v>
      </c>
    </row>
    <row r="46" spans="1:13">
      <c r="A46" s="82">
        <v>43130</v>
      </c>
      <c r="B46">
        <v>7.6151400000000002</v>
      </c>
      <c r="C46">
        <v>1.0374019999999999</v>
      </c>
      <c r="D46">
        <v>6.8346099999999996</v>
      </c>
      <c r="E46">
        <v>6.6766079999999999</v>
      </c>
      <c r="F46">
        <v>4.0996160000000001</v>
      </c>
      <c r="G46">
        <v>5.9998100000000001</v>
      </c>
      <c r="H46">
        <v>4.0255960000000002</v>
      </c>
      <c r="I46">
        <v>0.65363400000000005</v>
      </c>
      <c r="J46">
        <v>3.3578899999999998</v>
      </c>
      <c r="K46">
        <v>3.1517930000000001</v>
      </c>
      <c r="L46">
        <v>3.2822659999999999</v>
      </c>
      <c r="M46">
        <v>0.33937299999999998</v>
      </c>
    </row>
    <row r="47" spans="1:13">
      <c r="A47" s="82">
        <v>43129</v>
      </c>
      <c r="B47">
        <v>7.610309</v>
      </c>
      <c r="C47">
        <v>1.03738</v>
      </c>
      <c r="D47">
        <v>6.8298589999999999</v>
      </c>
      <c r="E47">
        <v>6.6718440000000001</v>
      </c>
      <c r="F47">
        <v>4.0968090000000004</v>
      </c>
      <c r="G47">
        <v>5.9956209999999999</v>
      </c>
      <c r="H47">
        <v>4.0216880000000002</v>
      </c>
      <c r="I47">
        <v>0.65896999999999994</v>
      </c>
      <c r="J47">
        <v>3.355861</v>
      </c>
      <c r="K47">
        <v>3.1502699999999999</v>
      </c>
      <c r="L47">
        <v>3.280303</v>
      </c>
      <c r="M47">
        <v>0.33920499999999998</v>
      </c>
    </row>
    <row r="48" spans="1:13">
      <c r="A48" s="82">
        <v>43126</v>
      </c>
      <c r="B48">
        <v>7.5956960000000002</v>
      </c>
      <c r="C48">
        <v>1.0372790000000001</v>
      </c>
      <c r="D48">
        <v>6.8246779999999996</v>
      </c>
      <c r="E48">
        <v>6.6659470000000001</v>
      </c>
      <c r="F48">
        <v>4.094061</v>
      </c>
      <c r="G48">
        <v>5.9904390000000003</v>
      </c>
      <c r="H48">
        <v>4.0182789999999997</v>
      </c>
      <c r="I48">
        <v>0.65901799999999999</v>
      </c>
      <c r="J48">
        <v>3.3503470000000002</v>
      </c>
      <c r="K48">
        <v>3.1456680000000001</v>
      </c>
      <c r="L48">
        <v>3.27433</v>
      </c>
      <c r="M48">
        <v>0.33865400000000001</v>
      </c>
    </row>
    <row r="49" spans="1:13">
      <c r="A49" s="82">
        <v>43125</v>
      </c>
      <c r="B49">
        <v>7.5908920000000002</v>
      </c>
      <c r="C49">
        <v>1.0371109999999999</v>
      </c>
      <c r="D49">
        <v>6.8116250000000003</v>
      </c>
      <c r="E49">
        <v>6.6531229999999999</v>
      </c>
      <c r="F49">
        <v>4.0857640000000002</v>
      </c>
      <c r="G49">
        <v>5.9792129999999997</v>
      </c>
      <c r="H49">
        <v>4.010961</v>
      </c>
      <c r="I49">
        <v>0.65833600000000003</v>
      </c>
      <c r="J49">
        <v>3.3483510000000001</v>
      </c>
      <c r="K49">
        <v>3.1441270000000001</v>
      </c>
      <c r="L49">
        <v>3.272335</v>
      </c>
      <c r="M49">
        <v>0.33839999999999998</v>
      </c>
    </row>
    <row r="50" spans="1:13">
      <c r="A50" s="82">
        <v>43124</v>
      </c>
      <c r="B50">
        <v>7.5859230000000002</v>
      </c>
      <c r="C50">
        <v>1.0369440000000001</v>
      </c>
      <c r="D50">
        <v>6.8070599999999999</v>
      </c>
      <c r="E50">
        <v>6.6478260000000002</v>
      </c>
      <c r="F50">
        <v>4.0831720000000002</v>
      </c>
      <c r="G50">
        <v>5.9751659999999998</v>
      </c>
      <c r="H50">
        <v>4.0082789999999999</v>
      </c>
      <c r="I50">
        <v>0.66085300000000002</v>
      </c>
      <c r="J50">
        <v>3.344716</v>
      </c>
      <c r="K50">
        <v>3.1425700000000001</v>
      </c>
      <c r="L50">
        <v>3.2703220000000002</v>
      </c>
      <c r="M50">
        <v>0.33832299999999998</v>
      </c>
    </row>
    <row r="51" spans="1:13">
      <c r="A51" s="82">
        <v>43123</v>
      </c>
      <c r="B51">
        <v>7.5811289999999998</v>
      </c>
      <c r="C51">
        <v>1.036853</v>
      </c>
      <c r="D51">
        <v>6.8029029999999997</v>
      </c>
      <c r="E51">
        <v>6.6438560000000004</v>
      </c>
      <c r="F51">
        <v>4.080298</v>
      </c>
      <c r="G51">
        <v>5.9714749999999999</v>
      </c>
      <c r="H51">
        <v>4.0059319999999996</v>
      </c>
      <c r="I51">
        <v>0.65475399999999995</v>
      </c>
      <c r="J51">
        <v>3.3418519999999998</v>
      </c>
      <c r="K51">
        <v>3.141041</v>
      </c>
      <c r="L51">
        <v>3.268386</v>
      </c>
      <c r="M51">
        <v>0.33782299999999998</v>
      </c>
    </row>
    <row r="52" spans="1:13">
      <c r="A52" s="82">
        <v>43122</v>
      </c>
      <c r="B52">
        <v>7.5765690000000001</v>
      </c>
      <c r="C52">
        <v>1.0367649999999999</v>
      </c>
      <c r="D52">
        <v>6.7972970000000004</v>
      </c>
      <c r="E52">
        <v>6.6380549999999996</v>
      </c>
      <c r="F52">
        <v>4.0770860000000004</v>
      </c>
      <c r="G52">
        <v>5.9665100000000004</v>
      </c>
      <c r="H52">
        <v>4.0026419999999998</v>
      </c>
      <c r="I52">
        <v>0.65028399999999997</v>
      </c>
      <c r="J52">
        <v>3.339181</v>
      </c>
      <c r="K52">
        <v>3.1395040000000001</v>
      </c>
      <c r="L52">
        <v>3.2660300000000002</v>
      </c>
      <c r="M52">
        <v>0.33742299999999997</v>
      </c>
    </row>
    <row r="53" spans="1:13">
      <c r="A53" s="82">
        <v>43119</v>
      </c>
      <c r="B53">
        <v>7.5620380000000003</v>
      </c>
      <c r="C53">
        <v>1.036513</v>
      </c>
      <c r="D53">
        <v>6.7910250000000003</v>
      </c>
      <c r="E53">
        <v>6.6310229999999999</v>
      </c>
      <c r="F53">
        <v>4.0742510000000003</v>
      </c>
      <c r="G53">
        <v>5.9614339999999997</v>
      </c>
      <c r="H53">
        <v>3.999301</v>
      </c>
      <c r="I53">
        <v>0.64715400000000001</v>
      </c>
      <c r="J53">
        <v>3.332865</v>
      </c>
      <c r="K53">
        <v>3.134862</v>
      </c>
      <c r="L53">
        <v>3.2600310000000001</v>
      </c>
      <c r="M53">
        <v>0.33671099999999998</v>
      </c>
    </row>
    <row r="54" spans="1:13">
      <c r="A54" s="82">
        <v>43118</v>
      </c>
      <c r="B54">
        <v>7.5574300000000001</v>
      </c>
      <c r="C54">
        <v>1.0363439999999999</v>
      </c>
      <c r="D54">
        <v>6.7785399999999996</v>
      </c>
      <c r="E54">
        <v>6.6199579999999996</v>
      </c>
      <c r="F54">
        <v>4.0662440000000002</v>
      </c>
      <c r="G54">
        <v>5.9502680000000003</v>
      </c>
      <c r="H54">
        <v>3.9918900000000002</v>
      </c>
      <c r="I54">
        <v>0.644092</v>
      </c>
      <c r="J54">
        <v>3.3308879999999998</v>
      </c>
      <c r="K54">
        <v>3.1332629999999999</v>
      </c>
      <c r="L54">
        <v>3.258057</v>
      </c>
      <c r="M54">
        <v>0.33637499999999998</v>
      </c>
    </row>
    <row r="55" spans="1:13">
      <c r="A55" s="82">
        <v>43117</v>
      </c>
      <c r="B55">
        <v>7.5527160000000002</v>
      </c>
      <c r="C55">
        <v>1.036171</v>
      </c>
      <c r="D55">
        <v>6.7737420000000004</v>
      </c>
      <c r="E55">
        <v>6.6152769999999999</v>
      </c>
      <c r="F55">
        <v>4.0632380000000001</v>
      </c>
      <c r="G55">
        <v>5.9460329999999999</v>
      </c>
      <c r="H55">
        <v>3.9889999999999999</v>
      </c>
      <c r="I55">
        <v>0.64310199999999995</v>
      </c>
      <c r="J55">
        <v>3.329285</v>
      </c>
      <c r="K55">
        <v>3.1316199999999998</v>
      </c>
      <c r="L55">
        <v>3.256094</v>
      </c>
      <c r="M55">
        <v>0.336175</v>
      </c>
    </row>
    <row r="56" spans="1:13">
      <c r="A56" s="82">
        <v>43116</v>
      </c>
      <c r="B56">
        <v>7.5479310000000002</v>
      </c>
      <c r="C56">
        <v>1.0360799999999999</v>
      </c>
      <c r="D56">
        <v>6.7692059999999996</v>
      </c>
      <c r="E56">
        <v>6.6113039999999996</v>
      </c>
      <c r="F56">
        <v>4.0604449999999996</v>
      </c>
      <c r="G56">
        <v>5.9422709999999999</v>
      </c>
      <c r="H56">
        <v>3.985544</v>
      </c>
      <c r="I56">
        <v>0.64459699999999998</v>
      </c>
      <c r="J56">
        <v>3.3267530000000001</v>
      </c>
      <c r="K56">
        <v>3.1300249999999998</v>
      </c>
      <c r="L56">
        <v>3.254124</v>
      </c>
      <c r="M56">
        <v>0.33607599999999999</v>
      </c>
    </row>
    <row r="57" spans="1:13">
      <c r="A57" s="82">
        <v>43115</v>
      </c>
      <c r="B57">
        <v>7.542948</v>
      </c>
      <c r="C57">
        <v>1.035989</v>
      </c>
      <c r="D57">
        <v>6.7636370000000001</v>
      </c>
      <c r="E57">
        <v>6.6054959999999996</v>
      </c>
      <c r="F57">
        <v>4.057474</v>
      </c>
      <c r="G57">
        <v>5.9373509999999996</v>
      </c>
      <c r="H57">
        <v>3.9833069999999999</v>
      </c>
      <c r="I57">
        <v>0.64115900000000003</v>
      </c>
      <c r="J57">
        <v>3.324484</v>
      </c>
      <c r="K57">
        <v>3.1285210000000001</v>
      </c>
      <c r="L57">
        <v>3.2521409999999999</v>
      </c>
      <c r="M57">
        <v>0.33562399999999998</v>
      </c>
    </row>
    <row r="58" spans="1:13">
      <c r="A58" s="82">
        <v>43112</v>
      </c>
      <c r="B58">
        <v>7.5278710000000002</v>
      </c>
      <c r="C58">
        <v>1.0357400000000001</v>
      </c>
      <c r="D58">
        <v>6.7564039999999999</v>
      </c>
      <c r="E58">
        <v>6.5993209999999998</v>
      </c>
      <c r="F58">
        <v>4.0546730000000002</v>
      </c>
      <c r="G58">
        <v>5.9317929999999999</v>
      </c>
      <c r="H58">
        <v>3.9796109999999998</v>
      </c>
      <c r="I58">
        <v>0.63891900000000001</v>
      </c>
      <c r="J58">
        <v>3.3171970000000002</v>
      </c>
      <c r="K58">
        <v>3.1239330000000001</v>
      </c>
      <c r="L58">
        <v>3.246184</v>
      </c>
      <c r="M58">
        <v>0.33494800000000002</v>
      </c>
    </row>
    <row r="59" spans="1:13">
      <c r="A59" s="82">
        <v>43111</v>
      </c>
      <c r="B59">
        <v>7.522926</v>
      </c>
      <c r="C59">
        <v>1.0355529999999999</v>
      </c>
      <c r="D59">
        <v>6.7445000000000004</v>
      </c>
      <c r="E59">
        <v>6.5878610000000002</v>
      </c>
      <c r="F59">
        <v>4.0463149999999999</v>
      </c>
      <c r="G59">
        <v>5.9203979999999996</v>
      </c>
      <c r="H59">
        <v>3.9721880000000001</v>
      </c>
      <c r="I59">
        <v>0.63863899999999996</v>
      </c>
      <c r="J59">
        <v>3.3155860000000001</v>
      </c>
      <c r="K59">
        <v>3.1223939999999999</v>
      </c>
      <c r="L59">
        <v>3.244192</v>
      </c>
      <c r="M59">
        <v>0.33471699999999999</v>
      </c>
    </row>
    <row r="60" spans="1:13">
      <c r="A60" s="82">
        <v>43110</v>
      </c>
      <c r="B60">
        <v>7.5180090000000002</v>
      </c>
      <c r="C60">
        <v>1.0353870000000001</v>
      </c>
      <c r="D60">
        <v>6.7405109999999997</v>
      </c>
      <c r="E60">
        <v>6.584104</v>
      </c>
      <c r="F60">
        <v>4.0438419999999997</v>
      </c>
      <c r="G60">
        <v>5.9168289999999999</v>
      </c>
      <c r="H60">
        <v>3.9698069999999999</v>
      </c>
      <c r="I60">
        <v>0.637015</v>
      </c>
      <c r="J60">
        <v>3.314578</v>
      </c>
      <c r="K60">
        <v>3.1208490000000002</v>
      </c>
      <c r="L60">
        <v>3.242197</v>
      </c>
      <c r="M60">
        <v>0.33428600000000003</v>
      </c>
    </row>
    <row r="61" spans="1:13">
      <c r="A61" s="82">
        <v>43109</v>
      </c>
      <c r="B61">
        <v>7.5131600000000001</v>
      </c>
      <c r="C61">
        <v>1.0353079999999999</v>
      </c>
      <c r="D61">
        <v>6.7357909999999999</v>
      </c>
      <c r="E61">
        <v>6.5794860000000002</v>
      </c>
      <c r="F61">
        <v>4.0409709999999999</v>
      </c>
      <c r="G61">
        <v>5.9124470000000002</v>
      </c>
      <c r="H61">
        <v>3.9669249999999998</v>
      </c>
      <c r="I61">
        <v>0.64339999999999997</v>
      </c>
      <c r="J61">
        <v>3.3139660000000002</v>
      </c>
      <c r="K61">
        <v>3.1193219999999999</v>
      </c>
      <c r="L61">
        <v>3.2401949999999999</v>
      </c>
      <c r="M61">
        <v>0.33454800000000001</v>
      </c>
    </row>
    <row r="62" spans="1:13">
      <c r="A62" s="82">
        <v>43108</v>
      </c>
      <c r="B62">
        <v>7.5082440000000004</v>
      </c>
      <c r="C62">
        <v>1.035223</v>
      </c>
      <c r="D62">
        <v>6.7309650000000003</v>
      </c>
      <c r="E62">
        <v>6.5750289999999998</v>
      </c>
      <c r="F62">
        <v>4.038335</v>
      </c>
      <c r="G62">
        <v>5.9080649999999997</v>
      </c>
      <c r="H62">
        <v>3.9640300000000002</v>
      </c>
      <c r="I62">
        <v>0.64537500000000003</v>
      </c>
      <c r="J62">
        <v>3.311353</v>
      </c>
      <c r="K62">
        <v>3.117766</v>
      </c>
      <c r="L62">
        <v>3.2382049999999998</v>
      </c>
      <c r="M62">
        <v>0.33448</v>
      </c>
    </row>
    <row r="63" spans="1:13">
      <c r="A63" s="82">
        <v>43105</v>
      </c>
      <c r="B63">
        <v>7.4937250000000004</v>
      </c>
      <c r="C63">
        <v>1.034961</v>
      </c>
      <c r="D63">
        <v>6.7273639999999997</v>
      </c>
      <c r="E63">
        <v>6.5690179999999998</v>
      </c>
      <c r="F63">
        <v>4.0355809999999996</v>
      </c>
      <c r="G63">
        <v>5.9028099999999997</v>
      </c>
      <c r="H63">
        <v>3.960194</v>
      </c>
      <c r="I63">
        <v>0.64134599999999997</v>
      </c>
      <c r="J63">
        <v>3.305482</v>
      </c>
      <c r="K63">
        <v>3.1131039999999999</v>
      </c>
      <c r="L63">
        <v>3.2323590000000002</v>
      </c>
      <c r="M63">
        <v>0.33354800000000001</v>
      </c>
    </row>
    <row r="64" spans="1:13">
      <c r="A64" s="82">
        <v>43104</v>
      </c>
      <c r="B64">
        <v>7.4889830000000002</v>
      </c>
      <c r="C64">
        <v>1.034845</v>
      </c>
      <c r="D64">
        <v>6.7119739999999997</v>
      </c>
      <c r="E64">
        <v>6.5564359999999997</v>
      </c>
      <c r="F64">
        <v>4.0267090000000003</v>
      </c>
      <c r="G64">
        <v>5.8917549999999999</v>
      </c>
      <c r="H64">
        <v>3.9529070000000002</v>
      </c>
      <c r="I64">
        <v>0.63643300000000003</v>
      </c>
      <c r="J64">
        <v>3.301946</v>
      </c>
      <c r="K64">
        <v>3.1122299999999998</v>
      </c>
      <c r="L64">
        <v>3.23034</v>
      </c>
      <c r="M64">
        <v>0.33300000000000002</v>
      </c>
    </row>
    <row r="65" spans="1:13">
      <c r="A65" s="82">
        <v>43103</v>
      </c>
      <c r="B65">
        <v>7.4842510000000004</v>
      </c>
      <c r="C65">
        <v>1.03467</v>
      </c>
      <c r="D65">
        <v>6.7076229999999999</v>
      </c>
      <c r="E65">
        <v>6.5522429999999998</v>
      </c>
      <c r="F65">
        <v>4.024057</v>
      </c>
      <c r="G65">
        <v>5.8879390000000003</v>
      </c>
      <c r="H65">
        <v>3.9503430000000002</v>
      </c>
      <c r="I65">
        <v>0.63186500000000001</v>
      </c>
      <c r="J65">
        <v>3.3003010000000002</v>
      </c>
      <c r="K65">
        <v>3.1105160000000001</v>
      </c>
      <c r="L65">
        <v>3.2284359999999999</v>
      </c>
      <c r="M65">
        <v>0.33254699999999998</v>
      </c>
    </row>
    <row r="66" spans="1:13">
      <c r="A66" s="82">
        <v>43102</v>
      </c>
      <c r="B66">
        <v>7.4794799999999997</v>
      </c>
      <c r="C66">
        <v>1.0346200000000001</v>
      </c>
      <c r="D66">
        <v>6.7025899999999998</v>
      </c>
      <c r="E66">
        <v>6.547644</v>
      </c>
      <c r="F66">
        <v>4.0213489999999998</v>
      </c>
      <c r="G66">
        <v>5.8838480000000004</v>
      </c>
      <c r="H66">
        <v>3.9475340000000001</v>
      </c>
      <c r="I66">
        <v>0.631969</v>
      </c>
      <c r="J66">
        <v>3.2984049999999998</v>
      </c>
      <c r="K66">
        <v>3.1087959999999999</v>
      </c>
      <c r="L66">
        <v>3.2264729999999999</v>
      </c>
      <c r="M66">
        <v>0.33229399999999998</v>
      </c>
    </row>
    <row r="67" spans="1:13">
      <c r="A67" s="82">
        <v>43098</v>
      </c>
      <c r="B67">
        <v>7.4615919999999996</v>
      </c>
      <c r="C67">
        <v>1.0344120000000001</v>
      </c>
      <c r="D67">
        <v>6.6987860000000001</v>
      </c>
      <c r="E67">
        <v>6.5394959999999998</v>
      </c>
      <c r="F67">
        <v>4.0181120000000004</v>
      </c>
      <c r="G67">
        <v>5.8788970000000003</v>
      </c>
      <c r="H67">
        <v>3.9447890000000001</v>
      </c>
      <c r="I67">
        <v>0.63544999999999996</v>
      </c>
      <c r="J67">
        <v>3.2946270000000002</v>
      </c>
      <c r="K67">
        <v>3.1022530000000001</v>
      </c>
      <c r="L67">
        <v>3.2196579999999999</v>
      </c>
      <c r="M67">
        <v>0.332036</v>
      </c>
    </row>
    <row r="68" spans="1:13">
      <c r="A68" s="82">
        <v>43097</v>
      </c>
      <c r="B68">
        <v>7.4568469999999998</v>
      </c>
      <c r="C68">
        <v>1.0342789999999999</v>
      </c>
      <c r="D68">
        <v>6.6656550000000001</v>
      </c>
      <c r="E68">
        <v>6.5227279999999999</v>
      </c>
      <c r="F68">
        <v>4.0036589999999999</v>
      </c>
      <c r="G68">
        <v>5.861726</v>
      </c>
      <c r="H68">
        <v>3.9338950000000001</v>
      </c>
      <c r="I68">
        <v>0.64171299999999998</v>
      </c>
      <c r="J68">
        <v>3.2886099999999998</v>
      </c>
      <c r="K68">
        <v>3.100536</v>
      </c>
      <c r="L68">
        <v>3.2163360000000001</v>
      </c>
      <c r="M68">
        <v>0.33238400000000001</v>
      </c>
    </row>
    <row r="69" spans="1:13">
      <c r="A69" s="82">
        <v>43096</v>
      </c>
      <c r="B69">
        <v>7.452064</v>
      </c>
      <c r="C69">
        <v>1.0340849999999999</v>
      </c>
      <c r="D69">
        <v>6.6530250000000004</v>
      </c>
      <c r="E69">
        <v>6.5086060000000003</v>
      </c>
      <c r="F69">
        <v>3.9979469999999999</v>
      </c>
      <c r="G69">
        <v>5.8469569999999997</v>
      </c>
      <c r="H69">
        <v>3.9223590000000002</v>
      </c>
      <c r="I69">
        <v>0.63012800000000002</v>
      </c>
      <c r="J69">
        <v>3.282626</v>
      </c>
      <c r="K69">
        <v>3.0987990000000001</v>
      </c>
      <c r="L69">
        <v>3.214137</v>
      </c>
      <c r="M69">
        <v>0.33178999999999997</v>
      </c>
    </row>
    <row r="70" spans="1:13">
      <c r="A70" s="82">
        <v>43095</v>
      </c>
      <c r="B70">
        <v>7.4473130000000003</v>
      </c>
      <c r="C70">
        <v>1.033995</v>
      </c>
      <c r="D70">
        <v>6.6506910000000001</v>
      </c>
      <c r="E70">
        <v>6.5042489999999997</v>
      </c>
      <c r="F70">
        <v>3.995317</v>
      </c>
      <c r="G70">
        <v>5.842886</v>
      </c>
      <c r="H70">
        <v>3.9198620000000002</v>
      </c>
      <c r="I70">
        <v>0.62707599999999997</v>
      </c>
      <c r="J70">
        <v>3.2799019999999999</v>
      </c>
      <c r="K70">
        <v>3.0970960000000001</v>
      </c>
      <c r="L70">
        <v>3.2121029999999999</v>
      </c>
      <c r="M70">
        <v>0.33130500000000002</v>
      </c>
    </row>
    <row r="71" spans="1:13">
      <c r="A71" s="82">
        <v>43091</v>
      </c>
      <c r="B71">
        <v>7.4277430000000004</v>
      </c>
      <c r="C71">
        <v>1.033655</v>
      </c>
      <c r="D71">
        <v>6.6424269999999996</v>
      </c>
      <c r="E71">
        <v>6.4954390000000002</v>
      </c>
      <c r="F71">
        <v>3.9924339999999998</v>
      </c>
      <c r="G71">
        <v>5.8369020000000003</v>
      </c>
      <c r="H71">
        <v>3.9156689999999998</v>
      </c>
      <c r="I71">
        <v>0.62222900000000003</v>
      </c>
      <c r="J71">
        <v>3.2711359999999998</v>
      </c>
      <c r="K71">
        <v>3.0902289999999999</v>
      </c>
      <c r="L71">
        <v>3.2049910000000001</v>
      </c>
      <c r="M71">
        <v>0.33075500000000002</v>
      </c>
    </row>
    <row r="72" spans="1:13">
      <c r="A72" s="82">
        <v>43090</v>
      </c>
      <c r="B72">
        <v>7.422714</v>
      </c>
      <c r="C72">
        <v>1.0334950000000001</v>
      </c>
      <c r="D72">
        <v>6.6246049999999999</v>
      </c>
      <c r="E72">
        <v>6.4810290000000004</v>
      </c>
      <c r="F72">
        <v>3.981468</v>
      </c>
      <c r="G72">
        <v>5.8217049999999997</v>
      </c>
      <c r="H72">
        <v>3.9059940000000002</v>
      </c>
      <c r="I72">
        <v>0.619672</v>
      </c>
      <c r="J72">
        <v>3.2670780000000001</v>
      </c>
      <c r="K72">
        <v>3.088508</v>
      </c>
      <c r="L72">
        <v>3.2020430000000002</v>
      </c>
      <c r="M72">
        <v>0.33044299999999999</v>
      </c>
    </row>
    <row r="73" spans="1:13">
      <c r="A73" s="82">
        <v>43089</v>
      </c>
      <c r="B73">
        <v>7.4179490000000001</v>
      </c>
      <c r="C73">
        <v>1.033282</v>
      </c>
      <c r="D73">
        <v>6.6193030000000004</v>
      </c>
      <c r="E73">
        <v>6.476267</v>
      </c>
      <c r="F73">
        <v>3.9787340000000002</v>
      </c>
      <c r="G73">
        <v>5.8174279999999996</v>
      </c>
      <c r="H73">
        <v>3.9027630000000002</v>
      </c>
      <c r="I73">
        <v>0.61541100000000004</v>
      </c>
      <c r="J73">
        <v>3.2648739999999998</v>
      </c>
      <c r="K73">
        <v>3.0868139999999999</v>
      </c>
      <c r="L73">
        <v>3.2000980000000001</v>
      </c>
      <c r="M73">
        <v>0.33008300000000002</v>
      </c>
    </row>
    <row r="74" spans="1:13">
      <c r="A74" s="82">
        <v>43088</v>
      </c>
      <c r="B74">
        <v>7.4128160000000003</v>
      </c>
      <c r="C74">
        <v>1.0331969999999999</v>
      </c>
      <c r="D74">
        <v>6.6133649999999999</v>
      </c>
      <c r="E74">
        <v>6.4710580000000002</v>
      </c>
      <c r="F74">
        <v>3.9754320000000001</v>
      </c>
      <c r="G74">
        <v>5.8113169999999998</v>
      </c>
      <c r="H74">
        <v>3.9000759999999999</v>
      </c>
      <c r="I74">
        <v>0.61385599999999996</v>
      </c>
      <c r="J74">
        <v>3.2625199999999999</v>
      </c>
      <c r="K74">
        <v>3.085099</v>
      </c>
      <c r="L74">
        <v>3.1981009999999999</v>
      </c>
      <c r="M74">
        <v>0.329845</v>
      </c>
    </row>
    <row r="75" spans="1:13">
      <c r="A75" s="82">
        <v>43087</v>
      </c>
      <c r="B75">
        <v>7.4077830000000002</v>
      </c>
      <c r="C75">
        <v>1.033112</v>
      </c>
      <c r="D75">
        <v>6.6045369999999997</v>
      </c>
      <c r="E75">
        <v>6.4641669999999998</v>
      </c>
      <c r="F75">
        <v>3.9718019999999998</v>
      </c>
      <c r="G75">
        <v>5.8066820000000003</v>
      </c>
      <c r="H75">
        <v>3.895184</v>
      </c>
      <c r="I75">
        <v>0.61150499999999997</v>
      </c>
      <c r="J75">
        <v>3.263007</v>
      </c>
      <c r="K75">
        <v>3.0831469999999999</v>
      </c>
      <c r="L75">
        <v>3.1960540000000002</v>
      </c>
      <c r="M75">
        <v>0.329598</v>
      </c>
    </row>
    <row r="76" spans="1:13">
      <c r="A76" s="82">
        <v>43084</v>
      </c>
      <c r="B76">
        <v>7.3922819999999998</v>
      </c>
      <c r="C76">
        <v>1.032891</v>
      </c>
      <c r="D76">
        <v>6.5996300000000003</v>
      </c>
      <c r="E76">
        <v>6.4574590000000001</v>
      </c>
      <c r="F76">
        <v>3.9683860000000002</v>
      </c>
      <c r="G76">
        <v>5.8009500000000003</v>
      </c>
      <c r="H76">
        <v>3.8916140000000001</v>
      </c>
      <c r="I76">
        <v>0.61010500000000001</v>
      </c>
      <c r="J76">
        <v>3.257158</v>
      </c>
      <c r="K76">
        <v>3.0778729999999999</v>
      </c>
      <c r="L76">
        <v>3.1907009999999998</v>
      </c>
      <c r="M76">
        <v>0.32904600000000001</v>
      </c>
    </row>
    <row r="77" spans="1:13">
      <c r="A77" s="82">
        <v>43083</v>
      </c>
      <c r="B77">
        <v>7.3871779999999996</v>
      </c>
      <c r="C77">
        <v>1.032775</v>
      </c>
      <c r="D77">
        <v>6.5837640000000004</v>
      </c>
      <c r="E77">
        <v>6.4453889999999996</v>
      </c>
      <c r="F77">
        <v>3.9591470000000002</v>
      </c>
      <c r="G77">
        <v>5.7894769999999998</v>
      </c>
      <c r="H77">
        <v>3.8839250000000001</v>
      </c>
      <c r="I77">
        <v>0.60793900000000001</v>
      </c>
      <c r="J77">
        <v>3.2534779999999999</v>
      </c>
      <c r="K77">
        <v>3.0761620000000001</v>
      </c>
      <c r="L77">
        <v>3.1869010000000002</v>
      </c>
      <c r="M77">
        <v>0.32841599999999999</v>
      </c>
    </row>
    <row r="78" spans="1:13">
      <c r="A78" s="82">
        <v>43082</v>
      </c>
      <c r="B78">
        <v>7.3820600000000001</v>
      </c>
      <c r="C78">
        <v>1.03261</v>
      </c>
      <c r="D78">
        <v>6.5789989999999996</v>
      </c>
      <c r="E78">
        <v>6.4413590000000003</v>
      </c>
      <c r="F78">
        <v>3.9562710000000001</v>
      </c>
      <c r="G78">
        <v>5.7852680000000003</v>
      </c>
      <c r="H78">
        <v>3.8811640000000001</v>
      </c>
      <c r="I78">
        <v>0.60589800000000005</v>
      </c>
      <c r="J78">
        <v>3.251471</v>
      </c>
      <c r="K78">
        <v>3.0744470000000002</v>
      </c>
      <c r="L78">
        <v>3.1849090000000002</v>
      </c>
      <c r="M78">
        <v>0.32831199999999999</v>
      </c>
    </row>
    <row r="79" spans="1:13">
      <c r="A79" s="82">
        <v>43081</v>
      </c>
      <c r="B79">
        <v>7.3769460000000002</v>
      </c>
      <c r="C79">
        <v>1.032527</v>
      </c>
      <c r="D79">
        <v>6.574058</v>
      </c>
      <c r="E79">
        <v>6.4371479999999996</v>
      </c>
      <c r="F79">
        <v>3.953303</v>
      </c>
      <c r="G79">
        <v>5.7809720000000002</v>
      </c>
      <c r="H79">
        <v>3.878374</v>
      </c>
      <c r="I79">
        <v>0.60641599999999996</v>
      </c>
      <c r="J79">
        <v>3.2492030000000001</v>
      </c>
      <c r="K79">
        <v>3.0727310000000001</v>
      </c>
      <c r="L79">
        <v>3.1827740000000002</v>
      </c>
      <c r="M79">
        <v>0.32813100000000001</v>
      </c>
    </row>
    <row r="80" spans="1:13">
      <c r="A80" s="82">
        <v>43080</v>
      </c>
      <c r="B80">
        <v>7.3719799999999998</v>
      </c>
      <c r="C80">
        <v>1.03244</v>
      </c>
      <c r="D80">
        <v>6.5692709999999996</v>
      </c>
      <c r="E80">
        <v>6.4322030000000003</v>
      </c>
      <c r="F80">
        <v>3.9502700000000002</v>
      </c>
      <c r="G80">
        <v>5.776688</v>
      </c>
      <c r="H80">
        <v>3.875489</v>
      </c>
      <c r="I80">
        <v>0.60471900000000001</v>
      </c>
      <c r="J80">
        <v>3.2477580000000001</v>
      </c>
      <c r="K80">
        <v>3.0709970000000002</v>
      </c>
      <c r="L80">
        <v>3.1805789999999998</v>
      </c>
      <c r="M80">
        <v>0.327901</v>
      </c>
    </row>
    <row r="81" spans="1:13">
      <c r="A81" s="82">
        <v>43076</v>
      </c>
      <c r="B81">
        <v>7.351667</v>
      </c>
      <c r="C81">
        <v>1.0321880000000001</v>
      </c>
      <c r="D81">
        <v>6.5612050000000002</v>
      </c>
      <c r="E81">
        <v>6.4257549999999997</v>
      </c>
      <c r="F81">
        <v>3.9478399999999998</v>
      </c>
      <c r="G81">
        <v>5.7708199999999996</v>
      </c>
      <c r="H81">
        <v>3.871788</v>
      </c>
      <c r="I81">
        <v>0.60476700000000005</v>
      </c>
      <c r="J81">
        <v>3.2394270000000001</v>
      </c>
      <c r="K81">
        <v>3.0641449999999999</v>
      </c>
      <c r="L81">
        <v>3.1741329999999999</v>
      </c>
      <c r="M81">
        <v>0.32722299999999999</v>
      </c>
    </row>
    <row r="82" spans="1:13">
      <c r="A82" s="82">
        <v>43075</v>
      </c>
      <c r="B82">
        <v>7.3468439999999999</v>
      </c>
      <c r="C82">
        <v>1.032011</v>
      </c>
      <c r="D82">
        <v>6.5456209999999997</v>
      </c>
      <c r="E82">
        <v>6.4091709999999997</v>
      </c>
      <c r="F82">
        <v>3.9361760000000001</v>
      </c>
      <c r="G82">
        <v>5.7554369999999997</v>
      </c>
      <c r="H82">
        <v>3.861548</v>
      </c>
      <c r="I82">
        <v>0.603495</v>
      </c>
      <c r="J82">
        <v>3.2364120000000001</v>
      </c>
      <c r="K82">
        <v>3.0624210000000001</v>
      </c>
      <c r="L82">
        <v>3.170442</v>
      </c>
      <c r="M82">
        <v>0.32686999999999999</v>
      </c>
    </row>
    <row r="83" spans="1:13">
      <c r="A83" s="82">
        <v>43074</v>
      </c>
      <c r="B83">
        <v>7.3419990000000004</v>
      </c>
      <c r="C83">
        <v>1.031803</v>
      </c>
      <c r="D83">
        <v>6.5412140000000001</v>
      </c>
      <c r="E83">
        <v>6.4046409999999998</v>
      </c>
      <c r="F83">
        <v>3.9341249999999999</v>
      </c>
      <c r="G83">
        <v>5.751474</v>
      </c>
      <c r="H83">
        <v>3.8592029999999999</v>
      </c>
      <c r="I83">
        <v>0.60381200000000002</v>
      </c>
      <c r="J83">
        <v>3.235779</v>
      </c>
      <c r="K83">
        <v>3.0607129999999998</v>
      </c>
      <c r="L83">
        <v>3.1695869999999999</v>
      </c>
      <c r="M83">
        <v>0.326677</v>
      </c>
    </row>
    <row r="84" spans="1:13">
      <c r="A84" s="82">
        <v>43073</v>
      </c>
      <c r="B84">
        <v>7.3372099999999998</v>
      </c>
      <c r="C84">
        <v>1.0317179999999999</v>
      </c>
      <c r="D84">
        <v>6.5369869999999999</v>
      </c>
      <c r="E84">
        <v>6.4005900000000002</v>
      </c>
      <c r="F84">
        <v>3.931219</v>
      </c>
      <c r="G84">
        <v>5.7480079999999996</v>
      </c>
      <c r="H84">
        <v>3.8566449999999999</v>
      </c>
      <c r="I84">
        <v>0.60430399999999995</v>
      </c>
      <c r="J84">
        <v>3.2335069999999999</v>
      </c>
      <c r="K84">
        <v>3.0590120000000001</v>
      </c>
      <c r="L84">
        <v>3.1677420000000001</v>
      </c>
      <c r="M84">
        <v>0.32641700000000001</v>
      </c>
    </row>
    <row r="85" spans="1:13">
      <c r="A85" s="82">
        <v>43070</v>
      </c>
      <c r="B85">
        <v>7.3227770000000003</v>
      </c>
      <c r="C85">
        <v>1.031477</v>
      </c>
      <c r="D85">
        <v>6.5315070000000004</v>
      </c>
      <c r="E85">
        <v>6.3943779999999997</v>
      </c>
      <c r="F85">
        <v>3.92849</v>
      </c>
      <c r="G85">
        <v>5.7424970000000002</v>
      </c>
      <c r="H85">
        <v>3.853094</v>
      </c>
      <c r="I85">
        <v>0.60249399999999997</v>
      </c>
      <c r="J85">
        <v>3.2274910000000001</v>
      </c>
      <c r="K85">
        <v>3.0539049999999999</v>
      </c>
      <c r="L85">
        <v>3.1626029999999998</v>
      </c>
      <c r="M85">
        <v>0.32604300000000003</v>
      </c>
    </row>
    <row r="86" spans="1:13">
      <c r="A86" s="82">
        <v>43069</v>
      </c>
      <c r="B86">
        <v>7.3180930000000002</v>
      </c>
      <c r="C86">
        <v>1.0313380000000001</v>
      </c>
      <c r="D86">
        <v>6.5167809999999999</v>
      </c>
      <c r="E86">
        <v>6.3801620000000003</v>
      </c>
      <c r="F86">
        <v>3.9195489999999999</v>
      </c>
      <c r="G86">
        <v>5.7299910000000001</v>
      </c>
      <c r="H86">
        <v>3.8453580000000001</v>
      </c>
      <c r="I86">
        <v>0.60338999999999998</v>
      </c>
      <c r="J86">
        <v>3.226016</v>
      </c>
      <c r="K86">
        <v>3.052206</v>
      </c>
      <c r="M86">
        <v>0.32575900000000002</v>
      </c>
    </row>
    <row r="87" spans="1:13">
      <c r="A87" s="82">
        <v>43068</v>
      </c>
      <c r="B87">
        <v>7.3134009999999998</v>
      </c>
      <c r="C87">
        <v>1.0311710000000001</v>
      </c>
      <c r="D87">
        <v>6.5120560000000003</v>
      </c>
      <c r="E87">
        <v>6.3756349999999999</v>
      </c>
      <c r="F87">
        <v>3.916585</v>
      </c>
      <c r="G87">
        <v>5.7258500000000003</v>
      </c>
      <c r="H87">
        <v>3.8426580000000001</v>
      </c>
      <c r="I87">
        <v>0.59992199999999996</v>
      </c>
      <c r="J87">
        <v>3.224335</v>
      </c>
      <c r="K87">
        <v>3.0504549999999999</v>
      </c>
      <c r="L87">
        <v>3.157467</v>
      </c>
      <c r="M87">
        <v>0.325486</v>
      </c>
    </row>
    <row r="88" spans="1:13">
      <c r="A88" s="82">
        <v>43067</v>
      </c>
      <c r="B88">
        <v>7.3088680000000004</v>
      </c>
      <c r="C88">
        <v>1.0310870000000001</v>
      </c>
      <c r="D88">
        <v>6.5076210000000003</v>
      </c>
      <c r="E88">
        <v>6.3711989999999998</v>
      </c>
      <c r="F88">
        <v>3.9140519999999999</v>
      </c>
      <c r="G88">
        <v>5.7220849999999999</v>
      </c>
      <c r="H88">
        <v>3.840163</v>
      </c>
      <c r="I88">
        <v>0.59886099999999998</v>
      </c>
      <c r="J88">
        <v>3.2222729999999999</v>
      </c>
      <c r="K88">
        <v>3.0487039999999999</v>
      </c>
      <c r="M88">
        <v>0.32551200000000002</v>
      </c>
    </row>
    <row r="89" spans="1:13">
      <c r="A89" s="82">
        <v>43066</v>
      </c>
      <c r="B89">
        <v>7.3042160000000003</v>
      </c>
      <c r="C89">
        <v>1.031002</v>
      </c>
      <c r="D89">
        <v>6.5029339999999998</v>
      </c>
      <c r="E89">
        <v>6.3679050000000004</v>
      </c>
      <c r="F89">
        <v>3.911133</v>
      </c>
      <c r="G89">
        <v>5.7179019999999996</v>
      </c>
      <c r="H89">
        <v>3.837704</v>
      </c>
      <c r="I89">
        <v>0.59817900000000002</v>
      </c>
      <c r="J89">
        <v>3.2203089999999999</v>
      </c>
      <c r="K89">
        <v>3.0506639999999998</v>
      </c>
      <c r="L89">
        <v>3.1537229999999998</v>
      </c>
      <c r="M89">
        <v>0.32537899999999997</v>
      </c>
    </row>
    <row r="90" spans="1:13">
      <c r="A90" s="82">
        <v>43063</v>
      </c>
      <c r="B90">
        <v>7.2901340000000001</v>
      </c>
      <c r="C90">
        <v>1.0307200000000001</v>
      </c>
      <c r="D90">
        <v>6.4975100000000001</v>
      </c>
      <c r="E90">
        <v>6.3618449999999998</v>
      </c>
      <c r="F90">
        <v>3.9078089999999999</v>
      </c>
      <c r="G90">
        <v>5.7125260000000004</v>
      </c>
      <c r="H90">
        <v>3.834219</v>
      </c>
      <c r="I90">
        <v>0.59812299999999996</v>
      </c>
      <c r="J90">
        <v>3.2151869999999998</v>
      </c>
      <c r="K90">
        <v>3.045776</v>
      </c>
      <c r="L90">
        <v>3.1487479999999999</v>
      </c>
      <c r="M90">
        <v>0.32476500000000003</v>
      </c>
    </row>
    <row r="91" spans="1:13">
      <c r="A91" s="82">
        <v>43062</v>
      </c>
      <c r="B91">
        <v>7.2854270000000003</v>
      </c>
      <c r="C91">
        <v>1.0305880000000001</v>
      </c>
      <c r="D91">
        <v>6.4836410000000004</v>
      </c>
      <c r="E91">
        <v>6.3492439999999997</v>
      </c>
      <c r="F91">
        <v>3.8993820000000001</v>
      </c>
      <c r="G91">
        <v>5.7012029999999996</v>
      </c>
      <c r="H91">
        <v>3.826603</v>
      </c>
      <c r="I91">
        <v>0.59895399999999999</v>
      </c>
      <c r="J91">
        <v>3.2122660000000001</v>
      </c>
      <c r="K91">
        <v>3.0452050000000002</v>
      </c>
      <c r="L91">
        <v>3.1452300000000002</v>
      </c>
      <c r="M91">
        <v>0.32452300000000001</v>
      </c>
    </row>
    <row r="92" spans="1:13">
      <c r="A92" s="82">
        <v>43061</v>
      </c>
      <c r="B92">
        <v>7.2810230000000002</v>
      </c>
      <c r="C92">
        <v>1.0304230000000001</v>
      </c>
      <c r="D92">
        <v>6.4787739999999996</v>
      </c>
      <c r="E92">
        <v>6.3443829999999997</v>
      </c>
      <c r="F92">
        <v>3.8962599999999998</v>
      </c>
      <c r="G92">
        <v>5.6965589999999997</v>
      </c>
      <c r="H92">
        <v>3.8234880000000002</v>
      </c>
      <c r="I92">
        <v>0.60265800000000003</v>
      </c>
      <c r="J92">
        <v>3.2103640000000002</v>
      </c>
      <c r="K92">
        <v>3.0436160000000001</v>
      </c>
      <c r="L92">
        <v>3.1431680000000002</v>
      </c>
      <c r="M92">
        <v>0.324324</v>
      </c>
    </row>
    <row r="93" spans="1:13">
      <c r="A93" s="82">
        <v>43060</v>
      </c>
      <c r="B93">
        <v>7.2764949999999997</v>
      </c>
      <c r="C93">
        <v>1.03034</v>
      </c>
      <c r="D93">
        <v>6.4752270000000003</v>
      </c>
      <c r="E93">
        <v>6.3401829999999997</v>
      </c>
      <c r="F93">
        <v>3.8938060000000001</v>
      </c>
      <c r="G93">
        <v>5.6929990000000004</v>
      </c>
      <c r="H93">
        <v>3.821097</v>
      </c>
      <c r="I93">
        <v>0.60221499999999994</v>
      </c>
      <c r="J93">
        <v>3.2084169999999999</v>
      </c>
      <c r="K93">
        <v>3.04203</v>
      </c>
      <c r="L93">
        <v>3.1413690000000001</v>
      </c>
      <c r="M93">
        <v>0.32383800000000001</v>
      </c>
    </row>
    <row r="94" spans="1:13">
      <c r="A94" s="82">
        <v>43056</v>
      </c>
      <c r="B94">
        <v>7.2578630000000004</v>
      </c>
      <c r="C94">
        <v>1.03</v>
      </c>
      <c r="D94">
        <v>6.4698419999999999</v>
      </c>
      <c r="E94">
        <v>6.3336949999999996</v>
      </c>
      <c r="F94">
        <v>3.891311</v>
      </c>
      <c r="G94">
        <v>5.6876220000000002</v>
      </c>
      <c r="H94">
        <v>3.8174510000000001</v>
      </c>
      <c r="I94">
        <v>0.60198700000000005</v>
      </c>
      <c r="J94">
        <v>3.2011880000000001</v>
      </c>
      <c r="K94">
        <v>3.0373399999999999</v>
      </c>
      <c r="L94">
        <v>3.1351529999999999</v>
      </c>
      <c r="M94">
        <v>0.32317699999999999</v>
      </c>
    </row>
    <row r="95" spans="1:13">
      <c r="A95" s="82">
        <v>43055</v>
      </c>
      <c r="B95">
        <v>7.2534169999999998</v>
      </c>
      <c r="C95">
        <v>1.0298259999999999</v>
      </c>
      <c r="D95">
        <v>6.4527520000000003</v>
      </c>
      <c r="E95">
        <v>6.3189359999999999</v>
      </c>
      <c r="F95">
        <v>3.8810959999999999</v>
      </c>
      <c r="G95">
        <v>5.6742350000000004</v>
      </c>
      <c r="H95">
        <v>3.808411</v>
      </c>
      <c r="I95">
        <v>0.60126100000000005</v>
      </c>
      <c r="J95">
        <v>3.1980080000000002</v>
      </c>
      <c r="K95">
        <v>3.0352779999999999</v>
      </c>
      <c r="L95">
        <v>3.1316920000000001</v>
      </c>
      <c r="M95">
        <v>0.32292799999999999</v>
      </c>
    </row>
    <row r="96" spans="1:13">
      <c r="A96" s="82">
        <v>43054</v>
      </c>
      <c r="B96">
        <v>7.2489229999999996</v>
      </c>
      <c r="C96">
        <v>1.02966</v>
      </c>
      <c r="D96">
        <v>6.4461719999999998</v>
      </c>
      <c r="E96">
        <v>6.3133280000000003</v>
      </c>
      <c r="F96">
        <v>3.877659</v>
      </c>
      <c r="G96">
        <v>5.6688520000000002</v>
      </c>
      <c r="H96">
        <v>3.804513</v>
      </c>
      <c r="I96">
        <v>0.60067199999999998</v>
      </c>
      <c r="J96">
        <v>3.1959179999999998</v>
      </c>
      <c r="K96">
        <v>3.0336479999999999</v>
      </c>
      <c r="L96">
        <v>3.1295600000000001</v>
      </c>
      <c r="M96">
        <v>0.32266800000000001</v>
      </c>
    </row>
    <row r="97" spans="1:13">
      <c r="A97" s="82">
        <v>43053</v>
      </c>
      <c r="B97">
        <v>7.2441579999999997</v>
      </c>
      <c r="C97">
        <v>1.0295749999999999</v>
      </c>
      <c r="D97">
        <v>6.4408849999999997</v>
      </c>
      <c r="E97">
        <v>6.3106030000000004</v>
      </c>
      <c r="F97">
        <v>3.8744800000000001</v>
      </c>
      <c r="G97">
        <v>5.6647629999999998</v>
      </c>
      <c r="H97">
        <v>3.802238</v>
      </c>
      <c r="I97">
        <v>0.60059899999999999</v>
      </c>
      <c r="J97">
        <v>3.1938819999999999</v>
      </c>
      <c r="K97">
        <v>3.0320130000000001</v>
      </c>
      <c r="L97">
        <v>3.127643</v>
      </c>
      <c r="M97">
        <v>0.32253599999999999</v>
      </c>
    </row>
    <row r="98" spans="1:13">
      <c r="A98" s="82">
        <v>43052</v>
      </c>
      <c r="B98">
        <v>7.2394639999999999</v>
      </c>
      <c r="C98">
        <v>1.02949</v>
      </c>
      <c r="D98">
        <v>6.4358430000000002</v>
      </c>
      <c r="E98">
        <v>6.3068080000000002</v>
      </c>
      <c r="F98">
        <v>3.8728220000000002</v>
      </c>
      <c r="G98">
        <v>5.6604000000000001</v>
      </c>
      <c r="H98">
        <v>3.8004669999999998</v>
      </c>
      <c r="I98">
        <v>0.60321400000000003</v>
      </c>
      <c r="J98">
        <v>3.191891</v>
      </c>
      <c r="K98">
        <v>3.0303969999999998</v>
      </c>
      <c r="L98">
        <v>3.1256029999999999</v>
      </c>
      <c r="M98">
        <v>0.32230900000000001</v>
      </c>
    </row>
    <row r="99" spans="1:13">
      <c r="A99" s="82">
        <v>43049</v>
      </c>
      <c r="B99">
        <v>7.225339</v>
      </c>
      <c r="C99">
        <v>1.029382</v>
      </c>
      <c r="D99">
        <v>6.4286820000000002</v>
      </c>
      <c r="E99">
        <v>6.2997059999999996</v>
      </c>
      <c r="F99">
        <v>3.86911</v>
      </c>
      <c r="G99">
        <v>5.6551819999999999</v>
      </c>
      <c r="H99">
        <v>3.7968139999999999</v>
      </c>
      <c r="I99">
        <v>0.60280199999999995</v>
      </c>
      <c r="J99">
        <v>3.1869369999999999</v>
      </c>
      <c r="K99">
        <v>3.0258799999999999</v>
      </c>
      <c r="L99">
        <v>3.1207760000000002</v>
      </c>
      <c r="M99">
        <v>0.32177299999999998</v>
      </c>
    </row>
    <row r="100" spans="1:13">
      <c r="A100" s="82">
        <v>43048</v>
      </c>
      <c r="B100">
        <v>7.2207350000000003</v>
      </c>
      <c r="C100">
        <v>1.029245</v>
      </c>
      <c r="D100">
        <v>6.4186930000000002</v>
      </c>
      <c r="E100">
        <v>6.2882600000000002</v>
      </c>
      <c r="F100">
        <v>3.8616899999999998</v>
      </c>
      <c r="G100">
        <v>5.6443110000000001</v>
      </c>
      <c r="H100">
        <v>3.7900230000000001</v>
      </c>
      <c r="I100">
        <v>0.60305399999999998</v>
      </c>
      <c r="J100">
        <v>3.1842769999999998</v>
      </c>
      <c r="K100">
        <v>3.0239910000000001</v>
      </c>
      <c r="L100">
        <v>3.1178129999999999</v>
      </c>
      <c r="M100">
        <v>0.32152700000000001</v>
      </c>
    </row>
    <row r="101" spans="1:13">
      <c r="A101" s="82">
        <v>43047</v>
      </c>
      <c r="B101">
        <v>7.2161340000000003</v>
      </c>
      <c r="C101">
        <v>1.02908</v>
      </c>
      <c r="D101">
        <v>6.4154400000000003</v>
      </c>
      <c r="E101">
        <v>6.2849079999999997</v>
      </c>
      <c r="F101">
        <v>3.859531</v>
      </c>
      <c r="G101">
        <v>5.6416810000000002</v>
      </c>
      <c r="H101">
        <v>3.7890489999999999</v>
      </c>
      <c r="I101">
        <v>0.60266299999999995</v>
      </c>
      <c r="J101">
        <v>3.1811769999999999</v>
      </c>
      <c r="K101">
        <v>3.0223689999999999</v>
      </c>
      <c r="L101">
        <v>3.1158739999999998</v>
      </c>
      <c r="M101">
        <v>0.32131399999999999</v>
      </c>
    </row>
    <row r="102" spans="1:13">
      <c r="A102" s="82">
        <v>43046</v>
      </c>
      <c r="B102">
        <v>7.2117069999999996</v>
      </c>
      <c r="C102">
        <v>1.0289980000000001</v>
      </c>
      <c r="D102">
        <v>6.4172969999999996</v>
      </c>
      <c r="E102">
        <v>6.2839010000000002</v>
      </c>
      <c r="F102">
        <v>3.8578619999999999</v>
      </c>
      <c r="G102">
        <v>5.6398729999999997</v>
      </c>
      <c r="H102">
        <v>3.7887019999999998</v>
      </c>
      <c r="I102">
        <v>0.60436999999999996</v>
      </c>
      <c r="J102">
        <v>3.1823920000000001</v>
      </c>
      <c r="K102">
        <v>3.0211070000000002</v>
      </c>
      <c r="L102">
        <v>3.1141009999999998</v>
      </c>
      <c r="M102">
        <v>0.321189</v>
      </c>
    </row>
    <row r="103" spans="1:13">
      <c r="A103" s="82">
        <v>43042</v>
      </c>
      <c r="B103">
        <v>7.1935919999999998</v>
      </c>
      <c r="C103">
        <v>1.0287299999999999</v>
      </c>
      <c r="D103">
        <v>6.4089429999999998</v>
      </c>
      <c r="E103">
        <v>6.2771549999999996</v>
      </c>
      <c r="F103">
        <v>3.8548629999999999</v>
      </c>
      <c r="G103">
        <v>5.6330910000000003</v>
      </c>
      <c r="H103">
        <v>3.784767</v>
      </c>
      <c r="I103">
        <v>0.60364899999999999</v>
      </c>
      <c r="J103">
        <v>3.174947</v>
      </c>
      <c r="K103">
        <v>3.0145460000000002</v>
      </c>
      <c r="L103">
        <v>3.1079249999999998</v>
      </c>
      <c r="M103">
        <v>0.32052000000000003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48"/>
  <sheetViews>
    <sheetView workbookViewId="0">
      <selection activeCell="H13" sqref="H13"/>
    </sheetView>
  </sheetViews>
  <sheetFormatPr baseColWidth="10" defaultRowHeight="15"/>
  <cols>
    <col min="1" max="1" width="15.140625" bestFit="1" customWidth="1"/>
    <col min="3" max="3" width="33.5703125" bestFit="1" customWidth="1"/>
    <col min="4" max="4" width="14" bestFit="1" customWidth="1"/>
    <col min="5" max="5" width="13.7109375" bestFit="1" customWidth="1"/>
  </cols>
  <sheetData>
    <row r="1" spans="1:7">
      <c r="A1" s="85" t="s">
        <v>106</v>
      </c>
      <c r="B1" s="85">
        <v>5327</v>
      </c>
      <c r="C1" s="85" t="s">
        <v>190</v>
      </c>
      <c r="D1" s="90">
        <v>170000000</v>
      </c>
      <c r="E1" s="95">
        <v>170000000</v>
      </c>
      <c r="G1" s="92"/>
    </row>
    <row r="2" spans="1:7">
      <c r="A2" s="85" t="s">
        <v>107</v>
      </c>
      <c r="B2" s="85">
        <v>52584</v>
      </c>
      <c r="C2" s="85" t="s">
        <v>108</v>
      </c>
      <c r="D2" s="90">
        <v>24666666</v>
      </c>
      <c r="E2" s="95">
        <v>24666666</v>
      </c>
      <c r="F2" s="85"/>
      <c r="G2" s="92"/>
    </row>
    <row r="3" spans="1:7">
      <c r="A3" s="85"/>
      <c r="B3" s="85">
        <v>46824</v>
      </c>
      <c r="C3" s="85" t="s">
        <v>191</v>
      </c>
      <c r="D3" s="90">
        <v>150000000</v>
      </c>
      <c r="E3" s="95">
        <v>150000000</v>
      </c>
      <c r="F3" s="85"/>
      <c r="G3" s="92"/>
    </row>
    <row r="4" spans="1:7">
      <c r="A4" s="85"/>
      <c r="B4" s="85">
        <v>46825</v>
      </c>
      <c r="C4" s="85" t="s">
        <v>192</v>
      </c>
      <c r="D4" s="90">
        <v>579600000</v>
      </c>
      <c r="E4" s="95">
        <v>579600000</v>
      </c>
      <c r="F4" s="85"/>
      <c r="G4" s="92"/>
    </row>
    <row r="5" spans="1:7">
      <c r="A5" s="85"/>
      <c r="B5" s="85">
        <v>46827</v>
      </c>
      <c r="C5" s="85" t="s">
        <v>193</v>
      </c>
      <c r="D5" s="90">
        <v>220000000</v>
      </c>
      <c r="E5" s="95">
        <v>220000000</v>
      </c>
      <c r="F5" s="85"/>
      <c r="G5" s="92"/>
    </row>
    <row r="6" spans="1:7">
      <c r="A6" s="85" t="s">
        <v>194</v>
      </c>
      <c r="B6" s="85">
        <v>52897</v>
      </c>
      <c r="C6" s="85" t="s">
        <v>195</v>
      </c>
      <c r="D6" s="90">
        <v>10000000</v>
      </c>
      <c r="E6" s="95">
        <v>10000000</v>
      </c>
      <c r="F6" s="85"/>
      <c r="G6" s="92"/>
    </row>
    <row r="7" spans="1:7">
      <c r="A7" s="85"/>
      <c r="B7" s="85">
        <v>46828</v>
      </c>
      <c r="C7" s="85" t="s">
        <v>196</v>
      </c>
      <c r="D7" s="90">
        <v>210000000</v>
      </c>
      <c r="E7" s="95">
        <v>210000000</v>
      </c>
      <c r="F7" s="85"/>
      <c r="G7" s="92"/>
    </row>
    <row r="8" spans="1:7">
      <c r="A8" s="85" t="s">
        <v>197</v>
      </c>
      <c r="B8" s="85">
        <v>53068</v>
      </c>
      <c r="C8" s="85" t="s">
        <v>198</v>
      </c>
      <c r="D8" s="91">
        <v>50000000</v>
      </c>
      <c r="E8" s="95">
        <v>50000000</v>
      </c>
      <c r="F8" s="85"/>
      <c r="G8" s="92"/>
    </row>
    <row r="9" spans="1:7">
      <c r="A9" s="85" t="s">
        <v>109</v>
      </c>
      <c r="B9" s="85">
        <v>2571</v>
      </c>
      <c r="C9" s="85" t="s">
        <v>199</v>
      </c>
      <c r="D9" s="90">
        <v>50000000</v>
      </c>
      <c r="E9" s="95">
        <v>50000000</v>
      </c>
      <c r="F9" s="85"/>
      <c r="G9" s="92"/>
    </row>
    <row r="10" spans="1:7">
      <c r="A10" s="85" t="s">
        <v>110</v>
      </c>
      <c r="B10" s="85">
        <v>2405</v>
      </c>
      <c r="C10" s="85" t="s">
        <v>111</v>
      </c>
      <c r="D10" s="90">
        <v>74344426</v>
      </c>
      <c r="E10" s="95">
        <v>1576101.8311999999</v>
      </c>
      <c r="F10" s="85"/>
      <c r="G10" s="92"/>
    </row>
    <row r="11" spans="1:7">
      <c r="A11" s="85" t="s">
        <v>112</v>
      </c>
      <c r="B11" s="85">
        <v>38678</v>
      </c>
      <c r="C11" s="85" t="s">
        <v>113</v>
      </c>
      <c r="D11" s="90">
        <v>19000000</v>
      </c>
      <c r="E11" s="95">
        <v>19000000</v>
      </c>
      <c r="F11" s="85"/>
      <c r="G11" s="92"/>
    </row>
    <row r="12" spans="1:7">
      <c r="A12" s="85" t="s">
        <v>114</v>
      </c>
      <c r="B12" s="85">
        <v>38679</v>
      </c>
      <c r="C12" s="85" t="s">
        <v>115</v>
      </c>
      <c r="D12" s="90">
        <v>3700000</v>
      </c>
      <c r="E12" s="95">
        <v>3700000</v>
      </c>
      <c r="F12" s="85"/>
      <c r="G12" s="92"/>
    </row>
    <row r="13" spans="1:7">
      <c r="A13" s="85" t="s">
        <v>116</v>
      </c>
      <c r="B13" s="85">
        <v>5454</v>
      </c>
      <c r="C13" s="85" t="s">
        <v>200</v>
      </c>
      <c r="D13" s="90">
        <v>175742532</v>
      </c>
      <c r="E13" s="95">
        <v>175742532</v>
      </c>
      <c r="F13" s="85"/>
      <c r="G13" s="92"/>
    </row>
    <row r="14" spans="1:7">
      <c r="A14" s="85" t="s">
        <v>117</v>
      </c>
      <c r="B14" s="85">
        <v>90154</v>
      </c>
      <c r="C14" s="85" t="s">
        <v>118</v>
      </c>
      <c r="D14" s="90">
        <v>1507000</v>
      </c>
      <c r="E14" s="95">
        <v>1507000</v>
      </c>
      <c r="F14" s="85"/>
      <c r="G14" s="92"/>
    </row>
    <row r="15" spans="1:7">
      <c r="A15" s="85" t="s">
        <v>119</v>
      </c>
      <c r="B15" s="85">
        <v>5462</v>
      </c>
      <c r="C15" s="85" t="s">
        <v>201</v>
      </c>
      <c r="D15" s="90">
        <v>1766398</v>
      </c>
      <c r="E15" s="95">
        <v>1766398</v>
      </c>
      <c r="F15" s="85"/>
      <c r="G15" s="92"/>
    </row>
    <row r="16" spans="1:7">
      <c r="A16" s="85" t="s">
        <v>120</v>
      </c>
      <c r="B16" s="85">
        <v>50108</v>
      </c>
      <c r="C16" s="85" t="s">
        <v>121</v>
      </c>
      <c r="D16" s="90">
        <v>29755000</v>
      </c>
      <c r="E16" s="95">
        <v>29755000</v>
      </c>
      <c r="F16" s="85"/>
      <c r="G16" s="92"/>
    </row>
    <row r="17" spans="1:7">
      <c r="A17" s="85" t="s">
        <v>122</v>
      </c>
      <c r="B17" s="85">
        <v>50879</v>
      </c>
      <c r="C17" s="85" t="s">
        <v>123</v>
      </c>
      <c r="D17" s="90">
        <v>5803165</v>
      </c>
      <c r="E17" s="95">
        <v>5803165</v>
      </c>
      <c r="F17" s="85"/>
      <c r="G17" s="92"/>
    </row>
    <row r="18" spans="1:7">
      <c r="A18" s="85" t="s">
        <v>125</v>
      </c>
      <c r="B18" s="85">
        <v>51035</v>
      </c>
      <c r="C18" s="85" t="s">
        <v>126</v>
      </c>
      <c r="D18" s="90">
        <v>7344309</v>
      </c>
      <c r="E18" s="95">
        <v>7344309</v>
      </c>
      <c r="F18" s="85"/>
      <c r="G18" s="92"/>
    </row>
    <row r="19" spans="1:7">
      <c r="A19" s="85" t="s">
        <v>127</v>
      </c>
      <c r="B19" s="85">
        <v>51097</v>
      </c>
      <c r="C19" s="85" t="s">
        <v>128</v>
      </c>
      <c r="D19" s="90">
        <v>13763244</v>
      </c>
      <c r="E19" s="95">
        <v>13763244</v>
      </c>
      <c r="F19" s="85"/>
      <c r="G19" s="92"/>
    </row>
    <row r="20" spans="1:7">
      <c r="A20" s="85" t="s">
        <v>129</v>
      </c>
      <c r="B20" s="85">
        <v>51296</v>
      </c>
      <c r="C20" s="85" t="s">
        <v>130</v>
      </c>
      <c r="D20" s="90">
        <v>4800000</v>
      </c>
      <c r="E20" s="95">
        <v>1600320</v>
      </c>
      <c r="F20" s="85"/>
      <c r="G20" s="92"/>
    </row>
    <row r="21" spans="1:7">
      <c r="A21" s="85" t="s">
        <v>131</v>
      </c>
      <c r="B21" s="85">
        <v>5475</v>
      </c>
      <c r="C21" s="85" t="s">
        <v>132</v>
      </c>
      <c r="D21" s="90">
        <v>15000000</v>
      </c>
      <c r="E21" s="95">
        <v>15000000</v>
      </c>
      <c r="F21" s="85"/>
      <c r="G21" s="92"/>
    </row>
    <row r="22" spans="1:7">
      <c r="A22" s="85" t="s">
        <v>133</v>
      </c>
      <c r="B22" s="85">
        <v>5476</v>
      </c>
      <c r="C22" s="85" t="s">
        <v>134</v>
      </c>
      <c r="D22" s="90">
        <v>120000000</v>
      </c>
      <c r="E22" s="95">
        <v>120000000</v>
      </c>
      <c r="F22" s="85"/>
      <c r="G22" s="92"/>
    </row>
    <row r="23" spans="1:7">
      <c r="A23" s="85" t="s">
        <v>135</v>
      </c>
      <c r="B23" s="85">
        <v>51350</v>
      </c>
      <c r="C23" s="85" t="s">
        <v>136</v>
      </c>
      <c r="D23" s="90">
        <v>5084982</v>
      </c>
      <c r="E23" s="95">
        <v>5084982</v>
      </c>
      <c r="F23" s="85"/>
      <c r="G23" s="92"/>
    </row>
    <row r="24" spans="1:7">
      <c r="A24" s="85" t="s">
        <v>137</v>
      </c>
      <c r="B24" s="85">
        <v>51579</v>
      </c>
      <c r="C24" s="85" t="s">
        <v>202</v>
      </c>
      <c r="D24" s="90">
        <v>15000000</v>
      </c>
      <c r="E24" s="95">
        <v>15000000</v>
      </c>
      <c r="F24" s="85"/>
      <c r="G24" s="92"/>
    </row>
    <row r="25" spans="1:7">
      <c r="A25" s="85" t="s">
        <v>138</v>
      </c>
      <c r="B25" s="85">
        <v>51630</v>
      </c>
      <c r="C25" s="85" t="s">
        <v>139</v>
      </c>
      <c r="D25" s="90">
        <v>15888888</v>
      </c>
      <c r="E25" s="95">
        <v>15888888</v>
      </c>
      <c r="F25" s="85"/>
      <c r="G25" s="92"/>
    </row>
    <row r="26" spans="1:7">
      <c r="A26" s="85" t="s">
        <v>140</v>
      </c>
      <c r="B26" s="85">
        <v>5315</v>
      </c>
      <c r="C26" s="85" t="s">
        <v>203</v>
      </c>
      <c r="D26" s="90">
        <v>261600000</v>
      </c>
      <c r="E26" s="95">
        <v>261600000</v>
      </c>
      <c r="F26" s="85"/>
      <c r="G26" s="92"/>
    </row>
    <row r="27" spans="1:7">
      <c r="A27" s="85" t="s">
        <v>141</v>
      </c>
      <c r="B27" s="85">
        <v>51685</v>
      </c>
      <c r="C27" s="85" t="s">
        <v>142</v>
      </c>
      <c r="D27" s="90">
        <v>21900000</v>
      </c>
      <c r="E27" s="95">
        <v>21900000</v>
      </c>
      <c r="F27" s="85"/>
      <c r="G27" s="92"/>
    </row>
    <row r="28" spans="1:7">
      <c r="A28" s="85" t="s">
        <v>143</v>
      </c>
      <c r="B28" s="85">
        <v>51730</v>
      </c>
      <c r="C28" s="85" t="s">
        <v>144</v>
      </c>
      <c r="D28" s="90">
        <v>11546000</v>
      </c>
      <c r="E28" s="95">
        <v>11546000</v>
      </c>
      <c r="F28" s="85"/>
      <c r="G28" s="92"/>
    </row>
    <row r="29" spans="1:7">
      <c r="A29" s="85" t="s">
        <v>145</v>
      </c>
      <c r="B29" s="85">
        <v>51734</v>
      </c>
      <c r="C29" s="85" t="s">
        <v>146</v>
      </c>
      <c r="D29" s="90">
        <v>8000000</v>
      </c>
      <c r="E29" s="95">
        <v>8000000</v>
      </c>
      <c r="F29" s="85"/>
      <c r="G29" s="92"/>
    </row>
    <row r="30" spans="1:7">
      <c r="A30" s="85" t="s">
        <v>147</v>
      </c>
      <c r="B30" s="85">
        <v>51769</v>
      </c>
      <c r="C30" s="85" t="s">
        <v>148</v>
      </c>
      <c r="D30" s="90">
        <v>10821428</v>
      </c>
      <c r="E30" s="95">
        <v>10821428</v>
      </c>
      <c r="F30" s="85"/>
      <c r="G30" s="92"/>
    </row>
    <row r="31" spans="1:7">
      <c r="A31" s="85" t="s">
        <v>149</v>
      </c>
      <c r="B31" s="85">
        <v>51856</v>
      </c>
      <c r="C31" s="85" t="s">
        <v>150</v>
      </c>
      <c r="D31" s="90">
        <v>46463333</v>
      </c>
      <c r="E31" s="95">
        <v>46463333</v>
      </c>
      <c r="F31" s="85"/>
      <c r="G31" s="92"/>
    </row>
    <row r="32" spans="1:7">
      <c r="A32" s="85" t="s">
        <v>151</v>
      </c>
      <c r="B32" s="85">
        <v>51863</v>
      </c>
      <c r="C32" s="85" t="s">
        <v>152</v>
      </c>
      <c r="D32" s="90">
        <v>8500000</v>
      </c>
      <c r="E32" s="95">
        <v>8500000</v>
      </c>
      <c r="F32" s="85"/>
      <c r="G32" s="92"/>
    </row>
    <row r="33" spans="1:7">
      <c r="A33" s="85" t="s">
        <v>153</v>
      </c>
      <c r="B33" s="85">
        <v>51916</v>
      </c>
      <c r="C33" s="85" t="s">
        <v>154</v>
      </c>
      <c r="D33" s="90">
        <v>35023666</v>
      </c>
      <c r="E33" s="95">
        <v>35023666</v>
      </c>
      <c r="F33" s="85"/>
      <c r="G33" s="92"/>
    </row>
    <row r="34" spans="1:7">
      <c r="A34" s="85" t="s">
        <v>155</v>
      </c>
      <c r="B34" s="85">
        <v>51938</v>
      </c>
      <c r="C34" s="85" t="s">
        <v>156</v>
      </c>
      <c r="D34" s="90">
        <v>26277777</v>
      </c>
      <c r="E34" s="95">
        <v>26277777</v>
      </c>
      <c r="F34" s="85"/>
      <c r="G34" s="92"/>
    </row>
    <row r="35" spans="1:7">
      <c r="A35" s="85" t="s">
        <v>157</v>
      </c>
      <c r="B35" s="85">
        <v>51988</v>
      </c>
      <c r="C35" s="85" t="s">
        <v>158</v>
      </c>
      <c r="D35" s="90">
        <v>36000000</v>
      </c>
      <c r="E35" s="95">
        <v>36000000</v>
      </c>
      <c r="F35" s="85"/>
      <c r="G35" s="92"/>
    </row>
    <row r="36" spans="1:7">
      <c r="A36" s="85" t="s">
        <v>159</v>
      </c>
      <c r="B36" s="85">
        <v>52167</v>
      </c>
      <c r="C36" s="85" t="s">
        <v>160</v>
      </c>
      <c r="D36" s="90">
        <v>5285714</v>
      </c>
      <c r="E36" s="95">
        <v>5285714</v>
      </c>
      <c r="F36" s="85"/>
      <c r="G36" s="92"/>
    </row>
    <row r="37" spans="1:7">
      <c r="A37" s="85" t="s">
        <v>161</v>
      </c>
      <c r="B37" s="85">
        <v>52186</v>
      </c>
      <c r="C37" s="85" t="s">
        <v>162</v>
      </c>
      <c r="D37" s="90">
        <v>4900000</v>
      </c>
      <c r="E37" s="95">
        <v>4900000</v>
      </c>
      <c r="F37" s="85"/>
      <c r="G37" s="92"/>
    </row>
    <row r="38" spans="1:7">
      <c r="A38" s="85" t="s">
        <v>163</v>
      </c>
      <c r="B38" s="85">
        <v>52259</v>
      </c>
      <c r="C38" s="85" t="s">
        <v>164</v>
      </c>
      <c r="D38" s="90">
        <v>51500000</v>
      </c>
      <c r="E38" s="95">
        <v>51500000</v>
      </c>
      <c r="F38" s="85"/>
      <c r="G38" s="92"/>
    </row>
    <row r="39" spans="1:7">
      <c r="A39" s="85" t="s">
        <v>165</v>
      </c>
      <c r="B39" s="85">
        <v>52261</v>
      </c>
      <c r="C39" s="85" t="s">
        <v>166</v>
      </c>
      <c r="D39" s="90">
        <v>50000000</v>
      </c>
      <c r="E39" s="95">
        <v>50000000</v>
      </c>
      <c r="F39" s="85"/>
      <c r="G39" s="92"/>
    </row>
    <row r="40" spans="1:7">
      <c r="A40" s="85" t="s">
        <v>167</v>
      </c>
      <c r="B40" s="85">
        <v>52320</v>
      </c>
      <c r="C40" s="85" t="s">
        <v>168</v>
      </c>
      <c r="D40" s="90">
        <v>80000000</v>
      </c>
      <c r="E40" s="95">
        <v>80000000</v>
      </c>
      <c r="F40" s="85"/>
      <c r="G40" s="92"/>
    </row>
    <row r="41" spans="1:7">
      <c r="A41" s="85" t="s">
        <v>169</v>
      </c>
      <c r="B41" s="85">
        <v>5480</v>
      </c>
      <c r="C41" s="85" t="s">
        <v>204</v>
      </c>
      <c r="D41" s="90">
        <v>70000000</v>
      </c>
      <c r="E41" s="95">
        <v>70000000</v>
      </c>
      <c r="F41" s="85"/>
      <c r="G41" s="92"/>
    </row>
    <row r="42" spans="1:7">
      <c r="A42" s="85" t="s">
        <v>170</v>
      </c>
      <c r="B42" s="85">
        <v>92583</v>
      </c>
      <c r="C42" s="85" t="s">
        <v>171</v>
      </c>
      <c r="D42" s="90">
        <v>3000000</v>
      </c>
      <c r="E42" s="95">
        <v>3000000</v>
      </c>
      <c r="F42" s="85"/>
      <c r="G42" s="92"/>
    </row>
    <row r="43" spans="1:7">
      <c r="A43" s="85" t="s">
        <v>172</v>
      </c>
      <c r="B43" s="85">
        <v>52407</v>
      </c>
      <c r="C43" s="85" t="s">
        <v>173</v>
      </c>
      <c r="D43" s="90">
        <v>82000000</v>
      </c>
      <c r="E43" s="95">
        <v>82000000</v>
      </c>
      <c r="F43" s="85"/>
      <c r="G43" s="92"/>
    </row>
    <row r="44" spans="1:7">
      <c r="A44" s="85" t="s">
        <v>174</v>
      </c>
      <c r="B44" s="85">
        <v>52435</v>
      </c>
      <c r="C44" s="85" t="s">
        <v>175</v>
      </c>
      <c r="D44" s="90">
        <v>3276500</v>
      </c>
      <c r="E44" s="95">
        <v>3276500</v>
      </c>
      <c r="F44" s="85"/>
      <c r="G44" s="92"/>
    </row>
    <row r="45" spans="1:7">
      <c r="A45" s="85"/>
      <c r="B45" s="85"/>
      <c r="C45" s="85"/>
      <c r="D45" s="90"/>
      <c r="F45" s="85"/>
      <c r="G45" s="92"/>
    </row>
    <row r="46" spans="1:7">
      <c r="A46" s="85"/>
      <c r="B46" s="85"/>
      <c r="C46" s="85"/>
      <c r="D46" s="90"/>
      <c r="F46" s="85"/>
      <c r="G46" s="92"/>
    </row>
    <row r="47" spans="1:7">
      <c r="A47" s="85"/>
      <c r="B47" s="85"/>
      <c r="C47" s="85"/>
      <c r="D47" s="85"/>
    </row>
    <row r="48" spans="1:7">
      <c r="A48" s="85"/>
      <c r="B48" s="85"/>
      <c r="C48" s="85"/>
      <c r="D48" s="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M12"/>
  <sheetViews>
    <sheetView workbookViewId="0">
      <selection activeCell="H18" sqref="H18"/>
    </sheetView>
  </sheetViews>
  <sheetFormatPr baseColWidth="10" defaultRowHeight="15"/>
  <cols>
    <col min="1" max="1" width="15.140625" bestFit="1" customWidth="1"/>
    <col min="3" max="3" width="33.5703125" bestFit="1" customWidth="1"/>
    <col min="4" max="5" width="11.42578125" style="82"/>
  </cols>
  <sheetData>
    <row r="1" spans="1:13">
      <c r="A1" s="83">
        <v>30030</v>
      </c>
      <c r="B1" s="83" t="s">
        <v>179</v>
      </c>
      <c r="C1" s="83" t="s">
        <v>180</v>
      </c>
      <c r="D1" s="84">
        <v>42816</v>
      </c>
      <c r="E1" s="84">
        <v>43179</v>
      </c>
      <c r="F1" s="83">
        <v>363</v>
      </c>
      <c r="G1" s="83">
        <v>2220623</v>
      </c>
      <c r="H1" s="83">
        <v>23300000</v>
      </c>
      <c r="I1" s="83">
        <v>21</v>
      </c>
      <c r="J1" s="83">
        <v>4866188.99</v>
      </c>
      <c r="K1" s="83">
        <v>28166188.989999998</v>
      </c>
      <c r="L1" s="83">
        <v>111195862</v>
      </c>
      <c r="M1" s="83"/>
    </row>
    <row r="2" spans="1:13">
      <c r="A2" s="83">
        <v>30090</v>
      </c>
      <c r="B2" s="83" t="s">
        <v>179</v>
      </c>
      <c r="C2" s="83" t="s">
        <v>181</v>
      </c>
      <c r="D2" s="84">
        <v>42821</v>
      </c>
      <c r="E2" s="84">
        <v>43181</v>
      </c>
      <c r="F2" s="83">
        <v>360</v>
      </c>
      <c r="G2" s="83">
        <v>1507553</v>
      </c>
      <c r="H2" s="83">
        <v>65000000</v>
      </c>
      <c r="I2" s="83">
        <v>21.25</v>
      </c>
      <c r="J2" s="83">
        <v>13623287.67</v>
      </c>
      <c r="K2" s="83">
        <v>78623287.670000002</v>
      </c>
      <c r="L2" s="83">
        <v>111195862</v>
      </c>
      <c r="M2" s="83"/>
    </row>
    <row r="3" spans="1:13">
      <c r="A3" s="83">
        <v>30091</v>
      </c>
      <c r="B3" s="83" t="s">
        <v>179</v>
      </c>
      <c r="C3" s="83" t="s">
        <v>182</v>
      </c>
      <c r="D3" s="84">
        <v>42821</v>
      </c>
      <c r="E3" s="84">
        <v>43181</v>
      </c>
      <c r="F3" s="83">
        <v>360</v>
      </c>
      <c r="G3" s="83">
        <v>7843520</v>
      </c>
      <c r="H3" s="83">
        <v>50000000</v>
      </c>
      <c r="I3" s="83">
        <v>21</v>
      </c>
      <c r="J3" s="83">
        <v>10356164.380000001</v>
      </c>
      <c r="K3" s="83">
        <v>60356164.380000003</v>
      </c>
      <c r="L3" s="83">
        <v>111195862</v>
      </c>
      <c r="M3" s="83"/>
    </row>
    <row r="4" spans="1:13">
      <c r="A4" s="83">
        <v>30114</v>
      </c>
      <c r="B4" s="83" t="s">
        <v>179</v>
      </c>
      <c r="C4" s="83" t="s">
        <v>183</v>
      </c>
      <c r="D4" s="84">
        <v>42824</v>
      </c>
      <c r="E4" s="84">
        <v>43181</v>
      </c>
      <c r="F4" s="83">
        <v>357</v>
      </c>
      <c r="G4" s="83">
        <v>2044407</v>
      </c>
      <c r="H4" s="83">
        <v>15700000</v>
      </c>
      <c r="I4" s="83">
        <v>20.6</v>
      </c>
      <c r="J4" s="83">
        <v>3163313.42</v>
      </c>
      <c r="K4" s="83">
        <v>18863313.420000002</v>
      </c>
      <c r="L4" s="83">
        <v>111195862</v>
      </c>
      <c r="M4" s="83"/>
    </row>
    <row r="5" spans="1:13">
      <c r="A5" s="83">
        <v>30252</v>
      </c>
      <c r="B5" s="83" t="s">
        <v>179</v>
      </c>
      <c r="C5" s="83" t="s">
        <v>183</v>
      </c>
      <c r="D5" s="84">
        <v>42872</v>
      </c>
      <c r="E5" s="84">
        <v>43230</v>
      </c>
      <c r="F5" s="83">
        <v>358</v>
      </c>
      <c r="G5" s="83">
        <v>2113646</v>
      </c>
      <c r="H5" s="83">
        <v>8333000</v>
      </c>
      <c r="I5" s="83">
        <v>22.25</v>
      </c>
      <c r="J5" s="83">
        <v>1818534.56</v>
      </c>
      <c r="K5" s="83">
        <v>10151534.560000001</v>
      </c>
      <c r="L5" s="83">
        <v>111195862</v>
      </c>
      <c r="M5" s="83"/>
    </row>
    <row r="6" spans="1:13">
      <c r="A6" s="83">
        <v>30785</v>
      </c>
      <c r="B6" s="83" t="s">
        <v>179</v>
      </c>
      <c r="C6" s="83" t="s">
        <v>183</v>
      </c>
      <c r="D6" s="84">
        <v>43054</v>
      </c>
      <c r="E6" s="84">
        <v>43234</v>
      </c>
      <c r="F6" s="83">
        <v>180</v>
      </c>
      <c r="G6" s="83">
        <v>2237319</v>
      </c>
      <c r="H6" s="83">
        <v>60973000</v>
      </c>
      <c r="I6" s="83">
        <v>26.8</v>
      </c>
      <c r="J6" s="83">
        <v>8058458.9199999999</v>
      </c>
      <c r="K6" s="83">
        <v>69031458.920000002</v>
      </c>
      <c r="L6" s="83">
        <v>111195862</v>
      </c>
      <c r="M6" s="83"/>
    </row>
    <row r="7" spans="1:13">
      <c r="A7" s="83">
        <v>30786</v>
      </c>
      <c r="B7" s="83" t="s">
        <v>179</v>
      </c>
      <c r="C7" s="83" t="s">
        <v>182</v>
      </c>
      <c r="D7" s="84">
        <v>43055</v>
      </c>
      <c r="E7" s="84">
        <v>43416</v>
      </c>
      <c r="F7" s="83">
        <v>361</v>
      </c>
      <c r="G7" s="83">
        <v>7843914</v>
      </c>
      <c r="H7" s="83">
        <v>40000000</v>
      </c>
      <c r="I7" s="83">
        <v>27</v>
      </c>
      <c r="J7" s="83">
        <v>10681643.84</v>
      </c>
      <c r="K7" s="83">
        <v>50681643.840000004</v>
      </c>
      <c r="L7" s="83">
        <v>111195862</v>
      </c>
      <c r="M7" s="83"/>
    </row>
    <row r="8" spans="1:13">
      <c r="A8" s="83">
        <v>30787</v>
      </c>
      <c r="B8" s="83" t="s">
        <v>179</v>
      </c>
      <c r="C8" s="83" t="s">
        <v>182</v>
      </c>
      <c r="D8" s="84">
        <v>43055</v>
      </c>
      <c r="E8" s="84">
        <v>43416</v>
      </c>
      <c r="F8" s="83">
        <v>361</v>
      </c>
      <c r="G8" s="83">
        <v>7843913</v>
      </c>
      <c r="H8" s="83">
        <v>40000000</v>
      </c>
      <c r="I8" s="83">
        <v>27</v>
      </c>
      <c r="J8" s="83">
        <v>10681643.84</v>
      </c>
      <c r="K8" s="83">
        <v>50681643.840000004</v>
      </c>
      <c r="L8" s="83">
        <v>111195862</v>
      </c>
      <c r="M8" s="83"/>
    </row>
    <row r="9" spans="1:13">
      <c r="A9" s="83">
        <v>30873</v>
      </c>
      <c r="B9" s="83" t="s">
        <v>179</v>
      </c>
      <c r="C9" s="83" t="s">
        <v>183</v>
      </c>
      <c r="D9" s="84">
        <v>43067</v>
      </c>
      <c r="E9" s="84">
        <v>43432</v>
      </c>
      <c r="F9" s="83">
        <v>365</v>
      </c>
      <c r="G9" s="83">
        <v>2237408</v>
      </c>
      <c r="H9" s="83">
        <v>13880000</v>
      </c>
      <c r="I9" s="83">
        <v>26.9</v>
      </c>
      <c r="J9" s="83">
        <v>3733720</v>
      </c>
      <c r="K9" s="83">
        <v>17613720</v>
      </c>
      <c r="L9" s="83">
        <v>111195862</v>
      </c>
      <c r="M9" s="83"/>
    </row>
    <row r="10" spans="1:13">
      <c r="A10" s="83">
        <v>30878</v>
      </c>
      <c r="B10" s="83" t="s">
        <v>179</v>
      </c>
      <c r="C10" s="83" t="s">
        <v>184</v>
      </c>
      <c r="D10" s="84">
        <v>43080</v>
      </c>
      <c r="E10" s="84">
        <v>43110</v>
      </c>
      <c r="F10" s="83">
        <v>30</v>
      </c>
      <c r="G10" s="83">
        <v>2442280</v>
      </c>
      <c r="H10" s="83">
        <v>10247131.289999999</v>
      </c>
      <c r="I10" s="83">
        <v>24</v>
      </c>
      <c r="J10" s="83">
        <v>202135.19</v>
      </c>
      <c r="K10" s="83">
        <v>10449266.48</v>
      </c>
      <c r="L10" s="83">
        <v>111195862</v>
      </c>
      <c r="M10" s="83"/>
    </row>
    <row r="11" spans="1:13">
      <c r="A11" s="83"/>
      <c r="B11" s="83"/>
      <c r="C11" s="83"/>
      <c r="D11" s="84"/>
      <c r="E11" s="84"/>
      <c r="F11" s="83"/>
      <c r="G11" s="83"/>
      <c r="H11" s="83"/>
      <c r="I11" s="83"/>
      <c r="J11" s="83"/>
      <c r="K11" s="83"/>
      <c r="L11" s="83"/>
      <c r="M11" s="83"/>
    </row>
    <row r="12" spans="1:13">
      <c r="A12" s="83"/>
      <c r="B12" s="83"/>
      <c r="C12" s="83"/>
      <c r="D12" s="84"/>
      <c r="E12" s="84"/>
      <c r="F12" s="83"/>
      <c r="G12" s="83"/>
      <c r="H12" s="83"/>
      <c r="I12" s="83"/>
      <c r="J12" s="83"/>
      <c r="K12" s="83"/>
      <c r="L12" s="83"/>
      <c r="M12" s="8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J24" sqref="J24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G32" sqref="G32"/>
    </sheetView>
  </sheetViews>
  <sheetFormatPr baseColWidth="10" defaultRowHeight="15"/>
  <cols>
    <col min="1" max="1" width="15.140625" bestFit="1" customWidth="1"/>
    <col min="3" max="3" width="33.57031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52"/>
  <sheetViews>
    <sheetView workbookViewId="0">
      <selection activeCell="A33" sqref="A33"/>
    </sheetView>
  </sheetViews>
  <sheetFormatPr baseColWidth="10" defaultRowHeight="15"/>
  <cols>
    <col min="1" max="1" width="41.42578125" bestFit="1" customWidth="1"/>
    <col min="2" max="2" width="15.140625" bestFit="1" customWidth="1"/>
  </cols>
  <sheetData>
    <row r="1" spans="1:7">
      <c r="A1" t="s">
        <v>26</v>
      </c>
      <c r="B1" t="s">
        <v>106</v>
      </c>
      <c r="C1">
        <v>5327</v>
      </c>
    </row>
    <row r="2" spans="1:7">
      <c r="A2" t="s">
        <v>57</v>
      </c>
      <c r="B2" t="s">
        <v>107</v>
      </c>
      <c r="C2">
        <v>52584</v>
      </c>
      <c r="E2" s="85"/>
      <c r="F2" s="85"/>
      <c r="G2" s="85"/>
    </row>
    <row r="3" spans="1:7">
      <c r="A3" t="s">
        <v>284</v>
      </c>
      <c r="B3" t="s">
        <v>340</v>
      </c>
      <c r="C3">
        <v>46824</v>
      </c>
      <c r="E3" s="85"/>
      <c r="F3" s="85"/>
      <c r="G3" s="85"/>
    </row>
    <row r="4" spans="1:7">
      <c r="A4" t="s">
        <v>280</v>
      </c>
      <c r="B4" t="s">
        <v>341</v>
      </c>
      <c r="C4">
        <v>46825</v>
      </c>
      <c r="E4" s="85"/>
      <c r="F4" s="85"/>
      <c r="G4" s="85"/>
    </row>
    <row r="5" spans="1:7">
      <c r="A5" t="s">
        <v>282</v>
      </c>
      <c r="B5" t="s">
        <v>342</v>
      </c>
      <c r="C5">
        <v>46827</v>
      </c>
      <c r="E5" s="85"/>
      <c r="F5" s="85"/>
      <c r="G5" s="85"/>
    </row>
    <row r="6" spans="1:7" s="85" customFormat="1">
      <c r="A6" s="85" t="s">
        <v>283</v>
      </c>
      <c r="B6" s="85" t="s">
        <v>343</v>
      </c>
      <c r="C6" s="85">
        <v>46828</v>
      </c>
    </row>
    <row r="7" spans="1:7">
      <c r="A7" t="s">
        <v>22</v>
      </c>
      <c r="B7" t="s">
        <v>109</v>
      </c>
      <c r="C7">
        <v>2571</v>
      </c>
      <c r="E7" s="85"/>
      <c r="F7" s="85"/>
      <c r="G7" s="85"/>
    </row>
    <row r="8" spans="1:7">
      <c r="A8" t="s">
        <v>32</v>
      </c>
      <c r="B8" t="s">
        <v>110</v>
      </c>
      <c r="C8">
        <v>2405</v>
      </c>
      <c r="E8" s="85"/>
      <c r="F8" s="85"/>
      <c r="G8" s="85"/>
    </row>
    <row r="9" spans="1:7">
      <c r="A9" t="s">
        <v>91</v>
      </c>
      <c r="B9" t="s">
        <v>112</v>
      </c>
      <c r="C9">
        <v>38678</v>
      </c>
      <c r="E9" s="85"/>
      <c r="F9" s="85"/>
      <c r="G9" s="85"/>
    </row>
    <row r="10" spans="1:7">
      <c r="A10" t="str">
        <f>+Valuacion!A82</f>
        <v>IMPSA - OMPE11</v>
      </c>
      <c r="B10" t="s">
        <v>114</v>
      </c>
      <c r="C10">
        <v>38679</v>
      </c>
      <c r="E10" s="85"/>
      <c r="F10" s="85"/>
      <c r="G10" s="85"/>
    </row>
    <row r="11" spans="1:7">
      <c r="A11" t="s">
        <v>15</v>
      </c>
      <c r="B11" t="s">
        <v>116</v>
      </c>
      <c r="C11">
        <v>5454</v>
      </c>
      <c r="E11" s="85"/>
      <c r="F11" s="85"/>
      <c r="G11" s="85"/>
    </row>
    <row r="12" spans="1:7">
      <c r="A12" t="s">
        <v>78</v>
      </c>
      <c r="B12" t="s">
        <v>117</v>
      </c>
      <c r="C12">
        <v>90154</v>
      </c>
      <c r="E12" s="85"/>
      <c r="F12" s="85"/>
      <c r="G12" s="85"/>
    </row>
    <row r="13" spans="1:7">
      <c r="A13" t="s">
        <v>35</v>
      </c>
      <c r="B13" t="s">
        <v>119</v>
      </c>
      <c r="C13">
        <v>5462</v>
      </c>
      <c r="E13" s="85"/>
      <c r="F13" s="85"/>
      <c r="G13" s="85"/>
    </row>
    <row r="14" spans="1:7">
      <c r="A14" s="87" t="s">
        <v>298</v>
      </c>
      <c r="B14" t="s">
        <v>120</v>
      </c>
      <c r="C14">
        <v>50108</v>
      </c>
      <c r="E14" s="85"/>
      <c r="F14" s="85"/>
      <c r="G14" s="85"/>
    </row>
    <row r="15" spans="1:7">
      <c r="A15" t="s">
        <v>89</v>
      </c>
      <c r="B15" t="s">
        <v>122</v>
      </c>
      <c r="C15">
        <v>50879</v>
      </c>
      <c r="E15" s="85"/>
      <c r="F15" s="85"/>
      <c r="G15" s="85"/>
    </row>
    <row r="16" spans="1:7">
      <c r="A16" t="s">
        <v>12</v>
      </c>
      <c r="B16" t="s">
        <v>124</v>
      </c>
      <c r="C16">
        <v>5467</v>
      </c>
      <c r="E16" s="85"/>
      <c r="F16" s="85"/>
      <c r="G16" s="85"/>
    </row>
    <row r="17" spans="1:7">
      <c r="A17" t="s">
        <v>299</v>
      </c>
      <c r="B17" t="s">
        <v>125</v>
      </c>
      <c r="C17">
        <v>51035</v>
      </c>
      <c r="E17" s="85"/>
      <c r="F17" s="85"/>
      <c r="G17" s="85"/>
    </row>
    <row r="18" spans="1:7">
      <c r="A18" t="s">
        <v>300</v>
      </c>
      <c r="B18" t="s">
        <v>127</v>
      </c>
      <c r="C18">
        <v>51097</v>
      </c>
      <c r="E18" s="85"/>
      <c r="F18" s="85"/>
      <c r="G18" s="85"/>
    </row>
    <row r="19" spans="1:7">
      <c r="A19" t="s">
        <v>189</v>
      </c>
      <c r="B19" t="s">
        <v>129</v>
      </c>
      <c r="C19">
        <v>51296</v>
      </c>
      <c r="E19" s="85"/>
      <c r="F19" s="85"/>
      <c r="G19" s="85"/>
    </row>
    <row r="20" spans="1:7">
      <c r="A20" t="s">
        <v>14</v>
      </c>
      <c r="B20" t="s">
        <v>131</v>
      </c>
      <c r="C20">
        <v>5475</v>
      </c>
      <c r="E20" s="85"/>
      <c r="F20" s="85"/>
      <c r="G20" s="85"/>
    </row>
    <row r="21" spans="1:7">
      <c r="A21" t="s">
        <v>17</v>
      </c>
      <c r="B21" t="s">
        <v>133</v>
      </c>
      <c r="C21">
        <v>5476</v>
      </c>
      <c r="E21" s="85"/>
      <c r="F21" s="85"/>
      <c r="G21" s="85"/>
    </row>
    <row r="22" spans="1:7">
      <c r="A22" t="s">
        <v>188</v>
      </c>
      <c r="B22" t="s">
        <v>135</v>
      </c>
      <c r="C22">
        <v>51350</v>
      </c>
      <c r="E22" s="85"/>
      <c r="F22" s="85"/>
      <c r="G22" s="85"/>
    </row>
    <row r="23" spans="1:7">
      <c r="A23" t="s">
        <v>55</v>
      </c>
      <c r="B23" t="s">
        <v>137</v>
      </c>
      <c r="C23">
        <v>51579</v>
      </c>
      <c r="E23" s="85"/>
      <c r="F23" s="85"/>
      <c r="G23" s="85"/>
    </row>
    <row r="24" spans="1:7">
      <c r="A24" t="s">
        <v>48</v>
      </c>
      <c r="B24" t="s">
        <v>138</v>
      </c>
      <c r="C24">
        <v>51630</v>
      </c>
      <c r="E24" s="85"/>
      <c r="F24" s="85"/>
      <c r="G24" s="85"/>
    </row>
    <row r="25" spans="1:7">
      <c r="A25" t="s">
        <v>29</v>
      </c>
      <c r="B25" t="s">
        <v>140</v>
      </c>
      <c r="C25">
        <v>5315</v>
      </c>
      <c r="E25" s="85"/>
      <c r="F25" s="85"/>
      <c r="G25" s="85"/>
    </row>
    <row r="26" spans="1:7">
      <c r="A26" t="s">
        <v>60</v>
      </c>
      <c r="B26" t="s">
        <v>141</v>
      </c>
      <c r="C26">
        <v>51685</v>
      </c>
      <c r="E26" s="85"/>
      <c r="F26" s="85"/>
      <c r="G26" s="85"/>
    </row>
    <row r="27" spans="1:7">
      <c r="A27" t="s">
        <v>50</v>
      </c>
      <c r="B27" t="s">
        <v>143</v>
      </c>
      <c r="C27">
        <v>51730</v>
      </c>
      <c r="E27" s="85"/>
      <c r="F27" s="85"/>
      <c r="G27" s="85"/>
    </row>
    <row r="28" spans="1:7">
      <c r="A28" t="s">
        <v>287</v>
      </c>
      <c r="B28" t="s">
        <v>145</v>
      </c>
      <c r="C28">
        <v>51734</v>
      </c>
      <c r="E28" s="85"/>
      <c r="F28" s="85"/>
      <c r="G28" s="85"/>
    </row>
    <row r="29" spans="1:7">
      <c r="A29" t="s">
        <v>69</v>
      </c>
      <c r="B29" t="s">
        <v>147</v>
      </c>
      <c r="C29">
        <v>51769</v>
      </c>
      <c r="E29" s="85"/>
      <c r="F29" s="85"/>
      <c r="G29" s="85"/>
    </row>
    <row r="30" spans="1:7">
      <c r="A30" t="s">
        <v>63</v>
      </c>
      <c r="B30" t="s">
        <v>149</v>
      </c>
      <c r="C30">
        <v>51856</v>
      </c>
      <c r="E30" s="85"/>
      <c r="F30" s="85"/>
      <c r="G30" s="85"/>
    </row>
    <row r="31" spans="1:7">
      <c r="A31" t="s">
        <v>76</v>
      </c>
      <c r="B31" t="s">
        <v>151</v>
      </c>
      <c r="C31">
        <v>51863</v>
      </c>
      <c r="E31" s="85"/>
      <c r="F31" s="85"/>
      <c r="G31" s="85"/>
    </row>
    <row r="32" spans="1:7">
      <c r="A32" t="s">
        <v>72</v>
      </c>
      <c r="B32" t="s">
        <v>153</v>
      </c>
      <c r="C32">
        <v>51916</v>
      </c>
      <c r="E32" s="85"/>
      <c r="F32" s="85"/>
      <c r="G32" s="85"/>
    </row>
    <row r="33" spans="1:7">
      <c r="A33" t="s">
        <v>294</v>
      </c>
      <c r="B33" t="s">
        <v>155</v>
      </c>
      <c r="C33">
        <v>51938</v>
      </c>
      <c r="E33" s="85"/>
      <c r="F33" s="85"/>
      <c r="G33" s="85"/>
    </row>
    <row r="34" spans="1:7">
      <c r="A34" t="s">
        <v>68</v>
      </c>
      <c r="B34" t="s">
        <v>157</v>
      </c>
      <c r="C34">
        <v>51988</v>
      </c>
      <c r="E34" s="85"/>
      <c r="F34" s="85"/>
      <c r="G34" s="85"/>
    </row>
    <row r="35" spans="1:7">
      <c r="A35" t="s">
        <v>53</v>
      </c>
      <c r="B35" t="s">
        <v>159</v>
      </c>
      <c r="C35">
        <v>52167</v>
      </c>
      <c r="E35" s="85"/>
      <c r="F35" s="85"/>
      <c r="G35" s="85"/>
    </row>
    <row r="36" spans="1:7">
      <c r="A36" t="s">
        <v>66</v>
      </c>
      <c r="B36" t="s">
        <v>161</v>
      </c>
      <c r="C36">
        <v>52186</v>
      </c>
      <c r="E36" s="85"/>
      <c r="F36" s="85"/>
      <c r="G36" s="85"/>
    </row>
    <row r="37" spans="1:7">
      <c r="A37" t="s">
        <v>41</v>
      </c>
      <c r="B37" t="s">
        <v>163</v>
      </c>
      <c r="C37">
        <v>52259</v>
      </c>
      <c r="E37" s="85"/>
      <c r="F37" s="85"/>
      <c r="G37" s="85"/>
    </row>
    <row r="38" spans="1:7">
      <c r="A38" t="s">
        <v>44</v>
      </c>
      <c r="B38" t="s">
        <v>165</v>
      </c>
      <c r="C38">
        <v>52261</v>
      </c>
      <c r="E38" s="85"/>
      <c r="F38" s="85"/>
      <c r="G38" s="85"/>
    </row>
    <row r="39" spans="1:7">
      <c r="A39" t="s">
        <v>40</v>
      </c>
      <c r="B39" t="s">
        <v>167</v>
      </c>
      <c r="C39">
        <v>52320</v>
      </c>
      <c r="E39" s="85"/>
      <c r="F39" s="85"/>
      <c r="G39" s="85"/>
    </row>
    <row r="40" spans="1:7">
      <c r="A40" t="s">
        <v>20</v>
      </c>
      <c r="B40" t="s">
        <v>169</v>
      </c>
      <c r="C40">
        <v>5480</v>
      </c>
      <c r="E40" s="85"/>
      <c r="F40" s="85"/>
      <c r="G40" s="85"/>
    </row>
    <row r="41" spans="1:7">
      <c r="A41" t="s">
        <v>37</v>
      </c>
      <c r="B41" t="s">
        <v>170</v>
      </c>
      <c r="C41">
        <v>92583</v>
      </c>
      <c r="E41" s="85"/>
      <c r="F41" s="85"/>
      <c r="G41" s="85"/>
    </row>
    <row r="42" spans="1:7">
      <c r="A42" t="s">
        <v>295</v>
      </c>
      <c r="B42" t="s">
        <v>172</v>
      </c>
      <c r="C42">
        <v>52407</v>
      </c>
      <c r="E42" s="85"/>
      <c r="F42" s="85"/>
      <c r="G42" s="85"/>
    </row>
    <row r="43" spans="1:7">
      <c r="A43" t="s">
        <v>46</v>
      </c>
      <c r="B43" t="s">
        <v>174</v>
      </c>
      <c r="C43">
        <v>52435</v>
      </c>
      <c r="E43" s="85"/>
      <c r="F43" s="85"/>
      <c r="G43" s="85"/>
    </row>
    <row r="44" spans="1:7">
      <c r="A44" t="s">
        <v>103</v>
      </c>
      <c r="B44" t="s">
        <v>178</v>
      </c>
      <c r="C44">
        <v>5458</v>
      </c>
      <c r="E44" s="85"/>
      <c r="F44" s="85"/>
      <c r="G44" s="85"/>
    </row>
    <row r="45" spans="1:7">
      <c r="A45" t="s">
        <v>289</v>
      </c>
      <c r="B45" t="s">
        <v>194</v>
      </c>
      <c r="C45">
        <v>52897</v>
      </c>
    </row>
    <row r="46" spans="1:7">
      <c r="A46" t="s">
        <v>291</v>
      </c>
      <c r="B46" t="s">
        <v>197</v>
      </c>
      <c r="C46">
        <v>53068</v>
      </c>
    </row>
    <row r="47" spans="1:7">
      <c r="A47" s="85" t="s">
        <v>206</v>
      </c>
      <c r="B47" s="85" t="s">
        <v>205</v>
      </c>
      <c r="C47" s="85">
        <v>99924</v>
      </c>
    </row>
    <row r="48" spans="1:7">
      <c r="A48" s="85" t="s">
        <v>208</v>
      </c>
      <c r="B48" s="85" t="s">
        <v>207</v>
      </c>
      <c r="C48" s="85">
        <v>89545</v>
      </c>
    </row>
    <row r="49" spans="1:3">
      <c r="A49" t="s">
        <v>293</v>
      </c>
      <c r="B49" t="s">
        <v>301</v>
      </c>
      <c r="C49">
        <v>11111</v>
      </c>
    </row>
    <row r="50" spans="1:3">
      <c r="A50" t="s">
        <v>286</v>
      </c>
      <c r="B50" t="s">
        <v>306</v>
      </c>
      <c r="C50" s="102">
        <v>11111</v>
      </c>
    </row>
    <row r="51" spans="1:3">
      <c r="A51" t="s">
        <v>292</v>
      </c>
      <c r="B51" t="s">
        <v>310</v>
      </c>
      <c r="C51" s="102">
        <v>11111</v>
      </c>
    </row>
    <row r="52" spans="1:3" s="124" customFormat="1">
      <c r="A52" s="124" t="s">
        <v>315</v>
      </c>
      <c r="B52" s="124" t="s">
        <v>317</v>
      </c>
      <c r="C52" s="124">
        <v>11111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L49"/>
  <sheetViews>
    <sheetView topLeftCell="C1" zoomScale="90" zoomScaleNormal="90" workbookViewId="0">
      <selection activeCell="C1" sqref="A1:XFD1048576"/>
    </sheetView>
  </sheetViews>
  <sheetFormatPr baseColWidth="10" defaultRowHeight="15" outlineLevelCol="2"/>
  <cols>
    <col min="1" max="1" width="73.85546875" style="96" hidden="1" customWidth="1" outlineLevel="2"/>
    <col min="2" max="2" width="54" style="96" hidden="1" customWidth="1" outlineLevel="2"/>
    <col min="3" max="3" width="39" style="96" bestFit="1" customWidth="1" collapsed="1"/>
    <col min="4" max="5" width="11.42578125" style="97" customWidth="1"/>
    <col min="6" max="6" width="11.42578125" style="98" customWidth="1"/>
    <col min="7" max="8" width="11.42578125" style="99"/>
    <col min="9" max="9" width="39" style="96" bestFit="1" customWidth="1" collapsed="1"/>
    <col min="10" max="10" width="39" style="96" customWidth="1"/>
    <col min="11" max="248" width="11.42578125" style="85"/>
    <col min="249" max="250" width="0" style="85" hidden="1" customWidth="1"/>
    <col min="251" max="251" width="39" style="85" bestFit="1" customWidth="1"/>
    <col min="252" max="254" width="11.42578125" style="85" customWidth="1"/>
    <col min="255" max="256" width="11.42578125" style="85"/>
    <col min="257" max="257" width="39" style="85" bestFit="1" customWidth="1"/>
    <col min="258" max="258" width="39" style="85" customWidth="1"/>
    <col min="259" max="504" width="11.42578125" style="85"/>
    <col min="505" max="506" width="0" style="85" hidden="1" customWidth="1"/>
    <col min="507" max="507" width="39" style="85" bestFit="1" customWidth="1"/>
    <col min="508" max="510" width="11.42578125" style="85" customWidth="1"/>
    <col min="511" max="512" width="11.42578125" style="85"/>
    <col min="513" max="513" width="39" style="85" bestFit="1" customWidth="1"/>
    <col min="514" max="514" width="39" style="85" customWidth="1"/>
    <col min="515" max="760" width="11.42578125" style="85"/>
    <col min="761" max="762" width="0" style="85" hidden="1" customWidth="1"/>
    <col min="763" max="763" width="39" style="85" bestFit="1" customWidth="1"/>
    <col min="764" max="766" width="11.42578125" style="85" customWidth="1"/>
    <col min="767" max="768" width="11.42578125" style="85"/>
    <col min="769" max="769" width="39" style="85" bestFit="1" customWidth="1"/>
    <col min="770" max="770" width="39" style="85" customWidth="1"/>
    <col min="771" max="1016" width="11.42578125" style="85"/>
    <col min="1017" max="1018" width="0" style="85" hidden="1" customWidth="1"/>
    <col min="1019" max="1019" width="39" style="85" bestFit="1" customWidth="1"/>
    <col min="1020" max="1022" width="11.42578125" style="85" customWidth="1"/>
    <col min="1023" max="1024" width="11.42578125" style="85"/>
    <col min="1025" max="1025" width="39" style="85" bestFit="1" customWidth="1"/>
    <col min="1026" max="1026" width="39" style="85" customWidth="1"/>
    <col min="1027" max="1272" width="11.42578125" style="85"/>
    <col min="1273" max="1274" width="0" style="85" hidden="1" customWidth="1"/>
    <col min="1275" max="1275" width="39" style="85" bestFit="1" customWidth="1"/>
    <col min="1276" max="1278" width="11.42578125" style="85" customWidth="1"/>
    <col min="1279" max="1280" width="11.42578125" style="85"/>
    <col min="1281" max="1281" width="39" style="85" bestFit="1" customWidth="1"/>
    <col min="1282" max="1282" width="39" style="85" customWidth="1"/>
    <col min="1283" max="1528" width="11.42578125" style="85"/>
    <col min="1529" max="1530" width="0" style="85" hidden="1" customWidth="1"/>
    <col min="1531" max="1531" width="39" style="85" bestFit="1" customWidth="1"/>
    <col min="1532" max="1534" width="11.42578125" style="85" customWidth="1"/>
    <col min="1535" max="1536" width="11.42578125" style="85"/>
    <col min="1537" max="1537" width="39" style="85" bestFit="1" customWidth="1"/>
    <col min="1538" max="1538" width="39" style="85" customWidth="1"/>
    <col min="1539" max="1784" width="11.42578125" style="85"/>
    <col min="1785" max="1786" width="0" style="85" hidden="1" customWidth="1"/>
    <col min="1787" max="1787" width="39" style="85" bestFit="1" customWidth="1"/>
    <col min="1788" max="1790" width="11.42578125" style="85" customWidth="1"/>
    <col min="1791" max="1792" width="11.42578125" style="85"/>
    <col min="1793" max="1793" width="39" style="85" bestFit="1" customWidth="1"/>
    <col min="1794" max="1794" width="39" style="85" customWidth="1"/>
    <col min="1795" max="2040" width="11.42578125" style="85"/>
    <col min="2041" max="2042" width="0" style="85" hidden="1" customWidth="1"/>
    <col min="2043" max="2043" width="39" style="85" bestFit="1" customWidth="1"/>
    <col min="2044" max="2046" width="11.42578125" style="85" customWidth="1"/>
    <col min="2047" max="2048" width="11.42578125" style="85"/>
    <col min="2049" max="2049" width="39" style="85" bestFit="1" customWidth="1"/>
    <col min="2050" max="2050" width="39" style="85" customWidth="1"/>
    <col min="2051" max="2296" width="11.42578125" style="85"/>
    <col min="2297" max="2298" width="0" style="85" hidden="1" customWidth="1"/>
    <col min="2299" max="2299" width="39" style="85" bestFit="1" customWidth="1"/>
    <col min="2300" max="2302" width="11.42578125" style="85" customWidth="1"/>
    <col min="2303" max="2304" width="11.42578125" style="85"/>
    <col min="2305" max="2305" width="39" style="85" bestFit="1" customWidth="1"/>
    <col min="2306" max="2306" width="39" style="85" customWidth="1"/>
    <col min="2307" max="2552" width="11.42578125" style="85"/>
    <col min="2553" max="2554" width="0" style="85" hidden="1" customWidth="1"/>
    <col min="2555" max="2555" width="39" style="85" bestFit="1" customWidth="1"/>
    <col min="2556" max="2558" width="11.42578125" style="85" customWidth="1"/>
    <col min="2559" max="2560" width="11.42578125" style="85"/>
    <col min="2561" max="2561" width="39" style="85" bestFit="1" customWidth="1"/>
    <col min="2562" max="2562" width="39" style="85" customWidth="1"/>
    <col min="2563" max="2808" width="11.42578125" style="85"/>
    <col min="2809" max="2810" width="0" style="85" hidden="1" customWidth="1"/>
    <col min="2811" max="2811" width="39" style="85" bestFit="1" customWidth="1"/>
    <col min="2812" max="2814" width="11.42578125" style="85" customWidth="1"/>
    <col min="2815" max="2816" width="11.42578125" style="85"/>
    <col min="2817" max="2817" width="39" style="85" bestFit="1" customWidth="1"/>
    <col min="2818" max="2818" width="39" style="85" customWidth="1"/>
    <col min="2819" max="3064" width="11.42578125" style="85"/>
    <col min="3065" max="3066" width="0" style="85" hidden="1" customWidth="1"/>
    <col min="3067" max="3067" width="39" style="85" bestFit="1" customWidth="1"/>
    <col min="3068" max="3070" width="11.42578125" style="85" customWidth="1"/>
    <col min="3071" max="3072" width="11.42578125" style="85"/>
    <col min="3073" max="3073" width="39" style="85" bestFit="1" customWidth="1"/>
    <col min="3074" max="3074" width="39" style="85" customWidth="1"/>
    <col min="3075" max="3320" width="11.42578125" style="85"/>
    <col min="3321" max="3322" width="0" style="85" hidden="1" customWidth="1"/>
    <col min="3323" max="3323" width="39" style="85" bestFit="1" customWidth="1"/>
    <col min="3324" max="3326" width="11.42578125" style="85" customWidth="1"/>
    <col min="3327" max="3328" width="11.42578125" style="85"/>
    <col min="3329" max="3329" width="39" style="85" bestFit="1" customWidth="1"/>
    <col min="3330" max="3330" width="39" style="85" customWidth="1"/>
    <col min="3331" max="3576" width="11.42578125" style="85"/>
    <col min="3577" max="3578" width="0" style="85" hidden="1" customWidth="1"/>
    <col min="3579" max="3579" width="39" style="85" bestFit="1" customWidth="1"/>
    <col min="3580" max="3582" width="11.42578125" style="85" customWidth="1"/>
    <col min="3583" max="3584" width="11.42578125" style="85"/>
    <col min="3585" max="3585" width="39" style="85" bestFit="1" customWidth="1"/>
    <col min="3586" max="3586" width="39" style="85" customWidth="1"/>
    <col min="3587" max="3832" width="11.42578125" style="85"/>
    <col min="3833" max="3834" width="0" style="85" hidden="1" customWidth="1"/>
    <col min="3835" max="3835" width="39" style="85" bestFit="1" customWidth="1"/>
    <col min="3836" max="3838" width="11.42578125" style="85" customWidth="1"/>
    <col min="3839" max="3840" width="11.42578125" style="85"/>
    <col min="3841" max="3841" width="39" style="85" bestFit="1" customWidth="1"/>
    <col min="3842" max="3842" width="39" style="85" customWidth="1"/>
    <col min="3843" max="4088" width="11.42578125" style="85"/>
    <col min="4089" max="4090" width="0" style="85" hidden="1" customWidth="1"/>
    <col min="4091" max="4091" width="39" style="85" bestFit="1" customWidth="1"/>
    <col min="4092" max="4094" width="11.42578125" style="85" customWidth="1"/>
    <col min="4095" max="4096" width="11.42578125" style="85"/>
    <col min="4097" max="4097" width="39" style="85" bestFit="1" customWidth="1"/>
    <col min="4098" max="4098" width="39" style="85" customWidth="1"/>
    <col min="4099" max="4344" width="11.42578125" style="85"/>
    <col min="4345" max="4346" width="0" style="85" hidden="1" customWidth="1"/>
    <col min="4347" max="4347" width="39" style="85" bestFit="1" customWidth="1"/>
    <col min="4348" max="4350" width="11.42578125" style="85" customWidth="1"/>
    <col min="4351" max="4352" width="11.42578125" style="85"/>
    <col min="4353" max="4353" width="39" style="85" bestFit="1" customWidth="1"/>
    <col min="4354" max="4354" width="39" style="85" customWidth="1"/>
    <col min="4355" max="4600" width="11.42578125" style="85"/>
    <col min="4601" max="4602" width="0" style="85" hidden="1" customWidth="1"/>
    <col min="4603" max="4603" width="39" style="85" bestFit="1" customWidth="1"/>
    <col min="4604" max="4606" width="11.42578125" style="85" customWidth="1"/>
    <col min="4607" max="4608" width="11.42578125" style="85"/>
    <col min="4609" max="4609" width="39" style="85" bestFit="1" customWidth="1"/>
    <col min="4610" max="4610" width="39" style="85" customWidth="1"/>
    <col min="4611" max="4856" width="11.42578125" style="85"/>
    <col min="4857" max="4858" width="0" style="85" hidden="1" customWidth="1"/>
    <col min="4859" max="4859" width="39" style="85" bestFit="1" customWidth="1"/>
    <col min="4860" max="4862" width="11.42578125" style="85" customWidth="1"/>
    <col min="4863" max="4864" width="11.42578125" style="85"/>
    <col min="4865" max="4865" width="39" style="85" bestFit="1" customWidth="1"/>
    <col min="4866" max="4866" width="39" style="85" customWidth="1"/>
    <col min="4867" max="5112" width="11.42578125" style="85"/>
    <col min="5113" max="5114" width="0" style="85" hidden="1" customWidth="1"/>
    <col min="5115" max="5115" width="39" style="85" bestFit="1" customWidth="1"/>
    <col min="5116" max="5118" width="11.42578125" style="85" customWidth="1"/>
    <col min="5119" max="5120" width="11.42578125" style="85"/>
    <col min="5121" max="5121" width="39" style="85" bestFit="1" customWidth="1"/>
    <col min="5122" max="5122" width="39" style="85" customWidth="1"/>
    <col min="5123" max="5368" width="11.42578125" style="85"/>
    <col min="5369" max="5370" width="0" style="85" hidden="1" customWidth="1"/>
    <col min="5371" max="5371" width="39" style="85" bestFit="1" customWidth="1"/>
    <col min="5372" max="5374" width="11.42578125" style="85" customWidth="1"/>
    <col min="5375" max="5376" width="11.42578125" style="85"/>
    <col min="5377" max="5377" width="39" style="85" bestFit="1" customWidth="1"/>
    <col min="5378" max="5378" width="39" style="85" customWidth="1"/>
    <col min="5379" max="5624" width="11.42578125" style="85"/>
    <col min="5625" max="5626" width="0" style="85" hidden="1" customWidth="1"/>
    <col min="5627" max="5627" width="39" style="85" bestFit="1" customWidth="1"/>
    <col min="5628" max="5630" width="11.42578125" style="85" customWidth="1"/>
    <col min="5631" max="5632" width="11.42578125" style="85"/>
    <col min="5633" max="5633" width="39" style="85" bestFit="1" customWidth="1"/>
    <col min="5634" max="5634" width="39" style="85" customWidth="1"/>
    <col min="5635" max="5880" width="11.42578125" style="85"/>
    <col min="5881" max="5882" width="0" style="85" hidden="1" customWidth="1"/>
    <col min="5883" max="5883" width="39" style="85" bestFit="1" customWidth="1"/>
    <col min="5884" max="5886" width="11.42578125" style="85" customWidth="1"/>
    <col min="5887" max="5888" width="11.42578125" style="85"/>
    <col min="5889" max="5889" width="39" style="85" bestFit="1" customWidth="1"/>
    <col min="5890" max="5890" width="39" style="85" customWidth="1"/>
    <col min="5891" max="6136" width="11.42578125" style="85"/>
    <col min="6137" max="6138" width="0" style="85" hidden="1" customWidth="1"/>
    <col min="6139" max="6139" width="39" style="85" bestFit="1" customWidth="1"/>
    <col min="6140" max="6142" width="11.42578125" style="85" customWidth="1"/>
    <col min="6143" max="6144" width="11.42578125" style="85"/>
    <col min="6145" max="6145" width="39" style="85" bestFit="1" customWidth="1"/>
    <col min="6146" max="6146" width="39" style="85" customWidth="1"/>
    <col min="6147" max="6392" width="11.42578125" style="85"/>
    <col min="6393" max="6394" width="0" style="85" hidden="1" customWidth="1"/>
    <col min="6395" max="6395" width="39" style="85" bestFit="1" customWidth="1"/>
    <col min="6396" max="6398" width="11.42578125" style="85" customWidth="1"/>
    <col min="6399" max="6400" width="11.42578125" style="85"/>
    <col min="6401" max="6401" width="39" style="85" bestFit="1" customWidth="1"/>
    <col min="6402" max="6402" width="39" style="85" customWidth="1"/>
    <col min="6403" max="6648" width="11.42578125" style="85"/>
    <col min="6649" max="6650" width="0" style="85" hidden="1" customWidth="1"/>
    <col min="6651" max="6651" width="39" style="85" bestFit="1" customWidth="1"/>
    <col min="6652" max="6654" width="11.42578125" style="85" customWidth="1"/>
    <col min="6655" max="6656" width="11.42578125" style="85"/>
    <col min="6657" max="6657" width="39" style="85" bestFit="1" customWidth="1"/>
    <col min="6658" max="6658" width="39" style="85" customWidth="1"/>
    <col min="6659" max="6904" width="11.42578125" style="85"/>
    <col min="6905" max="6906" width="0" style="85" hidden="1" customWidth="1"/>
    <col min="6907" max="6907" width="39" style="85" bestFit="1" customWidth="1"/>
    <col min="6908" max="6910" width="11.42578125" style="85" customWidth="1"/>
    <col min="6911" max="6912" width="11.42578125" style="85"/>
    <col min="6913" max="6913" width="39" style="85" bestFit="1" customWidth="1"/>
    <col min="6914" max="6914" width="39" style="85" customWidth="1"/>
    <col min="6915" max="7160" width="11.42578125" style="85"/>
    <col min="7161" max="7162" width="0" style="85" hidden="1" customWidth="1"/>
    <col min="7163" max="7163" width="39" style="85" bestFit="1" customWidth="1"/>
    <col min="7164" max="7166" width="11.42578125" style="85" customWidth="1"/>
    <col min="7167" max="7168" width="11.42578125" style="85"/>
    <col min="7169" max="7169" width="39" style="85" bestFit="1" customWidth="1"/>
    <col min="7170" max="7170" width="39" style="85" customWidth="1"/>
    <col min="7171" max="7416" width="11.42578125" style="85"/>
    <col min="7417" max="7418" width="0" style="85" hidden="1" customWidth="1"/>
    <col min="7419" max="7419" width="39" style="85" bestFit="1" customWidth="1"/>
    <col min="7420" max="7422" width="11.42578125" style="85" customWidth="1"/>
    <col min="7423" max="7424" width="11.42578125" style="85"/>
    <col min="7425" max="7425" width="39" style="85" bestFit="1" customWidth="1"/>
    <col min="7426" max="7426" width="39" style="85" customWidth="1"/>
    <col min="7427" max="7672" width="11.42578125" style="85"/>
    <col min="7673" max="7674" width="0" style="85" hidden="1" customWidth="1"/>
    <col min="7675" max="7675" width="39" style="85" bestFit="1" customWidth="1"/>
    <col min="7676" max="7678" width="11.42578125" style="85" customWidth="1"/>
    <col min="7679" max="7680" width="11.42578125" style="85"/>
    <col min="7681" max="7681" width="39" style="85" bestFit="1" customWidth="1"/>
    <col min="7682" max="7682" width="39" style="85" customWidth="1"/>
    <col min="7683" max="7928" width="11.42578125" style="85"/>
    <col min="7929" max="7930" width="0" style="85" hidden="1" customWidth="1"/>
    <col min="7931" max="7931" width="39" style="85" bestFit="1" customWidth="1"/>
    <col min="7932" max="7934" width="11.42578125" style="85" customWidth="1"/>
    <col min="7935" max="7936" width="11.42578125" style="85"/>
    <col min="7937" max="7937" width="39" style="85" bestFit="1" customWidth="1"/>
    <col min="7938" max="7938" width="39" style="85" customWidth="1"/>
    <col min="7939" max="8184" width="11.42578125" style="85"/>
    <col min="8185" max="8186" width="0" style="85" hidden="1" customWidth="1"/>
    <col min="8187" max="8187" width="39" style="85" bestFit="1" customWidth="1"/>
    <col min="8188" max="8190" width="11.42578125" style="85" customWidth="1"/>
    <col min="8191" max="8192" width="11.42578125" style="85"/>
    <col min="8193" max="8193" width="39" style="85" bestFit="1" customWidth="1"/>
    <col min="8194" max="8194" width="39" style="85" customWidth="1"/>
    <col min="8195" max="8440" width="11.42578125" style="85"/>
    <col min="8441" max="8442" width="0" style="85" hidden="1" customWidth="1"/>
    <col min="8443" max="8443" width="39" style="85" bestFit="1" customWidth="1"/>
    <col min="8444" max="8446" width="11.42578125" style="85" customWidth="1"/>
    <col min="8447" max="8448" width="11.42578125" style="85"/>
    <col min="8449" max="8449" width="39" style="85" bestFit="1" customWidth="1"/>
    <col min="8450" max="8450" width="39" style="85" customWidth="1"/>
    <col min="8451" max="8696" width="11.42578125" style="85"/>
    <col min="8697" max="8698" width="0" style="85" hidden="1" customWidth="1"/>
    <col min="8699" max="8699" width="39" style="85" bestFit="1" customWidth="1"/>
    <col min="8700" max="8702" width="11.42578125" style="85" customWidth="1"/>
    <col min="8703" max="8704" width="11.42578125" style="85"/>
    <col min="8705" max="8705" width="39" style="85" bestFit="1" customWidth="1"/>
    <col min="8706" max="8706" width="39" style="85" customWidth="1"/>
    <col min="8707" max="8952" width="11.42578125" style="85"/>
    <col min="8953" max="8954" width="0" style="85" hidden="1" customWidth="1"/>
    <col min="8955" max="8955" width="39" style="85" bestFit="1" customWidth="1"/>
    <col min="8956" max="8958" width="11.42578125" style="85" customWidth="1"/>
    <col min="8959" max="8960" width="11.42578125" style="85"/>
    <col min="8961" max="8961" width="39" style="85" bestFit="1" customWidth="1"/>
    <col min="8962" max="8962" width="39" style="85" customWidth="1"/>
    <col min="8963" max="9208" width="11.42578125" style="85"/>
    <col min="9209" max="9210" width="0" style="85" hidden="1" customWidth="1"/>
    <col min="9211" max="9211" width="39" style="85" bestFit="1" customWidth="1"/>
    <col min="9212" max="9214" width="11.42578125" style="85" customWidth="1"/>
    <col min="9215" max="9216" width="11.42578125" style="85"/>
    <col min="9217" max="9217" width="39" style="85" bestFit="1" customWidth="1"/>
    <col min="9218" max="9218" width="39" style="85" customWidth="1"/>
    <col min="9219" max="9464" width="11.42578125" style="85"/>
    <col min="9465" max="9466" width="0" style="85" hidden="1" customWidth="1"/>
    <col min="9467" max="9467" width="39" style="85" bestFit="1" customWidth="1"/>
    <col min="9468" max="9470" width="11.42578125" style="85" customWidth="1"/>
    <col min="9471" max="9472" width="11.42578125" style="85"/>
    <col min="9473" max="9473" width="39" style="85" bestFit="1" customWidth="1"/>
    <col min="9474" max="9474" width="39" style="85" customWidth="1"/>
    <col min="9475" max="9720" width="11.42578125" style="85"/>
    <col min="9721" max="9722" width="0" style="85" hidden="1" customWidth="1"/>
    <col min="9723" max="9723" width="39" style="85" bestFit="1" customWidth="1"/>
    <col min="9724" max="9726" width="11.42578125" style="85" customWidth="1"/>
    <col min="9727" max="9728" width="11.42578125" style="85"/>
    <col min="9729" max="9729" width="39" style="85" bestFit="1" customWidth="1"/>
    <col min="9730" max="9730" width="39" style="85" customWidth="1"/>
    <col min="9731" max="9976" width="11.42578125" style="85"/>
    <col min="9977" max="9978" width="0" style="85" hidden="1" customWidth="1"/>
    <col min="9979" max="9979" width="39" style="85" bestFit="1" customWidth="1"/>
    <col min="9980" max="9982" width="11.42578125" style="85" customWidth="1"/>
    <col min="9983" max="9984" width="11.42578125" style="85"/>
    <col min="9985" max="9985" width="39" style="85" bestFit="1" customWidth="1"/>
    <col min="9986" max="9986" width="39" style="85" customWidth="1"/>
    <col min="9987" max="10232" width="11.42578125" style="85"/>
    <col min="10233" max="10234" width="0" style="85" hidden="1" customWidth="1"/>
    <col min="10235" max="10235" width="39" style="85" bestFit="1" customWidth="1"/>
    <col min="10236" max="10238" width="11.42578125" style="85" customWidth="1"/>
    <col min="10239" max="10240" width="11.42578125" style="85"/>
    <col min="10241" max="10241" width="39" style="85" bestFit="1" customWidth="1"/>
    <col min="10242" max="10242" width="39" style="85" customWidth="1"/>
    <col min="10243" max="10488" width="11.42578125" style="85"/>
    <col min="10489" max="10490" width="0" style="85" hidden="1" customWidth="1"/>
    <col min="10491" max="10491" width="39" style="85" bestFit="1" customWidth="1"/>
    <col min="10492" max="10494" width="11.42578125" style="85" customWidth="1"/>
    <col min="10495" max="10496" width="11.42578125" style="85"/>
    <col min="10497" max="10497" width="39" style="85" bestFit="1" customWidth="1"/>
    <col min="10498" max="10498" width="39" style="85" customWidth="1"/>
    <col min="10499" max="10744" width="11.42578125" style="85"/>
    <col min="10745" max="10746" width="0" style="85" hidden="1" customWidth="1"/>
    <col min="10747" max="10747" width="39" style="85" bestFit="1" customWidth="1"/>
    <col min="10748" max="10750" width="11.42578125" style="85" customWidth="1"/>
    <col min="10751" max="10752" width="11.42578125" style="85"/>
    <col min="10753" max="10753" width="39" style="85" bestFit="1" customWidth="1"/>
    <col min="10754" max="10754" width="39" style="85" customWidth="1"/>
    <col min="10755" max="11000" width="11.42578125" style="85"/>
    <col min="11001" max="11002" width="0" style="85" hidden="1" customWidth="1"/>
    <col min="11003" max="11003" width="39" style="85" bestFit="1" customWidth="1"/>
    <col min="11004" max="11006" width="11.42578125" style="85" customWidth="1"/>
    <col min="11007" max="11008" width="11.42578125" style="85"/>
    <col min="11009" max="11009" width="39" style="85" bestFit="1" customWidth="1"/>
    <col min="11010" max="11010" width="39" style="85" customWidth="1"/>
    <col min="11011" max="11256" width="11.42578125" style="85"/>
    <col min="11257" max="11258" width="0" style="85" hidden="1" customWidth="1"/>
    <col min="11259" max="11259" width="39" style="85" bestFit="1" customWidth="1"/>
    <col min="11260" max="11262" width="11.42578125" style="85" customWidth="1"/>
    <col min="11263" max="11264" width="11.42578125" style="85"/>
    <col min="11265" max="11265" width="39" style="85" bestFit="1" customWidth="1"/>
    <col min="11266" max="11266" width="39" style="85" customWidth="1"/>
    <col min="11267" max="11512" width="11.42578125" style="85"/>
    <col min="11513" max="11514" width="0" style="85" hidden="1" customWidth="1"/>
    <col min="11515" max="11515" width="39" style="85" bestFit="1" customWidth="1"/>
    <col min="11516" max="11518" width="11.42578125" style="85" customWidth="1"/>
    <col min="11519" max="11520" width="11.42578125" style="85"/>
    <col min="11521" max="11521" width="39" style="85" bestFit="1" customWidth="1"/>
    <col min="11522" max="11522" width="39" style="85" customWidth="1"/>
    <col min="11523" max="11768" width="11.42578125" style="85"/>
    <col min="11769" max="11770" width="0" style="85" hidden="1" customWidth="1"/>
    <col min="11771" max="11771" width="39" style="85" bestFit="1" customWidth="1"/>
    <col min="11772" max="11774" width="11.42578125" style="85" customWidth="1"/>
    <col min="11775" max="11776" width="11.42578125" style="85"/>
    <col min="11777" max="11777" width="39" style="85" bestFit="1" customWidth="1"/>
    <col min="11778" max="11778" width="39" style="85" customWidth="1"/>
    <col min="11779" max="12024" width="11.42578125" style="85"/>
    <col min="12025" max="12026" width="0" style="85" hidden="1" customWidth="1"/>
    <col min="12027" max="12027" width="39" style="85" bestFit="1" customWidth="1"/>
    <col min="12028" max="12030" width="11.42578125" style="85" customWidth="1"/>
    <col min="12031" max="12032" width="11.42578125" style="85"/>
    <col min="12033" max="12033" width="39" style="85" bestFit="1" customWidth="1"/>
    <col min="12034" max="12034" width="39" style="85" customWidth="1"/>
    <col min="12035" max="12280" width="11.42578125" style="85"/>
    <col min="12281" max="12282" width="0" style="85" hidden="1" customWidth="1"/>
    <col min="12283" max="12283" width="39" style="85" bestFit="1" customWidth="1"/>
    <col min="12284" max="12286" width="11.42578125" style="85" customWidth="1"/>
    <col min="12287" max="12288" width="11.42578125" style="85"/>
    <col min="12289" max="12289" width="39" style="85" bestFit="1" customWidth="1"/>
    <col min="12290" max="12290" width="39" style="85" customWidth="1"/>
    <col min="12291" max="12536" width="11.42578125" style="85"/>
    <col min="12537" max="12538" width="0" style="85" hidden="1" customWidth="1"/>
    <col min="12539" max="12539" width="39" style="85" bestFit="1" customWidth="1"/>
    <col min="12540" max="12542" width="11.42578125" style="85" customWidth="1"/>
    <col min="12543" max="12544" width="11.42578125" style="85"/>
    <col min="12545" max="12545" width="39" style="85" bestFit="1" customWidth="1"/>
    <col min="12546" max="12546" width="39" style="85" customWidth="1"/>
    <col min="12547" max="12792" width="11.42578125" style="85"/>
    <col min="12793" max="12794" width="0" style="85" hidden="1" customWidth="1"/>
    <col min="12795" max="12795" width="39" style="85" bestFit="1" customWidth="1"/>
    <col min="12796" max="12798" width="11.42578125" style="85" customWidth="1"/>
    <col min="12799" max="12800" width="11.42578125" style="85"/>
    <col min="12801" max="12801" width="39" style="85" bestFit="1" customWidth="1"/>
    <col min="12802" max="12802" width="39" style="85" customWidth="1"/>
    <col min="12803" max="13048" width="11.42578125" style="85"/>
    <col min="13049" max="13050" width="0" style="85" hidden="1" customWidth="1"/>
    <col min="13051" max="13051" width="39" style="85" bestFit="1" customWidth="1"/>
    <col min="13052" max="13054" width="11.42578125" style="85" customWidth="1"/>
    <col min="13055" max="13056" width="11.42578125" style="85"/>
    <col min="13057" max="13057" width="39" style="85" bestFit="1" customWidth="1"/>
    <col min="13058" max="13058" width="39" style="85" customWidth="1"/>
    <col min="13059" max="13304" width="11.42578125" style="85"/>
    <col min="13305" max="13306" width="0" style="85" hidden="1" customWidth="1"/>
    <col min="13307" max="13307" width="39" style="85" bestFit="1" customWidth="1"/>
    <col min="13308" max="13310" width="11.42578125" style="85" customWidth="1"/>
    <col min="13311" max="13312" width="11.42578125" style="85"/>
    <col min="13313" max="13313" width="39" style="85" bestFit="1" customWidth="1"/>
    <col min="13314" max="13314" width="39" style="85" customWidth="1"/>
    <col min="13315" max="13560" width="11.42578125" style="85"/>
    <col min="13561" max="13562" width="0" style="85" hidden="1" customWidth="1"/>
    <col min="13563" max="13563" width="39" style="85" bestFit="1" customWidth="1"/>
    <col min="13564" max="13566" width="11.42578125" style="85" customWidth="1"/>
    <col min="13567" max="13568" width="11.42578125" style="85"/>
    <col min="13569" max="13569" width="39" style="85" bestFit="1" customWidth="1"/>
    <col min="13570" max="13570" width="39" style="85" customWidth="1"/>
    <col min="13571" max="13816" width="11.42578125" style="85"/>
    <col min="13817" max="13818" width="0" style="85" hidden="1" customWidth="1"/>
    <col min="13819" max="13819" width="39" style="85" bestFit="1" customWidth="1"/>
    <col min="13820" max="13822" width="11.42578125" style="85" customWidth="1"/>
    <col min="13823" max="13824" width="11.42578125" style="85"/>
    <col min="13825" max="13825" width="39" style="85" bestFit="1" customWidth="1"/>
    <col min="13826" max="13826" width="39" style="85" customWidth="1"/>
    <col min="13827" max="14072" width="11.42578125" style="85"/>
    <col min="14073" max="14074" width="0" style="85" hidden="1" customWidth="1"/>
    <col min="14075" max="14075" width="39" style="85" bestFit="1" customWidth="1"/>
    <col min="14076" max="14078" width="11.42578125" style="85" customWidth="1"/>
    <col min="14079" max="14080" width="11.42578125" style="85"/>
    <col min="14081" max="14081" width="39" style="85" bestFit="1" customWidth="1"/>
    <col min="14082" max="14082" width="39" style="85" customWidth="1"/>
    <col min="14083" max="14328" width="11.42578125" style="85"/>
    <col min="14329" max="14330" width="0" style="85" hidden="1" customWidth="1"/>
    <col min="14331" max="14331" width="39" style="85" bestFit="1" customWidth="1"/>
    <col min="14332" max="14334" width="11.42578125" style="85" customWidth="1"/>
    <col min="14335" max="14336" width="11.42578125" style="85"/>
    <col min="14337" max="14337" width="39" style="85" bestFit="1" customWidth="1"/>
    <col min="14338" max="14338" width="39" style="85" customWidth="1"/>
    <col min="14339" max="14584" width="11.42578125" style="85"/>
    <col min="14585" max="14586" width="0" style="85" hidden="1" customWidth="1"/>
    <col min="14587" max="14587" width="39" style="85" bestFit="1" customWidth="1"/>
    <col min="14588" max="14590" width="11.42578125" style="85" customWidth="1"/>
    <col min="14591" max="14592" width="11.42578125" style="85"/>
    <col min="14593" max="14593" width="39" style="85" bestFit="1" customWidth="1"/>
    <col min="14594" max="14594" width="39" style="85" customWidth="1"/>
    <col min="14595" max="14840" width="11.42578125" style="85"/>
    <col min="14841" max="14842" width="0" style="85" hidden="1" customWidth="1"/>
    <col min="14843" max="14843" width="39" style="85" bestFit="1" customWidth="1"/>
    <col min="14844" max="14846" width="11.42578125" style="85" customWidth="1"/>
    <col min="14847" max="14848" width="11.42578125" style="85"/>
    <col min="14849" max="14849" width="39" style="85" bestFit="1" customWidth="1"/>
    <col min="14850" max="14850" width="39" style="85" customWidth="1"/>
    <col min="14851" max="15096" width="11.42578125" style="85"/>
    <col min="15097" max="15098" width="0" style="85" hidden="1" customWidth="1"/>
    <col min="15099" max="15099" width="39" style="85" bestFit="1" customWidth="1"/>
    <col min="15100" max="15102" width="11.42578125" style="85" customWidth="1"/>
    <col min="15103" max="15104" width="11.42578125" style="85"/>
    <col min="15105" max="15105" width="39" style="85" bestFit="1" customWidth="1"/>
    <col min="15106" max="15106" width="39" style="85" customWidth="1"/>
    <col min="15107" max="15352" width="11.42578125" style="85"/>
    <col min="15353" max="15354" width="0" style="85" hidden="1" customWidth="1"/>
    <col min="15355" max="15355" width="39" style="85" bestFit="1" customWidth="1"/>
    <col min="15356" max="15358" width="11.42578125" style="85" customWidth="1"/>
    <col min="15359" max="15360" width="11.42578125" style="85"/>
    <col min="15361" max="15361" width="39" style="85" bestFit="1" customWidth="1"/>
    <col min="15362" max="15362" width="39" style="85" customWidth="1"/>
    <col min="15363" max="15608" width="11.42578125" style="85"/>
    <col min="15609" max="15610" width="0" style="85" hidden="1" customWidth="1"/>
    <col min="15611" max="15611" width="39" style="85" bestFit="1" customWidth="1"/>
    <col min="15612" max="15614" width="11.42578125" style="85" customWidth="1"/>
    <col min="15615" max="15616" width="11.42578125" style="85"/>
    <col min="15617" max="15617" width="39" style="85" bestFit="1" customWidth="1"/>
    <col min="15618" max="15618" width="39" style="85" customWidth="1"/>
    <col min="15619" max="15864" width="11.42578125" style="85"/>
    <col min="15865" max="15866" width="0" style="85" hidden="1" customWidth="1"/>
    <col min="15867" max="15867" width="39" style="85" bestFit="1" customWidth="1"/>
    <col min="15868" max="15870" width="11.42578125" style="85" customWidth="1"/>
    <col min="15871" max="15872" width="11.42578125" style="85"/>
    <col min="15873" max="15873" width="39" style="85" bestFit="1" customWidth="1"/>
    <col min="15874" max="15874" width="39" style="85" customWidth="1"/>
    <col min="15875" max="16120" width="11.42578125" style="85"/>
    <col min="16121" max="16122" width="0" style="85" hidden="1" customWidth="1"/>
    <col min="16123" max="16123" width="39" style="85" bestFit="1" customWidth="1"/>
    <col min="16124" max="16126" width="11.42578125" style="85" customWidth="1"/>
    <col min="16127" max="16128" width="11.42578125" style="85"/>
    <col min="16129" max="16129" width="39" style="85" bestFit="1" customWidth="1"/>
    <col min="16130" max="16130" width="39" style="85" customWidth="1"/>
    <col min="16131" max="16384" width="11.42578125" style="85"/>
  </cols>
  <sheetData>
    <row r="2" spans="1:12">
      <c r="A2" s="105"/>
      <c r="B2" s="105"/>
      <c r="C2" s="107"/>
      <c r="D2" s="105"/>
      <c r="E2" s="105"/>
      <c r="F2" s="105"/>
      <c r="G2" s="105"/>
      <c r="H2" s="105"/>
      <c r="I2" s="107"/>
      <c r="J2" s="122"/>
      <c r="K2" s="105"/>
      <c r="L2" s="105"/>
    </row>
    <row r="3" spans="1:12">
      <c r="A3" s="105"/>
      <c r="B3" s="105"/>
      <c r="C3" s="108" t="s">
        <v>210</v>
      </c>
      <c r="D3" s="112" t="s">
        <v>211</v>
      </c>
      <c r="E3" s="112" t="s">
        <v>210</v>
      </c>
      <c r="F3" s="105"/>
      <c r="G3" s="112" t="s">
        <v>212</v>
      </c>
      <c r="H3" s="112"/>
      <c r="I3" s="108"/>
      <c r="J3" s="108"/>
      <c r="K3" s="108"/>
      <c r="L3" s="105"/>
    </row>
    <row r="4" spans="1:12" ht="15.75" thickBot="1">
      <c r="A4" s="106" t="s">
        <v>213</v>
      </c>
      <c r="B4" s="106" t="s">
        <v>214</v>
      </c>
      <c r="C4" s="110" t="s">
        <v>215</v>
      </c>
      <c r="D4" s="113"/>
      <c r="E4" s="113"/>
      <c r="F4" s="105"/>
      <c r="G4" s="113" t="s">
        <v>216</v>
      </c>
      <c r="H4" s="113" t="s">
        <v>217</v>
      </c>
      <c r="I4" s="110"/>
      <c r="J4" s="110"/>
      <c r="K4" s="110" t="s">
        <v>266</v>
      </c>
      <c r="L4" s="105"/>
    </row>
    <row r="5" spans="1:12">
      <c r="A5" s="106" t="s">
        <v>218</v>
      </c>
      <c r="B5" s="106" t="s">
        <v>222</v>
      </c>
      <c r="C5" s="106" t="s">
        <v>15</v>
      </c>
      <c r="D5" s="111">
        <v>103.25</v>
      </c>
      <c r="E5" s="111">
        <v>103.34254946083917</v>
      </c>
      <c r="F5" s="114"/>
      <c r="G5" s="116">
        <v>103.25</v>
      </c>
      <c r="H5" s="117">
        <v>7.6930620184926246E-3</v>
      </c>
      <c r="I5" s="106" t="s">
        <v>220</v>
      </c>
      <c r="J5" s="106" t="s">
        <v>223</v>
      </c>
      <c r="K5" s="116">
        <v>0.80505704120980293</v>
      </c>
      <c r="L5" s="105"/>
    </row>
    <row r="6" spans="1:12">
      <c r="A6" s="106" t="s">
        <v>218</v>
      </c>
      <c r="B6" s="106" t="s">
        <v>224</v>
      </c>
      <c r="C6" s="106" t="s">
        <v>17</v>
      </c>
      <c r="D6" s="111">
        <v>106</v>
      </c>
      <c r="E6" s="111">
        <v>106.35413072929235</v>
      </c>
      <c r="F6" s="105"/>
      <c r="G6" s="116">
        <v>106</v>
      </c>
      <c r="H6" s="117">
        <v>1.0825858140136702E-2</v>
      </c>
      <c r="I6" s="106" t="s">
        <v>220</v>
      </c>
      <c r="J6" s="106" t="s">
        <v>223</v>
      </c>
      <c r="K6" s="116">
        <v>1.4585704759896558</v>
      </c>
      <c r="L6" s="106"/>
    </row>
    <row r="7" spans="1:12">
      <c r="A7" s="106" t="s">
        <v>218</v>
      </c>
      <c r="B7" s="106" t="s">
        <v>225</v>
      </c>
      <c r="C7" s="106" t="s">
        <v>20</v>
      </c>
      <c r="D7" s="111">
        <v>102.5</v>
      </c>
      <c r="E7" s="111">
        <v>96.352746697252172</v>
      </c>
      <c r="F7" s="105"/>
      <c r="G7" s="116">
        <v>102.5</v>
      </c>
      <c r="H7" s="117">
        <v>1.2745449499236172E-2</v>
      </c>
      <c r="I7" s="106" t="s">
        <v>220</v>
      </c>
      <c r="J7" s="106" t="s">
        <v>223</v>
      </c>
      <c r="K7" s="116">
        <v>2.5139607768895256</v>
      </c>
      <c r="L7" s="106"/>
    </row>
    <row r="8" spans="1:12">
      <c r="A8" s="106" t="s">
        <v>226</v>
      </c>
      <c r="B8" s="106" t="s">
        <v>227</v>
      </c>
      <c r="C8" s="106" t="s">
        <v>22</v>
      </c>
      <c r="D8" s="111">
        <v>166.2</v>
      </c>
      <c r="E8" s="111">
        <v>163.80009640313042</v>
      </c>
      <c r="F8" s="114"/>
      <c r="G8" s="116">
        <v>166.2</v>
      </c>
      <c r="H8" s="117">
        <v>2.780701395963836E-2</v>
      </c>
      <c r="I8" s="106" t="s">
        <v>220</v>
      </c>
      <c r="J8" s="106" t="s">
        <v>223</v>
      </c>
      <c r="K8" s="116">
        <v>2.0469371169843034</v>
      </c>
      <c r="L8" s="106"/>
    </row>
    <row r="9" spans="1:12">
      <c r="A9" s="106" t="s">
        <v>218</v>
      </c>
      <c r="B9" s="106" t="s">
        <v>228</v>
      </c>
      <c r="C9" s="106" t="s">
        <v>26</v>
      </c>
      <c r="D9" s="111">
        <v>107.1</v>
      </c>
      <c r="E9" s="111">
        <v>0</v>
      </c>
      <c r="F9" s="105"/>
      <c r="G9" s="116">
        <v>107.1</v>
      </c>
      <c r="H9" s="117">
        <v>0.23631964287074858</v>
      </c>
      <c r="I9" s="106"/>
      <c r="J9" s="106" t="s">
        <v>223</v>
      </c>
      <c r="K9" s="116">
        <v>1.6395754454513933</v>
      </c>
      <c r="L9" s="106"/>
    </row>
    <row r="10" spans="1:12">
      <c r="A10" s="106" t="s">
        <v>230</v>
      </c>
      <c r="B10" s="106" t="s">
        <v>316</v>
      </c>
      <c r="C10" s="106" t="s">
        <v>315</v>
      </c>
      <c r="D10" s="111">
        <v>106.1</v>
      </c>
      <c r="E10" s="111">
        <v>105.42734097616346</v>
      </c>
      <c r="F10" s="105"/>
      <c r="G10" s="116">
        <v>106.1</v>
      </c>
      <c r="H10" s="117">
        <v>1.8314853310585022E-2</v>
      </c>
      <c r="I10" s="105" t="s">
        <v>229</v>
      </c>
      <c r="J10" s="106" t="s">
        <v>223</v>
      </c>
      <c r="K10" s="116">
        <v>1.6249665589413085</v>
      </c>
      <c r="L10" s="106"/>
    </row>
    <row r="11" spans="1:12">
      <c r="A11" s="106" t="s">
        <v>230</v>
      </c>
      <c r="B11" s="106" t="s">
        <v>231</v>
      </c>
      <c r="C11" s="106" t="s">
        <v>29</v>
      </c>
      <c r="D11" s="111">
        <v>140.19999999999999</v>
      </c>
      <c r="E11" s="111">
        <v>140.05480130364259</v>
      </c>
      <c r="F11" s="105"/>
      <c r="G11" s="116">
        <v>140.19999999999999</v>
      </c>
      <c r="H11" s="117">
        <v>3.5467475040920959E-2</v>
      </c>
      <c r="I11" s="106" t="s">
        <v>229</v>
      </c>
      <c r="J11" s="106" t="s">
        <v>223</v>
      </c>
      <c r="K11" s="116">
        <v>3.1162152555989544</v>
      </c>
      <c r="L11" s="106"/>
    </row>
    <row r="12" spans="1:12">
      <c r="A12" s="106" t="s">
        <v>218</v>
      </c>
      <c r="B12" s="106" t="s">
        <v>233</v>
      </c>
      <c r="C12" s="106" t="s">
        <v>37</v>
      </c>
      <c r="D12" s="111">
        <v>2065</v>
      </c>
      <c r="E12" s="111">
        <v>2065.8475947356483</v>
      </c>
      <c r="F12" s="114"/>
      <c r="G12" s="116">
        <v>2065</v>
      </c>
      <c r="H12" s="117">
        <v>5.2421855275266438E-2</v>
      </c>
      <c r="I12" s="106" t="s">
        <v>232</v>
      </c>
      <c r="J12" s="106" t="s">
        <v>223</v>
      </c>
      <c r="K12" s="116">
        <v>3.3672351410341701</v>
      </c>
      <c r="L12" s="106"/>
    </row>
    <row r="13" spans="1:12">
      <c r="A13" s="106" t="s">
        <v>234</v>
      </c>
      <c r="B13" s="106" t="s">
        <v>235</v>
      </c>
      <c r="C13" s="107" t="s">
        <v>41</v>
      </c>
      <c r="D13" s="118">
        <v>100.64</v>
      </c>
      <c r="E13" s="118">
        <v>101.38329396439697</v>
      </c>
      <c r="F13" s="119" t="s">
        <v>219</v>
      </c>
      <c r="G13" s="120">
        <v>101.38329396439697</v>
      </c>
      <c r="H13" s="121">
        <v>4.3196699126642452E-2</v>
      </c>
      <c r="I13" s="107" t="s">
        <v>220</v>
      </c>
      <c r="J13" s="107" t="s">
        <v>221</v>
      </c>
      <c r="K13" s="120">
        <v>1.398060025806801</v>
      </c>
      <c r="L13" s="106"/>
    </row>
    <row r="14" spans="1:12">
      <c r="A14" s="106" t="s">
        <v>234</v>
      </c>
      <c r="B14" s="106" t="s">
        <v>308</v>
      </c>
      <c r="C14" s="106" t="s">
        <v>286</v>
      </c>
      <c r="D14" s="111">
        <v>102.67</v>
      </c>
      <c r="E14" s="111">
        <v>103.81825073858306</v>
      </c>
      <c r="F14" s="114" t="s">
        <v>219</v>
      </c>
      <c r="G14" s="116">
        <v>103.81825073858306</v>
      </c>
      <c r="H14" s="117">
        <v>3.363004103524056E-2</v>
      </c>
      <c r="I14" s="106" t="s">
        <v>220</v>
      </c>
      <c r="J14" s="106" t="s">
        <v>221</v>
      </c>
      <c r="K14" s="116">
        <v>1.3744179381829043</v>
      </c>
      <c r="L14" s="106"/>
    </row>
    <row r="15" spans="1:12">
      <c r="A15" s="106" t="s">
        <v>234</v>
      </c>
      <c r="B15" s="106" t="s">
        <v>236</v>
      </c>
      <c r="C15" s="106" t="s">
        <v>44</v>
      </c>
      <c r="D15" s="111">
        <v>0</v>
      </c>
      <c r="E15" s="111">
        <v>102.80872397281017</v>
      </c>
      <c r="F15" s="114" t="s">
        <v>219</v>
      </c>
      <c r="G15" s="116">
        <v>102.80872397281017</v>
      </c>
      <c r="H15" s="117">
        <v>2.7699999999999999E-2</v>
      </c>
      <c r="I15" s="106" t="s">
        <v>220</v>
      </c>
      <c r="J15" s="106" t="s">
        <v>237</v>
      </c>
      <c r="K15" s="116">
        <v>1.4104744639889821</v>
      </c>
      <c r="L15" s="106"/>
    </row>
    <row r="16" spans="1:12">
      <c r="A16" s="106" t="s">
        <v>234</v>
      </c>
      <c r="B16" s="106" t="s">
        <v>238</v>
      </c>
      <c r="C16" s="106" t="s">
        <v>40</v>
      </c>
      <c r="D16" s="111">
        <v>0</v>
      </c>
      <c r="E16" s="111">
        <v>100.31797419067735</v>
      </c>
      <c r="F16" s="114" t="s">
        <v>219</v>
      </c>
      <c r="G16" s="116">
        <v>100.31797419067735</v>
      </c>
      <c r="H16" s="117">
        <v>2.47E-2</v>
      </c>
      <c r="I16" s="106" t="s">
        <v>220</v>
      </c>
      <c r="J16" s="106" t="s">
        <v>237</v>
      </c>
      <c r="K16" s="116">
        <v>1.5221278149393427</v>
      </c>
      <c r="L16" s="106"/>
    </row>
    <row r="17" spans="1:12">
      <c r="A17" s="106" t="s">
        <v>234</v>
      </c>
      <c r="B17" s="106" t="s">
        <v>239</v>
      </c>
      <c r="C17" s="106" t="s">
        <v>48</v>
      </c>
      <c r="D17" s="111">
        <v>104.52</v>
      </c>
      <c r="E17" s="111">
        <v>106.21556490933951</v>
      </c>
      <c r="F17" s="109" t="s">
        <v>219</v>
      </c>
      <c r="G17" s="116">
        <v>106.21556490933951</v>
      </c>
      <c r="H17" s="117">
        <v>2.8654083028870764E-2</v>
      </c>
      <c r="I17" s="106" t="s">
        <v>220</v>
      </c>
      <c r="J17" s="106" t="s">
        <v>221</v>
      </c>
      <c r="K17" s="116">
        <v>0.65001892136660777</v>
      </c>
      <c r="L17" s="106"/>
    </row>
    <row r="18" spans="1:12">
      <c r="A18" s="106" t="s">
        <v>234</v>
      </c>
      <c r="B18" s="106" t="s">
        <v>240</v>
      </c>
      <c r="C18" s="106" t="s">
        <v>50</v>
      </c>
      <c r="D18" s="111">
        <v>105.55</v>
      </c>
      <c r="E18" s="111">
        <v>103.52158553324263</v>
      </c>
      <c r="F18" s="114" t="s">
        <v>219</v>
      </c>
      <c r="G18" s="116">
        <v>103.52158553324263</v>
      </c>
      <c r="H18" s="117">
        <v>3.5411745360775487E-2</v>
      </c>
      <c r="I18" s="106" t="s">
        <v>220</v>
      </c>
      <c r="J18" s="106" t="s">
        <v>221</v>
      </c>
      <c r="K18" s="116">
        <v>1.0696669081589745</v>
      </c>
      <c r="L18" s="106"/>
    </row>
    <row r="19" spans="1:12">
      <c r="A19" s="106" t="s">
        <v>234</v>
      </c>
      <c r="B19" s="106" t="s">
        <v>241</v>
      </c>
      <c r="C19" s="106" t="s">
        <v>287</v>
      </c>
      <c r="D19" s="111">
        <v>103.4</v>
      </c>
      <c r="E19" s="111">
        <v>69.095281936752599</v>
      </c>
      <c r="F19" s="114" t="s">
        <v>219</v>
      </c>
      <c r="G19" s="116">
        <v>69.095281936752599</v>
      </c>
      <c r="H19" s="117">
        <v>2.9267695519006903E-2</v>
      </c>
      <c r="I19" s="106" t="s">
        <v>220</v>
      </c>
      <c r="J19" s="106" t="s">
        <v>221</v>
      </c>
      <c r="K19" s="116">
        <v>0.36059344339401506</v>
      </c>
      <c r="L19" s="106"/>
    </row>
    <row r="20" spans="1:12">
      <c r="A20" s="106" t="s">
        <v>234</v>
      </c>
      <c r="B20" s="106" t="s">
        <v>242</v>
      </c>
      <c r="C20" s="106" t="s">
        <v>53</v>
      </c>
      <c r="D20" s="111">
        <v>0</v>
      </c>
      <c r="E20" s="111">
        <v>105.06873583051177</v>
      </c>
      <c r="F20" s="114" t="s">
        <v>219</v>
      </c>
      <c r="G20" s="116">
        <v>105.06873583051177</v>
      </c>
      <c r="H20" s="117">
        <v>3.44E-2</v>
      </c>
      <c r="I20" s="106" t="s">
        <v>220</v>
      </c>
      <c r="J20" s="106" t="s">
        <v>237</v>
      </c>
      <c r="K20" s="116">
        <v>0.65990540384892094</v>
      </c>
      <c r="L20" s="106"/>
    </row>
    <row r="21" spans="1:12">
      <c r="A21" s="106" t="s">
        <v>234</v>
      </c>
      <c r="B21" s="106" t="s">
        <v>243</v>
      </c>
      <c r="C21" s="106" t="s">
        <v>55</v>
      </c>
      <c r="D21" s="111">
        <v>103.9</v>
      </c>
      <c r="E21" s="111">
        <v>101.08853114636862</v>
      </c>
      <c r="F21" s="114" t="s">
        <v>219</v>
      </c>
      <c r="G21" s="116">
        <v>101.08853114636862</v>
      </c>
      <c r="H21" s="117">
        <v>3.8754824473532068E-2</v>
      </c>
      <c r="I21" s="106" t="s">
        <v>220</v>
      </c>
      <c r="J21" s="106" t="s">
        <v>221</v>
      </c>
      <c r="K21" s="116">
        <v>0.98337008355907374</v>
      </c>
      <c r="L21" s="106"/>
    </row>
    <row r="22" spans="1:12">
      <c r="A22" s="106" t="s">
        <v>234</v>
      </c>
      <c r="B22" s="106" t="s">
        <v>244</v>
      </c>
      <c r="C22" s="106" t="s">
        <v>57</v>
      </c>
      <c r="D22" s="111">
        <v>0</v>
      </c>
      <c r="E22" s="111">
        <v>100.54703106226725</v>
      </c>
      <c r="F22" s="114" t="s">
        <v>219</v>
      </c>
      <c r="G22" s="116">
        <v>100.54703106226725</v>
      </c>
      <c r="H22" s="117">
        <v>3.9699999999999999E-2</v>
      </c>
      <c r="I22" s="106" t="s">
        <v>220</v>
      </c>
      <c r="J22" s="106" t="s">
        <v>237</v>
      </c>
      <c r="K22" s="116">
        <v>1.6358201783825224</v>
      </c>
      <c r="L22" s="106"/>
    </row>
    <row r="23" spans="1:12">
      <c r="A23" s="106" t="s">
        <v>234</v>
      </c>
      <c r="B23" s="106" t="s">
        <v>245</v>
      </c>
      <c r="C23" s="106" t="s">
        <v>289</v>
      </c>
      <c r="D23" s="111">
        <v>0</v>
      </c>
      <c r="E23" s="111">
        <v>106.56933697781402</v>
      </c>
      <c r="F23" s="114" t="s">
        <v>219</v>
      </c>
      <c r="G23" s="116">
        <v>106.56933697781402</v>
      </c>
      <c r="H23" s="117">
        <v>4.1700000000000001E-2</v>
      </c>
      <c r="I23" s="106" t="s">
        <v>220</v>
      </c>
      <c r="J23" s="106" t="s">
        <v>237</v>
      </c>
      <c r="K23" s="116">
        <v>1.6358165774646274</v>
      </c>
      <c r="L23" s="106"/>
    </row>
    <row r="24" spans="1:12">
      <c r="A24" s="106" t="s">
        <v>234</v>
      </c>
      <c r="B24" s="106" t="s">
        <v>246</v>
      </c>
      <c r="C24" s="106" t="s">
        <v>188</v>
      </c>
      <c r="D24" s="111">
        <v>106.46</v>
      </c>
      <c r="E24" s="111">
        <v>0</v>
      </c>
      <c r="F24" s="114" t="s">
        <v>219</v>
      </c>
      <c r="G24" s="116">
        <v>0</v>
      </c>
      <c r="H24" s="117">
        <v>4.1414250377799139E-2</v>
      </c>
      <c r="I24" s="106" t="s">
        <v>220</v>
      </c>
      <c r="J24" s="106" t="s">
        <v>221</v>
      </c>
      <c r="K24" s="116" t="e">
        <v>#NUM!</v>
      </c>
      <c r="L24" s="106"/>
    </row>
    <row r="25" spans="1:12">
      <c r="A25" s="106" t="s">
        <v>234</v>
      </c>
      <c r="B25" s="106" t="s">
        <v>247</v>
      </c>
      <c r="C25" s="106" t="s">
        <v>60</v>
      </c>
      <c r="D25" s="111">
        <v>102.74</v>
      </c>
      <c r="E25" s="111">
        <v>104.78661073593453</v>
      </c>
      <c r="F25" s="115" t="s">
        <v>219</v>
      </c>
      <c r="G25" s="116">
        <v>104.78661073593453</v>
      </c>
      <c r="H25" s="117">
        <v>4.024256335475207E-2</v>
      </c>
      <c r="I25" s="106" t="s">
        <v>220</v>
      </c>
      <c r="J25" s="106" t="s">
        <v>221</v>
      </c>
      <c r="K25" s="116">
        <v>1.6055072663192811</v>
      </c>
      <c r="L25" s="106"/>
    </row>
    <row r="26" spans="1:12">
      <c r="A26" s="106" t="s">
        <v>234</v>
      </c>
      <c r="B26" s="106" t="s">
        <v>248</v>
      </c>
      <c r="C26" s="106" t="s">
        <v>63</v>
      </c>
      <c r="D26" s="111">
        <v>104.25</v>
      </c>
      <c r="E26" s="111">
        <v>100.54614513686035</v>
      </c>
      <c r="F26" s="114" t="s">
        <v>219</v>
      </c>
      <c r="G26" s="116">
        <v>100.54614513686035</v>
      </c>
      <c r="H26" s="117">
        <v>3.9889411898877375E-2</v>
      </c>
      <c r="I26" s="106" t="s">
        <v>220</v>
      </c>
      <c r="J26" s="106" t="s">
        <v>221</v>
      </c>
      <c r="K26" s="116">
        <v>1.7621086822569381</v>
      </c>
      <c r="L26" s="106"/>
    </row>
    <row r="27" spans="1:12">
      <c r="A27" s="106" t="s">
        <v>234</v>
      </c>
      <c r="B27" s="106" t="s">
        <v>249</v>
      </c>
      <c r="C27" s="106" t="s">
        <v>294</v>
      </c>
      <c r="D27" s="111">
        <v>105.25</v>
      </c>
      <c r="E27" s="111">
        <v>104.80340383665241</v>
      </c>
      <c r="F27" s="114" t="s">
        <v>219</v>
      </c>
      <c r="G27" s="116">
        <v>104.80340383665241</v>
      </c>
      <c r="H27" s="117">
        <v>3.9945743326992078E-2</v>
      </c>
      <c r="I27" s="106" t="s">
        <v>220</v>
      </c>
      <c r="J27" s="106" t="s">
        <v>221</v>
      </c>
      <c r="K27" s="116">
        <v>1.0322510010650034</v>
      </c>
      <c r="L27" s="106"/>
    </row>
    <row r="28" spans="1:12">
      <c r="A28" s="106" t="s">
        <v>234</v>
      </c>
      <c r="B28" s="106" t="s">
        <v>250</v>
      </c>
      <c r="C28" s="106" t="s">
        <v>66</v>
      </c>
      <c r="D28" s="111">
        <v>104.5</v>
      </c>
      <c r="E28" s="111">
        <v>104.63095497359838</v>
      </c>
      <c r="F28" s="114" t="s">
        <v>219</v>
      </c>
      <c r="G28" s="116">
        <v>104.63095497359838</v>
      </c>
      <c r="H28" s="117">
        <v>3.098446598615659E-2</v>
      </c>
      <c r="I28" s="106" t="s">
        <v>220</v>
      </c>
      <c r="J28" s="106" t="s">
        <v>221</v>
      </c>
      <c r="K28" s="116">
        <v>0.58006647429987013</v>
      </c>
      <c r="L28" s="106"/>
    </row>
    <row r="29" spans="1:12">
      <c r="A29" s="106" t="s">
        <v>234</v>
      </c>
      <c r="B29" s="106" t="s">
        <v>251</v>
      </c>
      <c r="C29" s="106" t="s">
        <v>69</v>
      </c>
      <c r="D29" s="111">
        <v>0</v>
      </c>
      <c r="E29" s="111">
        <v>103.09494449150259</v>
      </c>
      <c r="F29" s="114" t="s">
        <v>219</v>
      </c>
      <c r="G29" s="116">
        <v>103.09494449150259</v>
      </c>
      <c r="H29" s="117">
        <v>3.2399999999999998E-2</v>
      </c>
      <c r="I29" s="106" t="s">
        <v>220</v>
      </c>
      <c r="J29" s="106" t="s">
        <v>237</v>
      </c>
      <c r="K29" s="116">
        <v>0.90848105476489904</v>
      </c>
      <c r="L29" s="106"/>
    </row>
    <row r="30" spans="1:12">
      <c r="A30" s="106" t="s">
        <v>234</v>
      </c>
      <c r="B30" s="106" t="s">
        <v>252</v>
      </c>
      <c r="C30" s="106" t="s">
        <v>295</v>
      </c>
      <c r="D30" s="111">
        <v>0</v>
      </c>
      <c r="E30" s="111">
        <v>104.17459413133005</v>
      </c>
      <c r="F30" s="114" t="s">
        <v>219</v>
      </c>
      <c r="G30" s="116">
        <v>104.17459413133005</v>
      </c>
      <c r="H30" s="117">
        <v>2.9899999999999999E-2</v>
      </c>
      <c r="I30" s="106" t="s">
        <v>220</v>
      </c>
      <c r="J30" s="106" t="s">
        <v>237</v>
      </c>
      <c r="K30" s="116">
        <v>1.9712627929223738</v>
      </c>
      <c r="L30" s="106"/>
    </row>
    <row r="31" spans="1:12">
      <c r="A31" s="106" t="s">
        <v>234</v>
      </c>
      <c r="B31" s="106" t="s">
        <v>253</v>
      </c>
      <c r="C31" s="106" t="s">
        <v>72</v>
      </c>
      <c r="D31" s="111">
        <v>103.37</v>
      </c>
      <c r="E31" s="111">
        <v>106.00611952838275</v>
      </c>
      <c r="F31" s="114" t="s">
        <v>219</v>
      </c>
      <c r="G31" s="116">
        <v>106.00611952838275</v>
      </c>
      <c r="H31" s="117">
        <v>3.4969698318834536E-2</v>
      </c>
      <c r="I31" s="106" t="s">
        <v>220</v>
      </c>
      <c r="J31" s="106" t="s">
        <v>221</v>
      </c>
      <c r="K31" s="116">
        <v>1.7213978996307884</v>
      </c>
      <c r="L31" s="106"/>
    </row>
    <row r="32" spans="1:12">
      <c r="A32" s="106" t="s">
        <v>234</v>
      </c>
      <c r="B32" s="106" t="s">
        <v>254</v>
      </c>
      <c r="C32" s="106" t="s">
        <v>68</v>
      </c>
      <c r="D32" s="111">
        <v>100.3</v>
      </c>
      <c r="E32" s="111">
        <v>102.7677725231645</v>
      </c>
      <c r="F32" s="115" t="s">
        <v>219</v>
      </c>
      <c r="G32" s="116">
        <v>102.7677725231645</v>
      </c>
      <c r="H32" s="117">
        <v>7.3966571240585754E-2</v>
      </c>
      <c r="I32" s="106" t="s">
        <v>220</v>
      </c>
      <c r="J32" s="106" t="s">
        <v>221</v>
      </c>
      <c r="K32" s="116">
        <v>0.10216716158330806</v>
      </c>
      <c r="L32" s="106"/>
    </row>
    <row r="33" spans="1:12">
      <c r="A33" s="106" t="s">
        <v>234</v>
      </c>
      <c r="B33" s="106" t="s">
        <v>255</v>
      </c>
      <c r="C33" s="106" t="s">
        <v>76</v>
      </c>
      <c r="D33" s="111">
        <v>100.4</v>
      </c>
      <c r="E33" s="111">
        <v>66.83102899601819</v>
      </c>
      <c r="F33" s="114" t="s">
        <v>219</v>
      </c>
      <c r="G33" s="116">
        <v>66.83102899601819</v>
      </c>
      <c r="H33" s="117">
        <v>3.6517997107349681E-2</v>
      </c>
      <c r="I33" s="106" t="s">
        <v>220</v>
      </c>
      <c r="J33" s="106" t="s">
        <v>221</v>
      </c>
      <c r="K33" s="116">
        <v>0.45666635888790252</v>
      </c>
      <c r="L33" s="106"/>
    </row>
    <row r="34" spans="1:12">
      <c r="A34" s="106" t="s">
        <v>256</v>
      </c>
      <c r="B34" s="106" t="s">
        <v>257</v>
      </c>
      <c r="C34" s="106" t="s">
        <v>46</v>
      </c>
      <c r="D34" s="111">
        <v>1994</v>
      </c>
      <c r="E34" s="111">
        <v>2140.6942743946902</v>
      </c>
      <c r="F34" s="114" t="s">
        <v>219</v>
      </c>
      <c r="G34" s="116">
        <v>2140.6942743946902</v>
      </c>
      <c r="H34" s="117">
        <v>5.427870456096251E-2</v>
      </c>
      <c r="I34" s="106" t="s">
        <v>229</v>
      </c>
      <c r="J34" s="106" t="s">
        <v>221</v>
      </c>
      <c r="K34" s="116">
        <v>2.0061053948554561</v>
      </c>
      <c r="L34" s="106"/>
    </row>
    <row r="35" spans="1:12">
      <c r="A35" s="106" t="s">
        <v>234</v>
      </c>
      <c r="B35" s="106" t="s">
        <v>258</v>
      </c>
      <c r="C35" s="106" t="s">
        <v>298</v>
      </c>
      <c r="D35" s="111">
        <v>112.55</v>
      </c>
      <c r="E35" s="111">
        <v>103.76681603926022</v>
      </c>
      <c r="F35" s="115" t="s">
        <v>219</v>
      </c>
      <c r="G35" s="116">
        <v>103.76681603926022</v>
      </c>
      <c r="H35" s="117">
        <v>3.8831633198620347E-2</v>
      </c>
      <c r="I35" s="106" t="s">
        <v>220</v>
      </c>
      <c r="J35" s="106" t="s">
        <v>221</v>
      </c>
      <c r="K35" s="116">
        <v>1.4438344744455274</v>
      </c>
      <c r="L35" s="106"/>
    </row>
    <row r="36" spans="1:12">
      <c r="A36" s="106" t="s">
        <v>234</v>
      </c>
      <c r="B36" s="106" t="s">
        <v>259</v>
      </c>
      <c r="C36" s="106" t="s">
        <v>299</v>
      </c>
      <c r="D36" s="111">
        <v>97.35</v>
      </c>
      <c r="E36" s="111">
        <v>95.818212407328446</v>
      </c>
      <c r="F36" s="114" t="s">
        <v>219</v>
      </c>
      <c r="G36" s="116">
        <v>95.818212407328446</v>
      </c>
      <c r="H36" s="117">
        <v>3.6648215191852324E-2</v>
      </c>
      <c r="I36" s="106" t="s">
        <v>220</v>
      </c>
      <c r="J36" s="106" t="s">
        <v>221</v>
      </c>
      <c r="K36" s="116">
        <v>1.8768070707596727</v>
      </c>
      <c r="L36" s="106"/>
    </row>
    <row r="37" spans="1:12">
      <c r="A37" s="106" t="s">
        <v>234</v>
      </c>
      <c r="B37" s="106" t="s">
        <v>260</v>
      </c>
      <c r="C37" s="106" t="s">
        <v>300</v>
      </c>
      <c r="D37" s="111">
        <v>92.9</v>
      </c>
      <c r="E37" s="111">
        <v>94.253214277410848</v>
      </c>
      <c r="F37" s="114" t="s">
        <v>219</v>
      </c>
      <c r="G37" s="116">
        <v>94.253214277410848</v>
      </c>
      <c r="H37" s="117">
        <v>3.8568423545982278E-2</v>
      </c>
      <c r="I37" s="106" t="s">
        <v>220</v>
      </c>
      <c r="J37" s="106" t="s">
        <v>221</v>
      </c>
      <c r="K37" s="116">
        <v>1.9335363316314726</v>
      </c>
      <c r="L37" s="106"/>
    </row>
    <row r="38" spans="1:12">
      <c r="A38" s="106" t="s">
        <v>234</v>
      </c>
      <c r="B38" s="106" t="s">
        <v>261</v>
      </c>
      <c r="C38" s="106" t="s">
        <v>89</v>
      </c>
      <c r="D38" s="111">
        <v>105.31</v>
      </c>
      <c r="E38" s="111">
        <v>96.042123774703143</v>
      </c>
      <c r="F38" s="114" t="s">
        <v>219</v>
      </c>
      <c r="G38" s="116">
        <v>96.042123774703143</v>
      </c>
      <c r="H38" s="117">
        <v>3.3196931443070149E-2</v>
      </c>
      <c r="I38" s="106" t="s">
        <v>220</v>
      </c>
      <c r="J38" s="106" t="s">
        <v>221</v>
      </c>
      <c r="K38" s="116">
        <v>1.0866700730036019</v>
      </c>
      <c r="L38" s="106"/>
    </row>
    <row r="39" spans="1:12">
      <c r="A39" s="106" t="s">
        <v>256</v>
      </c>
      <c r="B39" s="106" t="s">
        <v>262</v>
      </c>
      <c r="C39" s="106" t="s">
        <v>78</v>
      </c>
      <c r="D39" s="111">
        <v>2255</v>
      </c>
      <c r="E39" s="111">
        <v>2193.8421345281181</v>
      </c>
      <c r="F39" s="114"/>
      <c r="G39" s="116">
        <v>2255</v>
      </c>
      <c r="H39" s="117">
        <v>6.0246267945110787E-2</v>
      </c>
      <c r="I39" s="106" t="s">
        <v>232</v>
      </c>
      <c r="J39" s="106" t="s">
        <v>311</v>
      </c>
      <c r="K39" s="116">
        <v>4.1456292839066773</v>
      </c>
      <c r="L39" s="106"/>
    </row>
    <row r="40" spans="1:12">
      <c r="A40" s="106" t="s">
        <v>264</v>
      </c>
      <c r="B40" s="106" t="s">
        <v>265</v>
      </c>
      <c r="C40" s="106" t="s">
        <v>291</v>
      </c>
      <c r="D40" s="111">
        <v>109.4</v>
      </c>
      <c r="E40" s="111">
        <v>109.15751577502233</v>
      </c>
      <c r="F40" s="115"/>
      <c r="G40" s="116">
        <v>109.4</v>
      </c>
      <c r="H40" s="117">
        <v>3.3141207744581541E-2</v>
      </c>
      <c r="I40" s="106" t="s">
        <v>232</v>
      </c>
      <c r="J40" s="106" t="s">
        <v>263</v>
      </c>
      <c r="K40" s="116">
        <v>1.7193845068380229</v>
      </c>
      <c r="L40" s="105"/>
    </row>
    <row r="41" spans="1:12">
      <c r="A41" s="106" t="s">
        <v>264</v>
      </c>
      <c r="B41" s="106" t="s">
        <v>265</v>
      </c>
      <c r="C41" s="106" t="s">
        <v>320</v>
      </c>
      <c r="D41" s="111">
        <v>0</v>
      </c>
      <c r="E41" s="111">
        <v>100.52805924405961</v>
      </c>
      <c r="F41" s="115" t="s">
        <v>219</v>
      </c>
      <c r="G41" s="116">
        <v>100.52805924405961</v>
      </c>
      <c r="H41" s="117">
        <v>2.6499999999999999E-2</v>
      </c>
      <c r="I41" s="106" t="s">
        <v>232</v>
      </c>
      <c r="J41" s="106" t="s">
        <v>237</v>
      </c>
      <c r="K41" s="116">
        <v>2.019206027240513</v>
      </c>
      <c r="L41" s="105"/>
    </row>
    <row r="42" spans="1:12">
      <c r="A42" s="106" t="s">
        <v>264</v>
      </c>
      <c r="B42" s="106" t="s">
        <v>303</v>
      </c>
      <c r="C42" s="106" t="s">
        <v>293</v>
      </c>
      <c r="D42" s="111">
        <v>0</v>
      </c>
      <c r="E42" s="111">
        <v>104.52266960394658</v>
      </c>
      <c r="F42" s="115" t="s">
        <v>219</v>
      </c>
      <c r="G42" s="116">
        <v>104.52266960394658</v>
      </c>
      <c r="H42" s="117">
        <v>2.75E-2</v>
      </c>
      <c r="I42" s="106" t="s">
        <v>232</v>
      </c>
      <c r="J42" s="106" t="s">
        <v>237</v>
      </c>
      <c r="K42" s="116">
        <v>1.189763014832268</v>
      </c>
      <c r="L42" s="105"/>
    </row>
    <row r="43" spans="1:12">
      <c r="A43" s="106" t="s">
        <v>256</v>
      </c>
      <c r="B43" s="106" t="s">
        <v>309</v>
      </c>
      <c r="C43" s="106" t="s">
        <v>292</v>
      </c>
      <c r="D43" s="111">
        <v>2279</v>
      </c>
      <c r="E43" s="111">
        <v>2252.9734496701421</v>
      </c>
      <c r="F43" s="114" t="s">
        <v>219</v>
      </c>
      <c r="G43" s="116">
        <v>2252.9734496701421</v>
      </c>
      <c r="H43" s="117">
        <v>4.3700000000000003E-2</v>
      </c>
      <c r="I43" s="106" t="s">
        <v>232</v>
      </c>
      <c r="J43" s="106" t="s">
        <v>221</v>
      </c>
      <c r="K43" s="116">
        <v>1.7427610674439808</v>
      </c>
      <c r="L43" s="106"/>
    </row>
    <row r="44" spans="1:12">
      <c r="A44" s="105"/>
      <c r="B44" s="105"/>
      <c r="C44" s="105"/>
      <c r="D44" s="111"/>
      <c r="E44" s="111"/>
      <c r="F44" s="105"/>
      <c r="G44" s="105"/>
      <c r="H44" s="103"/>
      <c r="I44" s="105"/>
      <c r="J44" s="105"/>
      <c r="K44" s="105"/>
      <c r="L44" s="105"/>
    </row>
    <row r="45" spans="1:12">
      <c r="A45" s="105"/>
      <c r="B45" s="105"/>
      <c r="C45" s="106" t="s">
        <v>284</v>
      </c>
      <c r="D45" s="111">
        <v>98.492699999999999</v>
      </c>
      <c r="E45" s="111">
        <v>100</v>
      </c>
      <c r="F45" s="105"/>
      <c r="G45" s="116">
        <v>98.492699999999999</v>
      </c>
      <c r="H45" s="117">
        <v>0.26599239866314628</v>
      </c>
      <c r="I45" s="105"/>
      <c r="J45" s="106" t="s">
        <v>263</v>
      </c>
      <c r="K45" s="116">
        <v>4.5445965264955042E-2</v>
      </c>
      <c r="L45" s="105"/>
    </row>
    <row r="46" spans="1:12">
      <c r="A46" s="105"/>
      <c r="B46" s="105"/>
      <c r="C46" s="106" t="s">
        <v>280</v>
      </c>
      <c r="D46" s="111">
        <v>96.602248000000003</v>
      </c>
      <c r="E46" s="111">
        <v>100</v>
      </c>
      <c r="F46" s="105"/>
      <c r="G46" s="116">
        <v>96.602248000000003</v>
      </c>
      <c r="H46" s="117">
        <v>0.26199996201043313</v>
      </c>
      <c r="I46" s="105"/>
      <c r="J46" s="106" t="s">
        <v>263</v>
      </c>
      <c r="K46" s="116">
        <v>0.10637605339433118</v>
      </c>
      <c r="L46" s="105"/>
    </row>
    <row r="47" spans="1:12">
      <c r="A47" s="105"/>
      <c r="B47" s="105"/>
      <c r="C47" s="106" t="s">
        <v>282</v>
      </c>
      <c r="D47" s="111">
        <v>94.270180999999994</v>
      </c>
      <c r="E47" s="111">
        <v>100</v>
      </c>
      <c r="F47" s="105"/>
      <c r="G47" s="116">
        <v>94.270180999999994</v>
      </c>
      <c r="H47" s="117">
        <v>0.26099999619554115</v>
      </c>
      <c r="I47" s="105"/>
      <c r="J47" s="106" t="s">
        <v>263</v>
      </c>
      <c r="K47" s="116">
        <v>0.18467621969180031</v>
      </c>
      <c r="L47" s="105"/>
    </row>
    <row r="48" spans="1:12">
      <c r="A48" s="105"/>
      <c r="B48" s="105"/>
      <c r="C48" s="106" t="s">
        <v>283</v>
      </c>
      <c r="D48" s="111">
        <v>92.611400000000003</v>
      </c>
      <c r="E48" s="111">
        <v>100</v>
      </c>
      <c r="F48" s="115"/>
      <c r="G48" s="116">
        <v>92.611400000000003</v>
      </c>
      <c r="H48" s="117">
        <v>0.25999952104014312</v>
      </c>
      <c r="I48" s="105"/>
      <c r="J48" s="106" t="s">
        <v>263</v>
      </c>
      <c r="K48" s="116">
        <v>0.24353129500810108</v>
      </c>
      <c r="L48" s="105"/>
    </row>
    <row r="49" spans="8:8">
      <c r="H49" s="10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</vt:i4>
      </vt:variant>
    </vt:vector>
  </HeadingPairs>
  <TitlesOfParts>
    <vt:vector size="12" baseType="lpstr">
      <vt:lpstr>Valuacion</vt:lpstr>
      <vt:lpstr>FCI</vt:lpstr>
      <vt:lpstr>Pos Tit Sura</vt:lpstr>
      <vt:lpstr>Pos PF Sura</vt:lpstr>
      <vt:lpstr>Pos Tit ACG</vt:lpstr>
      <vt:lpstr>Pos PF ACG</vt:lpstr>
      <vt:lpstr>Identidad de Codigos</vt:lpstr>
      <vt:lpstr>Precios para Valuar</vt:lpstr>
      <vt:lpstr>Badlar</vt:lpstr>
      <vt:lpstr>CER</vt:lpstr>
      <vt:lpstr>Dev</vt:lpstr>
      <vt:lpstr>Tasatm20</vt:lpstr>
    </vt:vector>
  </TitlesOfParts>
  <Company>Shiffel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Administrador</cp:lastModifiedBy>
  <dcterms:created xsi:type="dcterms:W3CDTF">2017-10-09T13:57:45Z</dcterms:created>
  <dcterms:modified xsi:type="dcterms:W3CDTF">2018-05-28T21:07:41Z</dcterms:modified>
</cp:coreProperties>
</file>