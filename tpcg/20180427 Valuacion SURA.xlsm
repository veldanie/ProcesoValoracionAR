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45" windowWidth="20580" windowHeight="11640" activeTab="1"/>
  </bookViews>
  <sheets>
    <sheet name="Resumen" sheetId="11" r:id="rId1"/>
    <sheet name="Valuacion" sheetId="1" r:id="rId2"/>
    <sheet name="FCI" sheetId="9" r:id="rId3"/>
    <sheet name="Pos Tit Sura" sheetId="4" r:id="rId4"/>
    <sheet name="Pos PF Sura" sheetId="7" r:id="rId5"/>
    <sheet name="Pos Tit ACG" sheetId="6" r:id="rId6"/>
    <sheet name="Pos PF ACG" sheetId="8" r:id="rId7"/>
    <sheet name="Identidad de Codigos" sheetId="5" r:id="rId8"/>
    <sheet name="Precios para Valuar" sheetId="10" r:id="rId9"/>
  </sheets>
  <definedNames>
    <definedName name="Badlar">Valuacion!$D$106</definedName>
    <definedName name="cccccccccccccc">Valuacion!#REF!</definedName>
    <definedName name="CER">Valuacion!$D$108</definedName>
    <definedName name="dev" localSheetId="6">Valuacion!#REF!</definedName>
    <definedName name="dev" localSheetId="4">Valuacion!#REF!</definedName>
    <definedName name="dev" localSheetId="5">Valuacion!#REF!</definedName>
    <definedName name="Dev">Valuacion!$D$109</definedName>
    <definedName name="inf" localSheetId="6">Valuacion!#REF!</definedName>
    <definedName name="inf" localSheetId="4">Valuacion!#REF!</definedName>
    <definedName name="inf" localSheetId="5">Valuacion!#REF!</definedName>
    <definedName name="inf">Valuacion!#REF!</definedName>
    <definedName name="Tasatm20">Valuacion!$D$107</definedName>
  </definedNames>
  <calcPr calcId="145621"/>
</workbook>
</file>

<file path=xl/calcChain.xml><?xml version="1.0" encoding="utf-8"?>
<calcChain xmlns="http://schemas.openxmlformats.org/spreadsheetml/2006/main">
  <c r="Q53" i="1" l="1"/>
  <c r="N96" i="1"/>
  <c r="N95" i="1"/>
  <c r="N94" i="1"/>
  <c r="N82" i="1"/>
  <c r="N81" i="1"/>
  <c r="N78" i="1"/>
  <c r="N77" i="1"/>
  <c r="N76" i="1"/>
  <c r="N75" i="1"/>
  <c r="N74" i="1"/>
  <c r="N73" i="1"/>
  <c r="N72" i="1"/>
  <c r="E57" i="1"/>
  <c r="D57" i="1"/>
  <c r="O57" i="1" s="1"/>
  <c r="A57" i="1"/>
  <c r="O70" i="1"/>
  <c r="O69" i="1"/>
  <c r="O68" i="1"/>
  <c r="O67" i="1"/>
  <c r="O66" i="1"/>
  <c r="O65" i="1"/>
  <c r="O64" i="1"/>
  <c r="O63" i="1"/>
  <c r="O62" i="1"/>
  <c r="O61" i="1"/>
  <c r="O54" i="1"/>
  <c r="O53" i="1"/>
  <c r="V40" i="1"/>
  <c r="S40" i="1"/>
  <c r="Q40" i="1"/>
  <c r="R40" i="1" s="1"/>
  <c r="N40" i="1"/>
  <c r="O40" i="1" s="1"/>
  <c r="H40" i="1"/>
  <c r="I40" i="1" s="1"/>
  <c r="V35" i="1"/>
  <c r="S35" i="1"/>
  <c r="Q35" i="1"/>
  <c r="R35" i="1" s="1"/>
  <c r="N35" i="1"/>
  <c r="H35" i="1"/>
  <c r="I35" i="1" s="1"/>
  <c r="V29" i="1"/>
  <c r="S29" i="1"/>
  <c r="Q29" i="1"/>
  <c r="R29" i="1" s="1"/>
  <c r="N29" i="1"/>
  <c r="O29" i="1" s="1"/>
  <c r="I29" i="1"/>
  <c r="H29" i="1"/>
  <c r="P57" i="1" l="1"/>
  <c r="Q57" i="1"/>
  <c r="R57" i="1" s="1"/>
  <c r="P40" i="1"/>
  <c r="O35" i="1"/>
  <c r="P35" i="1" s="1"/>
  <c r="P29" i="1"/>
  <c r="H6" i="1"/>
  <c r="H5" i="1"/>
  <c r="S57" i="1" l="1"/>
  <c r="H100" i="1" l="1"/>
  <c r="H99" i="1"/>
  <c r="H98" i="1"/>
  <c r="H96" i="1"/>
  <c r="H95" i="1"/>
  <c r="H94" i="1"/>
  <c r="H91" i="1"/>
  <c r="H89" i="1"/>
  <c r="H88" i="1"/>
  <c r="H87" i="1"/>
  <c r="H86" i="1"/>
  <c r="H85" i="1"/>
  <c r="H84" i="1"/>
  <c r="H82" i="1"/>
  <c r="H81" i="1"/>
  <c r="H78" i="1"/>
  <c r="H77" i="1"/>
  <c r="H76" i="1"/>
  <c r="H75" i="1"/>
  <c r="H74" i="1"/>
  <c r="H73" i="1"/>
  <c r="H72" i="1"/>
  <c r="P67" i="1"/>
  <c r="P53" i="1"/>
  <c r="H51" i="1"/>
  <c r="H50" i="1"/>
  <c r="H48" i="1"/>
  <c r="H47" i="1"/>
  <c r="H46" i="1"/>
  <c r="H45" i="1"/>
  <c r="H44" i="1"/>
  <c r="H43" i="1"/>
  <c r="H42" i="1"/>
  <c r="H41" i="1"/>
  <c r="H39" i="1"/>
  <c r="H38" i="1"/>
  <c r="H37" i="1"/>
  <c r="H36" i="1"/>
  <c r="H34" i="1"/>
  <c r="H33" i="1"/>
  <c r="H32" i="1"/>
  <c r="H31" i="1"/>
  <c r="H30" i="1"/>
  <c r="H28" i="1"/>
  <c r="H27" i="1"/>
  <c r="H26" i="1"/>
  <c r="H25" i="1"/>
  <c r="H24" i="1"/>
  <c r="H23" i="1"/>
  <c r="H20" i="1"/>
  <c r="H19" i="1"/>
  <c r="H18" i="1"/>
  <c r="H15" i="1"/>
  <c r="H13" i="1"/>
  <c r="H12" i="1"/>
  <c r="H10" i="1"/>
  <c r="H8" i="1"/>
  <c r="H7" i="1"/>
  <c r="Q67" i="1"/>
  <c r="S67" i="1" s="1"/>
  <c r="Q65" i="1"/>
  <c r="S65" i="1" s="1"/>
  <c r="Q64" i="1"/>
  <c r="S64" i="1" s="1"/>
  <c r="P64" i="1"/>
  <c r="Q63" i="1"/>
  <c r="S63" i="1" s="1"/>
  <c r="S53" i="1"/>
  <c r="R67" i="1" l="1"/>
  <c r="P65" i="1"/>
  <c r="R65" i="1"/>
  <c r="R64" i="1"/>
  <c r="R63" i="1"/>
  <c r="P63" i="1"/>
  <c r="R53" i="1"/>
  <c r="V37" i="1"/>
  <c r="S37" i="1"/>
  <c r="Q37" i="1"/>
  <c r="R37" i="1" s="1"/>
  <c r="N37" i="1"/>
  <c r="O37" i="1" l="1"/>
  <c r="P37" i="1" s="1"/>
  <c r="I37" i="1"/>
  <c r="V12" i="1" l="1"/>
  <c r="S12" i="1"/>
  <c r="Q12" i="1"/>
  <c r="R12" i="1" s="1"/>
  <c r="N12" i="1"/>
  <c r="I12" i="1" l="1"/>
  <c r="O12" i="1"/>
  <c r="P12" i="1" s="1"/>
  <c r="N91" i="1"/>
  <c r="N89" i="1"/>
  <c r="N88" i="1"/>
  <c r="N87" i="1"/>
  <c r="N86" i="1"/>
  <c r="N51" i="1"/>
  <c r="N50" i="1"/>
  <c r="N41" i="1"/>
  <c r="N36" i="1"/>
  <c r="N48" i="1"/>
  <c r="N47" i="1"/>
  <c r="N46" i="1"/>
  <c r="N45" i="1"/>
  <c r="N44" i="1"/>
  <c r="N43" i="1"/>
  <c r="N42" i="1"/>
  <c r="N39" i="1"/>
  <c r="N38" i="1"/>
  <c r="N34" i="1"/>
  <c r="N33" i="1"/>
  <c r="N32" i="1"/>
  <c r="N31" i="1"/>
  <c r="N30" i="1"/>
  <c r="N28" i="1"/>
  <c r="N27" i="1"/>
  <c r="N26" i="1"/>
  <c r="N25" i="1"/>
  <c r="N24" i="1"/>
  <c r="N23" i="1"/>
  <c r="N20" i="1"/>
  <c r="N19" i="1"/>
  <c r="N18" i="1"/>
  <c r="N15" i="1"/>
  <c r="N13" i="1"/>
  <c r="N10" i="1"/>
  <c r="N8" i="1"/>
  <c r="N7" i="1"/>
  <c r="N6" i="1"/>
  <c r="N5" i="1"/>
  <c r="V50" i="1" l="1"/>
  <c r="S50" i="1"/>
  <c r="Q50" i="1"/>
  <c r="R50" i="1" s="1"/>
  <c r="O50" i="1"/>
  <c r="P50" i="1" s="1"/>
  <c r="I50" i="1"/>
  <c r="V24" i="1" l="1"/>
  <c r="S24" i="1"/>
  <c r="Q24" i="1"/>
  <c r="R24" i="1" s="1"/>
  <c r="I24" i="1" l="1"/>
  <c r="O24" i="1"/>
  <c r="P24" i="1" s="1"/>
  <c r="V41" i="1" l="1"/>
  <c r="S41" i="1"/>
  <c r="Q41" i="1"/>
  <c r="R41" i="1" s="1"/>
  <c r="I41" i="1" l="1"/>
  <c r="O41" i="1"/>
  <c r="P41" i="1" s="1"/>
  <c r="O91" i="1"/>
  <c r="O89" i="1"/>
  <c r="O85" i="1"/>
  <c r="O84" i="1"/>
  <c r="O48" i="1"/>
  <c r="O47" i="1"/>
  <c r="O46" i="1"/>
  <c r="O44" i="1"/>
  <c r="O43" i="1"/>
  <c r="O39" i="1"/>
  <c r="O38" i="1"/>
  <c r="O33" i="1"/>
  <c r="O32" i="1"/>
  <c r="O31" i="1"/>
  <c r="O27" i="1"/>
  <c r="O26" i="1"/>
  <c r="O25" i="1"/>
  <c r="O23" i="1"/>
  <c r="Q62" i="1"/>
  <c r="S62" i="1" s="1"/>
  <c r="P62" i="1"/>
  <c r="Q61" i="1"/>
  <c r="Q70" i="1"/>
  <c r="P70" i="1"/>
  <c r="Q69" i="1"/>
  <c r="S69" i="1" s="1"/>
  <c r="Q68" i="1"/>
  <c r="S68" i="1" s="1"/>
  <c r="P68" i="1"/>
  <c r="Q66" i="1"/>
  <c r="O100" i="1"/>
  <c r="P100" i="1" s="1"/>
  <c r="O99" i="1"/>
  <c r="P99" i="1" s="1"/>
  <c r="O98" i="1"/>
  <c r="P98" i="1" s="1"/>
  <c r="O88" i="1"/>
  <c r="O87" i="1"/>
  <c r="O86" i="1"/>
  <c r="O36" i="1"/>
  <c r="O45" i="1"/>
  <c r="O42" i="1"/>
  <c r="O34" i="1"/>
  <c r="O30" i="1"/>
  <c r="O18" i="1"/>
  <c r="O28" i="1"/>
  <c r="R70" i="1" l="1"/>
  <c r="S70" i="1"/>
  <c r="R66" i="1"/>
  <c r="S66" i="1"/>
  <c r="R61" i="1"/>
  <c r="S61" i="1"/>
  <c r="O5" i="1"/>
  <c r="O6" i="1"/>
  <c r="O13" i="1"/>
  <c r="R62" i="1"/>
  <c r="P61" i="1"/>
  <c r="R69" i="1"/>
  <c r="P69" i="1"/>
  <c r="R68" i="1"/>
  <c r="P66" i="1"/>
  <c r="S91" i="1" l="1"/>
  <c r="S88" i="1"/>
  <c r="S87" i="1"/>
  <c r="S86" i="1"/>
  <c r="S51" i="1"/>
  <c r="S36" i="1"/>
  <c r="S48" i="1"/>
  <c r="S47" i="1"/>
  <c r="S46" i="1"/>
  <c r="S45" i="1"/>
  <c r="S44" i="1"/>
  <c r="S43" i="1"/>
  <c r="S42" i="1"/>
  <c r="S39" i="1"/>
  <c r="S38" i="1"/>
  <c r="S34" i="1"/>
  <c r="S33" i="1"/>
  <c r="S32" i="1"/>
  <c r="S31" i="1"/>
  <c r="S30" i="1"/>
  <c r="S28" i="1"/>
  <c r="S27" i="1"/>
  <c r="S26" i="1"/>
  <c r="S25" i="1"/>
  <c r="S23" i="1"/>
  <c r="S20" i="1"/>
  <c r="S19" i="1"/>
  <c r="S18" i="1"/>
  <c r="S15" i="1"/>
  <c r="S13" i="1"/>
  <c r="S10" i="1"/>
  <c r="S8" i="1"/>
  <c r="S7" i="1"/>
  <c r="S6" i="1"/>
  <c r="S5" i="1"/>
  <c r="V91" i="1" l="1"/>
  <c r="Q91" i="1"/>
  <c r="R91" i="1" s="1"/>
  <c r="V89" i="1"/>
  <c r="Q89" i="1"/>
  <c r="R89" i="1" s="1"/>
  <c r="V88" i="1"/>
  <c r="Q88" i="1"/>
  <c r="R88" i="1" s="1"/>
  <c r="V87" i="1"/>
  <c r="Q87" i="1"/>
  <c r="R87" i="1" s="1"/>
  <c r="V86" i="1"/>
  <c r="Q86" i="1"/>
  <c r="R86" i="1" s="1"/>
  <c r="V51" i="1"/>
  <c r="Q51" i="1"/>
  <c r="R51" i="1" s="1"/>
  <c r="V36" i="1"/>
  <c r="Q36" i="1"/>
  <c r="R36" i="1" s="1"/>
  <c r="V48" i="1"/>
  <c r="Q48" i="1"/>
  <c r="R48" i="1" s="1"/>
  <c r="V47" i="1"/>
  <c r="Q47" i="1"/>
  <c r="R47" i="1" s="1"/>
  <c r="V46" i="1"/>
  <c r="Q46" i="1"/>
  <c r="R46" i="1" s="1"/>
  <c r="V45" i="1"/>
  <c r="Q45" i="1"/>
  <c r="R45" i="1" s="1"/>
  <c r="V44" i="1"/>
  <c r="Q44" i="1"/>
  <c r="R44" i="1" s="1"/>
  <c r="V43" i="1"/>
  <c r="Q43" i="1"/>
  <c r="R43" i="1" s="1"/>
  <c r="V42" i="1"/>
  <c r="Q42" i="1"/>
  <c r="R42" i="1" s="1"/>
  <c r="V39" i="1"/>
  <c r="Q39" i="1"/>
  <c r="R39" i="1" s="1"/>
  <c r="V38" i="1"/>
  <c r="Q38" i="1"/>
  <c r="R38" i="1" s="1"/>
  <c r="V34" i="1"/>
  <c r="Q34" i="1"/>
  <c r="R34" i="1" s="1"/>
  <c r="V33" i="1"/>
  <c r="Q33" i="1"/>
  <c r="R33" i="1" s="1"/>
  <c r="V32" i="1"/>
  <c r="Q32" i="1"/>
  <c r="R32" i="1" s="1"/>
  <c r="V31" i="1"/>
  <c r="Q31" i="1"/>
  <c r="R31" i="1" s="1"/>
  <c r="V30" i="1"/>
  <c r="Q30" i="1"/>
  <c r="R30" i="1" s="1"/>
  <c r="V28" i="1"/>
  <c r="Q28" i="1"/>
  <c r="R28" i="1" s="1"/>
  <c r="V27" i="1"/>
  <c r="Q27" i="1"/>
  <c r="R27" i="1" s="1"/>
  <c r="V26" i="1"/>
  <c r="Q26" i="1"/>
  <c r="R26" i="1" s="1"/>
  <c r="V25" i="1"/>
  <c r="Q25" i="1"/>
  <c r="R25" i="1" s="1"/>
  <c r="V23" i="1"/>
  <c r="Q23" i="1"/>
  <c r="R23" i="1" s="1"/>
  <c r="V20" i="1"/>
  <c r="Q20" i="1"/>
  <c r="R20" i="1" s="1"/>
  <c r="V19" i="1"/>
  <c r="Q19" i="1"/>
  <c r="R19" i="1" s="1"/>
  <c r="V18" i="1"/>
  <c r="Q18" i="1"/>
  <c r="R18" i="1" s="1"/>
  <c r="V15" i="1"/>
  <c r="Q15" i="1"/>
  <c r="R15" i="1" s="1"/>
  <c r="V13" i="1"/>
  <c r="Q13" i="1"/>
  <c r="R13" i="1" s="1"/>
  <c r="V10" i="1"/>
  <c r="Q10" i="1"/>
  <c r="R10" i="1" s="1"/>
  <c r="V8" i="1"/>
  <c r="Q8" i="1"/>
  <c r="R8" i="1" s="1"/>
  <c r="V7" i="1"/>
  <c r="Q7" i="1"/>
  <c r="R7" i="1" s="1"/>
  <c r="V6" i="1"/>
  <c r="Q6" i="1"/>
  <c r="R6" i="1" s="1"/>
  <c r="V5" i="1"/>
  <c r="Q5" i="1"/>
  <c r="R5" i="1" s="1"/>
  <c r="P18" i="1"/>
  <c r="E60" i="1" l="1"/>
  <c r="E59" i="1"/>
  <c r="E58" i="1"/>
  <c r="E55" i="1"/>
  <c r="D60" i="1"/>
  <c r="O60" i="1" s="1"/>
  <c r="D59" i="1"/>
  <c r="O59" i="1" s="1"/>
  <c r="D58" i="1"/>
  <c r="O58" i="1" s="1"/>
  <c r="O56" i="1"/>
  <c r="D55" i="1"/>
  <c r="O55" i="1" s="1"/>
  <c r="A54" i="1"/>
  <c r="A55" i="1"/>
  <c r="A56" i="1"/>
  <c r="A58" i="1"/>
  <c r="A59" i="1"/>
  <c r="A60" i="1"/>
  <c r="P36" i="1"/>
  <c r="P33" i="1"/>
  <c r="C33" i="1"/>
  <c r="B33" i="1"/>
  <c r="I33" i="1" l="1"/>
  <c r="Q58" i="1"/>
  <c r="R58" i="1" s="1"/>
  <c r="P58" i="1"/>
  <c r="Q59" i="1"/>
  <c r="R59" i="1" s="1"/>
  <c r="P59" i="1"/>
  <c r="Q54" i="1"/>
  <c r="R54" i="1" s="1"/>
  <c r="P54" i="1"/>
  <c r="Q60" i="1"/>
  <c r="R60" i="1" s="1"/>
  <c r="P60" i="1"/>
  <c r="Q55" i="1"/>
  <c r="R55" i="1" s="1"/>
  <c r="P55" i="1"/>
  <c r="P56" i="1"/>
  <c r="Q56" i="1"/>
  <c r="R56" i="1" s="1"/>
  <c r="S60" i="1" l="1"/>
  <c r="S58" i="1"/>
  <c r="S54" i="1"/>
  <c r="S56" i="1"/>
  <c r="S59" i="1"/>
  <c r="S55" i="1"/>
  <c r="A10" i="5"/>
  <c r="C84" i="1"/>
  <c r="B84" i="1"/>
  <c r="C10" i="1"/>
  <c r="B10" i="1"/>
  <c r="C8" i="1"/>
  <c r="B8" i="1"/>
  <c r="C40" i="1" l="1"/>
  <c r="B40" i="1"/>
  <c r="C35" i="1"/>
  <c r="B35" i="1"/>
  <c r="C29" i="1"/>
  <c r="B29" i="1"/>
  <c r="B37" i="1"/>
  <c r="C37" i="1"/>
  <c r="B12" i="1"/>
  <c r="C12" i="1"/>
  <c r="C50" i="1"/>
  <c r="B50" i="1"/>
  <c r="C24" i="1"/>
  <c r="B24" i="1"/>
  <c r="C91" i="1"/>
  <c r="B41" i="1"/>
  <c r="C41" i="1"/>
  <c r="B27" i="1"/>
  <c r="C28" i="1"/>
  <c r="B31" i="1"/>
  <c r="C25" i="1"/>
  <c r="C48" i="1"/>
  <c r="B6" i="1"/>
  <c r="C32" i="1"/>
  <c r="C7" i="1"/>
  <c r="C43" i="1"/>
  <c r="C38" i="1"/>
  <c r="C46" i="1"/>
  <c r="B23" i="1"/>
  <c r="C85" i="1"/>
  <c r="B26" i="1"/>
  <c r="B30" i="1"/>
  <c r="B34" i="1"/>
  <c r="B39" i="1"/>
  <c r="B44" i="1"/>
  <c r="B47" i="1"/>
  <c r="B51" i="1"/>
  <c r="B86" i="1"/>
  <c r="C6" i="1"/>
  <c r="B7" i="1"/>
  <c r="C26" i="1"/>
  <c r="C30" i="1"/>
  <c r="C34" i="1"/>
  <c r="C39" i="1"/>
  <c r="C44" i="1"/>
  <c r="C47" i="1"/>
  <c r="C51" i="1"/>
  <c r="C86" i="1"/>
  <c r="B42" i="1"/>
  <c r="B45" i="1"/>
  <c r="B87" i="1"/>
  <c r="B5" i="1"/>
  <c r="B13" i="1"/>
  <c r="C23" i="1"/>
  <c r="C27" i="1"/>
  <c r="C31" i="1"/>
  <c r="C42" i="1"/>
  <c r="C45" i="1"/>
  <c r="B89" i="1"/>
  <c r="C5" i="1"/>
  <c r="C13" i="1"/>
  <c r="B25" i="1"/>
  <c r="B28" i="1"/>
  <c r="B32" i="1"/>
  <c r="B38" i="1"/>
  <c r="B43" i="1"/>
  <c r="B46" i="1"/>
  <c r="B48" i="1"/>
  <c r="B85" i="1"/>
  <c r="C89" i="1"/>
  <c r="C87" i="1"/>
  <c r="B88" i="1"/>
  <c r="B15" i="1"/>
  <c r="C15" i="1"/>
  <c r="B36" i="1"/>
  <c r="C36" i="1"/>
  <c r="B91" i="1"/>
  <c r="C20" i="1"/>
  <c r="C18" i="1"/>
  <c r="C19" i="1"/>
  <c r="C88" i="1"/>
  <c r="I8" i="1" l="1"/>
  <c r="I10" i="1"/>
  <c r="O8" i="1"/>
  <c r="O10" i="1"/>
  <c r="I36" i="1"/>
  <c r="I23" i="1"/>
  <c r="I13" i="1"/>
  <c r="I6" i="1"/>
  <c r="I5" i="1"/>
  <c r="I88" i="1"/>
  <c r="I87" i="1"/>
  <c r="I45" i="1"/>
  <c r="I31" i="1"/>
  <c r="I89" i="1"/>
  <c r="I47" i="1"/>
  <c r="I34" i="1"/>
  <c r="I85" i="1"/>
  <c r="I43" i="1"/>
  <c r="I28" i="1"/>
  <c r="I84" i="1"/>
  <c r="I42" i="1"/>
  <c r="I27" i="1"/>
  <c r="I86" i="1"/>
  <c r="I44" i="1"/>
  <c r="I30" i="1"/>
  <c r="I48" i="1"/>
  <c r="I38" i="1"/>
  <c r="I91" i="1"/>
  <c r="I25" i="1"/>
  <c r="I51" i="1"/>
  <c r="I39" i="1"/>
  <c r="I26" i="1"/>
  <c r="I46" i="1"/>
  <c r="I32" i="1"/>
  <c r="I7" i="1" l="1"/>
  <c r="O20" i="1"/>
  <c r="P20" i="1" s="1"/>
  <c r="O7" i="1"/>
  <c r="O19" i="1"/>
  <c r="P19" i="1" s="1"/>
  <c r="O15" i="1"/>
  <c r="P15" i="1" s="1"/>
  <c r="I15" i="1"/>
  <c r="O96" i="1"/>
  <c r="P96" i="1" s="1"/>
  <c r="O94" i="1"/>
  <c r="P94" i="1" s="1"/>
  <c r="O95" i="1"/>
  <c r="P95" i="1" s="1"/>
  <c r="O82" i="1"/>
  <c r="P82" i="1" s="1"/>
  <c r="O81" i="1"/>
  <c r="P81" i="1" s="1"/>
  <c r="O78" i="1"/>
  <c r="P78" i="1" s="1"/>
  <c r="O77" i="1"/>
  <c r="P77" i="1" s="1"/>
  <c r="O76" i="1"/>
  <c r="P76" i="1" s="1"/>
  <c r="O75" i="1"/>
  <c r="P75" i="1" s="1"/>
  <c r="O74" i="1"/>
  <c r="P74" i="1" s="1"/>
  <c r="O73" i="1"/>
  <c r="P73" i="1" s="1"/>
  <c r="O72" i="1"/>
  <c r="P72" i="1" l="1"/>
  <c r="P13" i="1"/>
  <c r="P10" i="1" l="1"/>
  <c r="P85" i="1"/>
  <c r="P88" i="1"/>
  <c r="P84" i="1"/>
  <c r="P30" i="1"/>
  <c r="P6" i="1"/>
  <c r="P8" i="1"/>
  <c r="P5" i="1"/>
  <c r="P7" i="1"/>
  <c r="P42" i="1"/>
  <c r="P45" i="1" l="1"/>
  <c r="P86" i="1"/>
  <c r="P87" i="1"/>
  <c r="P31" i="1"/>
  <c r="P27" i="1"/>
  <c r="O51" i="1"/>
  <c r="P28" i="1"/>
  <c r="P38" i="1"/>
  <c r="P34" i="1"/>
  <c r="P39" i="1"/>
  <c r="P89" i="1"/>
  <c r="P47" i="1"/>
  <c r="P23" i="1"/>
  <c r="P48" i="1"/>
  <c r="P43" i="1"/>
  <c r="P26" i="1"/>
  <c r="P32" i="1"/>
  <c r="P46" i="1"/>
  <c r="P25" i="1"/>
  <c r="P44" i="1"/>
  <c r="P51" i="1" l="1"/>
  <c r="O102" i="1"/>
  <c r="C23" i="11" s="1"/>
  <c r="P91" i="1"/>
  <c r="C17" i="11" l="1"/>
  <c r="C15" i="11"/>
  <c r="C13" i="11"/>
  <c r="C21" i="11" s="1"/>
  <c r="C9" i="11"/>
  <c r="C7" i="11"/>
  <c r="C5" i="11"/>
  <c r="C3" i="11"/>
  <c r="C18" i="11"/>
  <c r="C16" i="11"/>
  <c r="C14" i="11"/>
  <c r="C10" i="11"/>
  <c r="C8" i="11"/>
  <c r="C6" i="11"/>
  <c r="C4" i="11"/>
  <c r="T40" i="1"/>
  <c r="Z40" i="1" s="1"/>
  <c r="T57" i="1"/>
  <c r="T29" i="1"/>
  <c r="AA29" i="1" s="1"/>
  <c r="T35" i="1"/>
  <c r="T67" i="1"/>
  <c r="T64" i="1"/>
  <c r="T65" i="1"/>
  <c r="T53" i="1"/>
  <c r="T63" i="1"/>
  <c r="T37" i="1"/>
  <c r="P102" i="1"/>
  <c r="T50" i="1"/>
  <c r="T12" i="1"/>
  <c r="T41" i="1"/>
  <c r="T24" i="1"/>
  <c r="T62" i="1"/>
  <c r="T61" i="1"/>
  <c r="T68" i="1"/>
  <c r="T70" i="1"/>
  <c r="T69" i="1"/>
  <c r="T66" i="1"/>
  <c r="T91" i="1"/>
  <c r="T51" i="1"/>
  <c r="T89" i="1"/>
  <c r="T87" i="1"/>
  <c r="T88" i="1"/>
  <c r="T86" i="1"/>
  <c r="T36" i="1"/>
  <c r="T48" i="1"/>
  <c r="T47" i="1"/>
  <c r="T45" i="1"/>
  <c r="T43" i="1"/>
  <c r="T39" i="1"/>
  <c r="T33" i="1"/>
  <c r="T31" i="1"/>
  <c r="T28" i="1"/>
  <c r="T26" i="1"/>
  <c r="T23" i="1"/>
  <c r="T46" i="1"/>
  <c r="T44" i="1"/>
  <c r="T42" i="1"/>
  <c r="T38" i="1"/>
  <c r="T34" i="1"/>
  <c r="T32" i="1"/>
  <c r="T30" i="1"/>
  <c r="T27" i="1"/>
  <c r="T25" i="1"/>
  <c r="T20" i="1"/>
  <c r="T18" i="1"/>
  <c r="T19" i="1"/>
  <c r="T15" i="1"/>
  <c r="T10" i="1"/>
  <c r="T13" i="1"/>
  <c r="T8" i="1"/>
  <c r="T6" i="1"/>
  <c r="T7" i="1"/>
  <c r="T5" i="1"/>
  <c r="T60" i="1"/>
  <c r="T59" i="1"/>
  <c r="T54" i="1"/>
  <c r="T58" i="1"/>
  <c r="T56" i="1"/>
  <c r="T55" i="1"/>
  <c r="T84" i="1"/>
  <c r="T81" i="1"/>
  <c r="T95" i="1"/>
  <c r="T74" i="1"/>
  <c r="T85" i="1"/>
  <c r="T94" i="1"/>
  <c r="T98" i="1"/>
  <c r="T82" i="1"/>
  <c r="T99" i="1"/>
  <c r="T76" i="1"/>
  <c r="T77" i="1"/>
  <c r="T73" i="1"/>
  <c r="T96" i="1"/>
  <c r="T72" i="1"/>
  <c r="T78" i="1"/>
  <c r="T100" i="1"/>
  <c r="T75" i="1"/>
  <c r="C20" i="11" l="1"/>
  <c r="AA40" i="1"/>
  <c r="Z57" i="1"/>
  <c r="AA57" i="1"/>
  <c r="Z29" i="1"/>
  <c r="Z35" i="1"/>
  <c r="AA35" i="1"/>
  <c r="AA100" i="1"/>
  <c r="Z100" i="1"/>
  <c r="AA99" i="1"/>
  <c r="Z99" i="1"/>
  <c r="AA98" i="1"/>
  <c r="Z98" i="1"/>
  <c r="AA94" i="1"/>
  <c r="Z94" i="1"/>
  <c r="AA95" i="1"/>
  <c r="Z95" i="1"/>
  <c r="AA96" i="1"/>
  <c r="Z96" i="1"/>
  <c r="AA91" i="1"/>
  <c r="Z91" i="1"/>
  <c r="AA86" i="1"/>
  <c r="Z86" i="1"/>
  <c r="AA87" i="1"/>
  <c r="Z87" i="1"/>
  <c r="AA85" i="1"/>
  <c r="Z85" i="1"/>
  <c r="AA88" i="1"/>
  <c r="Z88" i="1"/>
  <c r="AA89" i="1"/>
  <c r="Z89" i="1"/>
  <c r="AA84" i="1"/>
  <c r="Z84" i="1"/>
  <c r="AA82" i="1"/>
  <c r="Z82" i="1"/>
  <c r="AA81" i="1"/>
  <c r="Z81" i="1"/>
  <c r="AA75" i="1"/>
  <c r="Z75" i="1"/>
  <c r="AA77" i="1"/>
  <c r="Z77" i="1"/>
  <c r="AA76" i="1"/>
  <c r="Z76" i="1"/>
  <c r="AA74" i="1"/>
  <c r="Z74" i="1"/>
  <c r="AA78" i="1"/>
  <c r="Z78" i="1"/>
  <c r="AA72" i="1"/>
  <c r="Z72" i="1"/>
  <c r="AA73" i="1"/>
  <c r="Z73" i="1"/>
  <c r="AA66" i="1"/>
  <c r="Z66" i="1"/>
  <c r="AA63" i="1"/>
  <c r="Z63" i="1"/>
  <c r="AA70" i="1"/>
  <c r="Z70" i="1"/>
  <c r="AA65" i="1"/>
  <c r="Z65" i="1"/>
  <c r="AA59" i="1"/>
  <c r="Z59" i="1"/>
  <c r="AA68" i="1"/>
  <c r="Z68" i="1"/>
  <c r="AA64" i="1"/>
  <c r="Z64" i="1"/>
  <c r="AA60" i="1"/>
  <c r="Z60" i="1"/>
  <c r="AA61" i="1"/>
  <c r="Z61" i="1"/>
  <c r="AA67" i="1"/>
  <c r="Z67" i="1"/>
  <c r="AA56" i="1"/>
  <c r="Z56" i="1"/>
  <c r="AA58" i="1"/>
  <c r="Z58" i="1"/>
  <c r="AA69" i="1"/>
  <c r="Z69" i="1"/>
  <c r="AA53" i="1"/>
  <c r="Z53" i="1"/>
  <c r="AA54" i="1"/>
  <c r="Z54" i="1"/>
  <c r="AA55" i="1"/>
  <c r="Z55" i="1"/>
  <c r="AA62" i="1"/>
  <c r="Z62" i="1"/>
  <c r="AA50" i="1"/>
  <c r="Z50" i="1"/>
  <c r="AA51" i="1"/>
  <c r="Z51" i="1"/>
  <c r="AA32" i="1"/>
  <c r="Z32" i="1"/>
  <c r="AA30" i="1"/>
  <c r="Z30" i="1"/>
  <c r="AA46" i="1"/>
  <c r="Z46" i="1"/>
  <c r="AA39" i="1"/>
  <c r="Z39" i="1"/>
  <c r="AA24" i="1"/>
  <c r="Z24" i="1"/>
  <c r="AA23" i="1"/>
  <c r="Z23" i="1"/>
  <c r="AA43" i="1"/>
  <c r="Z43" i="1"/>
  <c r="AA41" i="1"/>
  <c r="Z41" i="1"/>
  <c r="AA34" i="1"/>
  <c r="Z34" i="1"/>
  <c r="AA26" i="1"/>
  <c r="Z26" i="1"/>
  <c r="AA45" i="1"/>
  <c r="Z45" i="1"/>
  <c r="AA38" i="1"/>
  <c r="Z38" i="1"/>
  <c r="AA28" i="1"/>
  <c r="Z28" i="1"/>
  <c r="AA47" i="1"/>
  <c r="Z47" i="1"/>
  <c r="AA25" i="1"/>
  <c r="Z25" i="1"/>
  <c r="AA42" i="1"/>
  <c r="Z42" i="1"/>
  <c r="AA31" i="1"/>
  <c r="Z31" i="1"/>
  <c r="AA48" i="1"/>
  <c r="Z48" i="1"/>
  <c r="AA27" i="1"/>
  <c r="Z27" i="1"/>
  <c r="AA44" i="1"/>
  <c r="Z44" i="1"/>
  <c r="AA33" i="1"/>
  <c r="Z33" i="1"/>
  <c r="AA36" i="1"/>
  <c r="Z36" i="1"/>
  <c r="AA37" i="1"/>
  <c r="Z37" i="1"/>
  <c r="AA19" i="1"/>
  <c r="Z19" i="1"/>
  <c r="AA18" i="1"/>
  <c r="Z18" i="1"/>
  <c r="AA20" i="1"/>
  <c r="Z20" i="1"/>
  <c r="AA15" i="1"/>
  <c r="Z15" i="1"/>
  <c r="AA12" i="1"/>
  <c r="Z12" i="1"/>
  <c r="AA13" i="1"/>
  <c r="Z13" i="1"/>
  <c r="AA10" i="1"/>
  <c r="E18" i="11" s="1"/>
  <c r="Z10" i="1"/>
  <c r="D18" i="11" s="1"/>
  <c r="AA8" i="1"/>
  <c r="Z8" i="1"/>
  <c r="AA7" i="1"/>
  <c r="Z7" i="1"/>
  <c r="AA6" i="1"/>
  <c r="Z6" i="1"/>
  <c r="AA5" i="1"/>
  <c r="Z5" i="1"/>
  <c r="R102" i="1"/>
  <c r="D23" i="11" s="1"/>
  <c r="S102" i="1"/>
  <c r="E23" i="11" s="1"/>
  <c r="D3" i="11" l="1"/>
  <c r="D17" i="11"/>
  <c r="D9" i="11"/>
  <c r="D10" i="11"/>
  <c r="E4" i="11"/>
  <c r="E8" i="11"/>
  <c r="E10" i="11"/>
  <c r="E15" i="11"/>
  <c r="E17" i="11"/>
  <c r="E16" i="11"/>
  <c r="D13" i="11"/>
  <c r="D21" i="11" s="1"/>
  <c r="D7" i="11"/>
  <c r="D8" i="11"/>
  <c r="D6" i="11"/>
  <c r="E5" i="11"/>
  <c r="E9" i="11"/>
  <c r="D15" i="11"/>
  <c r="D14" i="11"/>
  <c r="E13" i="11"/>
  <c r="E21" i="11" s="1"/>
  <c r="E6" i="11"/>
  <c r="D5" i="11"/>
  <c r="E7" i="11"/>
  <c r="D4" i="11"/>
  <c r="D16" i="11"/>
  <c r="E14" i="11"/>
  <c r="E3" i="11"/>
  <c r="E20" i="11" l="1"/>
  <c r="D20" i="11"/>
</calcChain>
</file>

<file path=xl/sharedStrings.xml><?xml version="1.0" encoding="utf-8"?>
<sst xmlns="http://schemas.openxmlformats.org/spreadsheetml/2006/main" count="898" uniqueCount="352">
  <si>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</si>
  <si>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</si>
  <si>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</si>
  <si>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</si>
  <si>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</si>
  <si>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</si>
  <si>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</si>
  <si>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</si>
  <si>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</si>
  <si>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</si>
  <si>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</si>
  <si>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</si>
  <si>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</si>
  <si>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</si>
  <si>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</si>
  <si>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</si>
  <si>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</si>
  <si>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</si>
  <si>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</si>
  <si>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</si>
  <si>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</si>
  <si>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</si>
  <si>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</si>
  <si>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</si>
  <si>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</si>
  <si>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</si>
  <si>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</si>
  <si>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</si>
  <si>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</si>
  <si>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</si>
  <si>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</si>
  <si>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</si>
  <si>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</si>
  <si>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</si>
  <si>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</si>
  <si>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</si>
  <si>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</si>
  <si>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</si>
  <si>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</si>
  <si>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</si>
  <si>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</si>
  <si>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</si>
  <si>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</si>
  <si>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</si>
  <si>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</si>
  <si>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</si>
  <si>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</si>
  <si>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</si>
  <si>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</si>
  <si>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</si>
  <si>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</si>
  <si>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</si>
  <si>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</si>
  <si>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</si>
  <si>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</si>
  <si>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</si>
  <si>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</si>
  <si>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</si>
  <si>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</si>
  <si>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</si>
  <si>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</si>
  <si>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</si>
  <si>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</si>
  <si>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</si>
  <si>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</si>
  <si>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</si>
  <si>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</si>
  <si>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</si>
  <si>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</si>
  <si>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</si>
  <si>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</si>
  <si>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</si>
  <si>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</si>
  <si>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</si>
  <si>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</si>
  <si>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</si>
  <si>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</si>
  <si>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</si>
  <si>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</si>
  <si>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</si>
  <si>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</si>
  <si>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</si>
  <si>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</si>
  <si>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</si>
  <si>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</si>
  <si>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</si>
  <si>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</si>
  <si>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</si>
  <si>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</si>
  <si>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</si>
  <si>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</si>
  <si>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</si>
  <si>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</si>
  <si>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</si>
  <si>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</si>
  <si>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</si>
  <si>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</si>
  <si>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</si>
  <si>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</si>
  <si>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</si>
  <si>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</si>
  <si>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</si>
  <si>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</si>
  <si>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</si>
  <si>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</si>
  <si>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</si>
  <si>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</si>
  <si>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</si>
  <si>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</si>
  <si>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</si>
  <si>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</si>
  <si>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</si>
  <si>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</si>
  <si>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</si>
  <si>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</si>
  <si>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</si>
  <si>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</si>
  <si>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</si>
  <si>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</si>
  <si>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</si>
  <si>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</si>
  <si>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</si>
  <si>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</si>
  <si>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</si>
  <si>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</si>
  <si>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</si>
  <si>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</si>
  <si>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</si>
  <si>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</si>
  <si>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</si>
  <si>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</si>
  <si>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</si>
  <si>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</si>
  <si>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</si>
  <si>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</si>
  <si>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</si>
  <si>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</si>
  <si>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</si>
  <si>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</si>
  <si>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</si>
  <si>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</si>
  <si>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</si>
  <si>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</si>
  <si>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</si>
  <si>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</si>
  <si>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</si>
  <si>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</si>
  <si>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</si>
  <si>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</si>
  <si>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</si>
  <si>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</si>
  <si>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</si>
  <si>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</si>
  <si>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</si>
  <si>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</si>
  <si>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</si>
  <si>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</si>
  <si>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</si>
  <si>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</si>
  <si>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</si>
  <si>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</si>
  <si>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</si>
  <si>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</si>
  <si>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</si>
  <si>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</si>
  <si>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</si>
  <si>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</si>
  <si>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</si>
  <si>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</si>
  <si>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</si>
  <si>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</si>
  <si>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</si>
  <si>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</si>
  <si>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</si>
  <si>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</si>
  <si>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</si>
  <si>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</si>
  <si>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</si>
  <si>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</si>
  <si>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</si>
  <si>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</si>
  <si>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</si>
  <si>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</si>
  <si>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</si>
  <si>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Timestamp</t>
  </si>
  <si>
    <t>Net Asset Value</t>
  </si>
  <si>
    <t>John Deere Clase 6 - JHC6O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</si>
  <si>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</si>
  <si>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</si>
  <si>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</si>
  <si>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</si>
  <si>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</si>
  <si>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</si>
  <si>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</si>
  <si>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</si>
  <si>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</si>
  <si>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</si>
  <si>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</si>
  <si>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</si>
  <si>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</si>
  <si>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</si>
  <si>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</si>
  <si>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</si>
  <si>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</si>
  <si>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</si>
  <si>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</si>
  <si>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</si>
  <si>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</si>
  <si>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</si>
  <si>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</si>
  <si>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</si>
  <si>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</si>
  <si>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</si>
  <si>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</si>
  <si>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</si>
  <si>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</si>
  <si>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</si>
  <si>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</si>
  <si>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</si>
  <si>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</si>
  <si>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</si>
  <si>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</si>
  <si>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</si>
  <si>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</si>
  <si>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</si>
  <si>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</si>
  <si>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</si>
  <si>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</si>
  <si>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</si>
  <si>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</si>
  <si>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</si>
  <si>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</si>
  <si>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</si>
  <si>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</si>
  <si>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</si>
  <si>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</si>
  <si>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</si>
  <si>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</si>
  <si>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</si>
  <si>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</si>
  <si>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</si>
  <si>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</si>
  <si>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</si>
  <si>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</si>
  <si>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</si>
  <si>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</si>
  <si>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</si>
  <si>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</si>
  <si>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</si>
  <si>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</si>
  <si>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</si>
  <si>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</si>
  <si>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</si>
  <si>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</si>
  <si>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</si>
  <si>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</si>
  <si>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</si>
  <si>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</si>
  <si>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</si>
  <si>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</si>
  <si>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</si>
  <si>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</si>
  <si>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</si>
  <si>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</si>
  <si>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</si>
  <si>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</si>
  <si>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</si>
  <si>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</si>
  <si>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D+5,625%</t>
  </si>
  <si>
    <t>Banco de Galicia y Buenos Aires S.A.</t>
  </si>
  <si>
    <t>BBVA – Banco Francés S.A.</t>
  </si>
  <si>
    <t>Banco Santander Río S.A.</t>
  </si>
  <si>
    <t>Updated at 18:01:58</t>
  </si>
  <si>
    <t>SURA</t>
  </si>
  <si>
    <t>Sovereign / Government guaranteed</t>
  </si>
  <si>
    <t>Industry</t>
  </si>
  <si>
    <t>Price MO</t>
  </si>
  <si>
    <t>BCRA Bill - 16/05/2018</t>
  </si>
  <si>
    <t>Central Bank</t>
  </si>
  <si>
    <t>BCRA Bill - 21/06/2018</t>
  </si>
  <si>
    <t>BCRA Bill - 18/07/2018</t>
  </si>
  <si>
    <t>BCRA Bill - 18/04/2018</t>
  </si>
  <si>
    <t>Banks</t>
  </si>
  <si>
    <t>BANCO HIPOTECARIO NACIONAL XLII - BH49O</t>
  </si>
  <si>
    <t>FCA Compañía Financiera - FTB10</t>
  </si>
  <si>
    <t>Financials (Non-Banks)</t>
  </si>
  <si>
    <t>GPAT Compañía Financiera - GPWBO</t>
  </si>
  <si>
    <t>B+4.17%</t>
  </si>
  <si>
    <t>HSBC Bank Argentina S.A. - HSC7O</t>
  </si>
  <si>
    <t>ICBC Argentina S.A. - NDC7O</t>
  </si>
  <si>
    <t>PSA Finance - PSSRO</t>
  </si>
  <si>
    <t>Rombo Compañía Financiera - RMB35</t>
  </si>
  <si>
    <t>Arcor S.A.I.C - RC11O</t>
  </si>
  <si>
    <t>ICBC Argentina S.A.</t>
  </si>
  <si>
    <t>Industrials</t>
  </si>
  <si>
    <t>YPF S.A. - OYPF36</t>
  </si>
  <si>
    <t>Pan American Energy VII</t>
  </si>
  <si>
    <t>Pan American Energy VIII</t>
  </si>
  <si>
    <t>ARPSAF560083</t>
  </si>
  <si>
    <t>TM20</t>
  </si>
  <si>
    <t>PSA 2020 TM20+275 - PSSRO.xlsm</t>
  </si>
  <si>
    <t>TM+2,75%</t>
  </si>
  <si>
    <t>TM+4.2%</t>
  </si>
  <si>
    <t>ARBHIP5600W7</t>
  </si>
  <si>
    <t>B+3,60%</t>
  </si>
  <si>
    <t>Banco Hipotecario 2020 Badlar + 360.xlsm</t>
  </si>
  <si>
    <t>ICBC UVA  2020.xlsm</t>
  </si>
  <si>
    <t>ARBBOS560053</t>
  </si>
  <si>
    <t>Bolsa</t>
  </si>
  <si>
    <t>Mutual Fund</t>
  </si>
  <si>
    <t>Market Value USD</t>
  </si>
  <si>
    <t>Comentario</t>
  </si>
  <si>
    <t>Argentina Government - A2M2P</t>
  </si>
  <si>
    <t>BOGATO 0320.xlsm</t>
  </si>
  <si>
    <t>ARARGE3205N5</t>
  </si>
  <si>
    <t>Max(21%;C+4%)</t>
  </si>
  <si>
    <t>C+2.50%</t>
  </si>
  <si>
    <t>HSBC Bank Argentina S.A. - HSC9O</t>
  </si>
  <si>
    <t>TM+2,65%</t>
  </si>
  <si>
    <t>Rating</t>
  </si>
  <si>
    <t>AA(arg) - FIX SCR SA</t>
  </si>
  <si>
    <t>Aaa.ar - Moodys Latin America</t>
  </si>
  <si>
    <t>AAA(arg) perspectiva estable - FIX SCR SA</t>
  </si>
  <si>
    <t>AAA(arg) - FIX SCR SA</t>
  </si>
  <si>
    <t>Aa3.ar - Moodys Latin America</t>
  </si>
  <si>
    <t>AA-(arg) - FIX SCR SA</t>
  </si>
  <si>
    <t>AA+(arg) - FIX SCR SA</t>
  </si>
  <si>
    <t>Default</t>
  </si>
  <si>
    <t>A-bf.ar - Moodys Latin America</t>
  </si>
  <si>
    <t>BBB+f(arg) - FIX SCR SA</t>
  </si>
  <si>
    <t>Banco Supervielle</t>
  </si>
  <si>
    <t>B+ - S&amp;P</t>
  </si>
  <si>
    <t>B2 - Moodys</t>
  </si>
  <si>
    <t>Dur</t>
  </si>
  <si>
    <t>CA</t>
  </si>
  <si>
    <t>Share</t>
  </si>
  <si>
    <t>I18A8</t>
  </si>
  <si>
    <t>I16Y8</t>
  </si>
  <si>
    <t>I21J8</t>
  </si>
  <si>
    <t>I18L8</t>
  </si>
  <si>
    <t>Schroder Infraestructura - Clase B</t>
  </si>
  <si>
    <t>Schroder Desarrollo y Crecimiento Clase B</t>
  </si>
  <si>
    <t>BANCO DE GALICIA SA - BY52O</t>
  </si>
  <si>
    <t>ARGALI5602U0</t>
  </si>
  <si>
    <t>ARROBE560069</t>
  </si>
  <si>
    <t>GPAT Compañía Financiera - GPYAO</t>
  </si>
  <si>
    <t>ARGPAT5600J5</t>
  </si>
  <si>
    <t>Tarjeta Naranja - T402O</t>
  </si>
  <si>
    <t>ARTANA5600J3</t>
  </si>
  <si>
    <t>B+3,69%</t>
  </si>
  <si>
    <t>Asset Class</t>
  </si>
  <si>
    <t>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</si>
</sst>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3" formatCode="_-* #,##0.00\ _€_-;\-* #,##0.00\ _€_-;_-* &quot;-&quot;??\ _€_-;_-@_-"/>
    <numFmt numFmtId="164" formatCode="_ * #,##0.00_ ;_ * \-#,##0.00_ ;_ * &quot;-&quot;??_ ;_ @_ "/>
    <numFmt numFmtId="165" formatCode="#,##0.0000"/>
    <numFmt numFmtId="166" formatCode="#,##0.00_ ;\-#,##0.00\ "/>
    <numFmt numFmtId="167" formatCode="_(* #,##0.00_);_(* \(#,##0.00\);_(* &quot;-&quot;??_);_(@_)"/>
    <numFmt numFmtId="168" formatCode="#,##0_ ;\-#,##0\ "/>
    <numFmt numFmtId="169" formatCode="0.000000"/>
    <numFmt numFmtId="170" formatCode="_-* #,##0\ _€_-;\-* #,##0\ _€_-;_-* &quot;-&quot;??\ _€_-;_-@_-"/>
    <numFmt numFmtId="171" formatCode="0.000"/>
    <numFmt numFmtId="172" formatCode="_(&quot;$&quot;* #,##0.00_);_(&quot;$&quot;* \(#,##0.00\);_(&quot;$&quot;* &quot;-&quot;??_);_(@_)"/>
    <numFmt numFmtId="173" formatCode="dd\ mmmyy"/>
    <numFmt numFmtId="174" formatCode="dd\ mmmyy\ hh:mm"/>
    <numFmt numFmtId="175" formatCode="#.##000"/>
    <numFmt numFmtId="176" formatCode="\$#,#00"/>
    <numFmt numFmtId="177" formatCode="\$#,##0\ ;\(\$#,##0\)"/>
    <numFmt numFmtId="178" formatCode="_ [$€-2]\ * #,##0.00_ ;_ [$€-2]\ * \-#,##0.00_ ;_ [$€-2]\ * &quot;-&quot;??_ "/>
    <numFmt numFmtId="179" formatCode="#,#00"/>
    <numFmt numFmtId="180" formatCode="\$#,"/>
    <numFmt numFmtId="181" formatCode="General_)"/>
    <numFmt numFmtId="182" formatCode="#.##0,"/>
    <numFmt numFmtId="183" formatCode="#,##0.000000"/>
    <numFmt numFmtId="184" formatCode="_-* #,##0.00\ [$€-1]_-;\-* #,##0.00\ [$€-1]_-;_-* &quot;-&quot;??\ [$€-1]_-"/>
    <numFmt numFmtId="185" formatCode="#,##0.00000_ ;\-#,##0.00000\ "/>
    <numFmt numFmtId="186" formatCode="&quot;ARS&quot;\ #,##0\ &quot;mm&quot;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2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3" fontId="11" fillId="0" borderId="0" applyFont="0" applyFill="0" applyBorder="0" applyAlignment="0" applyProtection="0"/>
    <xf numFmtId="174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8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79" fontId="22" fillId="0" borderId="0">
      <protection locked="0"/>
    </xf>
    <xf numFmtId="179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6" fontId="22" fillId="0" borderId="0">
      <protection locked="0"/>
    </xf>
    <xf numFmtId="180" fontId="22" fillId="0" borderId="0">
      <protection locked="0"/>
    </xf>
    <xf numFmtId="181" fontId="25" fillId="0" borderId="2">
      <alignment vertical="center"/>
    </xf>
    <xf numFmtId="9" fontId="10" fillId="0" borderId="0" applyFont="0" applyFill="0" applyBorder="0" applyAlignment="0" applyProtection="0"/>
    <xf numFmtId="175" fontId="22" fillId="0" borderId="0">
      <protection locked="0"/>
    </xf>
    <xf numFmtId="182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2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2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7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7" fontId="1" fillId="0" borderId="0" applyFont="0" applyFill="0" applyBorder="0" applyAlignment="0" applyProtection="0"/>
    <xf numFmtId="0" fontId="41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2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84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47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49" fillId="0" borderId="15" applyNumberFormat="0" applyFill="0" applyAlignment="0" applyProtection="0"/>
    <xf numFmtId="0" fontId="37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4" fillId="17" borderId="7" applyNumberFormat="0" applyAlignment="0" applyProtection="0"/>
    <xf numFmtId="0" fontId="13" fillId="10" borderId="6">
      <protection locked="0"/>
    </xf>
    <xf numFmtId="0" fontId="43" fillId="0" borderId="12" applyNumberFormat="0" applyFill="0" applyAlignment="0" applyProtection="0"/>
    <xf numFmtId="0" fontId="38" fillId="0" borderId="10" applyNumberFormat="0" applyFill="0" applyAlignment="0" applyProtection="0"/>
    <xf numFmtId="164" fontId="41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45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6" fillId="0" borderId="16" applyNumberFormat="0" applyFill="0" applyAlignment="0" applyProtection="0"/>
    <xf numFmtId="0" fontId="44" fillId="17" borderId="7" applyNumberFormat="0" applyAlignment="0" applyProtection="0"/>
    <xf numFmtId="39" fontId="13" fillId="10" borderId="17">
      <protection locked="0"/>
    </xf>
    <xf numFmtId="0" fontId="13" fillId="10" borderId="19">
      <protection locked="0"/>
    </xf>
    <xf numFmtId="0" fontId="16" fillId="9" borderId="18">
      <alignment horizontal="left"/>
    </xf>
    <xf numFmtId="0" fontId="39" fillId="28" borderId="17" applyNumberFormat="0" applyAlignment="0" applyProtection="0"/>
    <xf numFmtId="0" fontId="10" fillId="16" borderId="21" applyNumberFormat="0" applyFont="0" applyAlignment="0" applyProtection="0"/>
    <xf numFmtId="0" fontId="31" fillId="28" borderId="20" applyNumberFormat="0" applyAlignment="0" applyProtection="0"/>
  </cellStyleXfs>
  <cellXfs count="14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5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5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5" fontId="0" fillId="3" borderId="0" xfId="0" applyNumberFormat="1" applyFont="1" applyFill="1" applyAlignment="1">
      <alignment horizontal="center"/>
    </xf>
    <xf numFmtId="166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5" fontId="0" fillId="4" borderId="0" xfId="0" applyNumberFormat="1" applyFont="1" applyFill="1" applyAlignment="1">
      <alignment horizontal="center"/>
    </xf>
    <xf numFmtId="167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7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7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6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5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43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69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0" fontId="0" fillId="0" borderId="0" xfId="1" applyNumberFormat="1" applyFont="1"/>
    <xf numFmtId="170" fontId="0" fillId="6" borderId="0" xfId="1" applyNumberFormat="1" applyFont="1" applyFill="1"/>
    <xf numFmtId="170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41" fillId="0" borderId="0" xfId="127" applyNumberFormat="1"/>
    <xf numFmtId="10" fontId="7" fillId="0" borderId="0" xfId="0" applyNumberFormat="1" applyFont="1"/>
    <xf numFmtId="0" fontId="41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1" fillId="0" borderId="0" xfId="127" applyAlignment="1">
      <alignment horizontal="center"/>
    </xf>
    <xf numFmtId="171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1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  <xf numFmtId="183" fontId="0" fillId="3" borderId="0" xfId="0" applyNumberFormat="1" applyFont="1" applyFill="1" applyAlignment="1">
      <alignment horizontal="center"/>
    </xf>
    <xf numFmtId="0" fontId="0" fillId="0" borderId="0" xfId="0"/>
    <xf numFmtId="10" fontId="0" fillId="3" borderId="0" xfId="2" applyNumberFormat="1" applyFont="1" applyFill="1"/>
    <xf numFmtId="10" fontId="0" fillId="0" borderId="0" xfId="0" applyNumberFormat="1" applyFont="1" applyFill="1"/>
    <xf numFmtId="171" fontId="0" fillId="3" borderId="0" xfId="0" applyNumberFormat="1" applyFont="1" applyFill="1" applyAlignment="1">
      <alignment horizontal="right"/>
    </xf>
    <xf numFmtId="185" fontId="0" fillId="3" borderId="0" xfId="0" applyNumberFormat="1" applyFont="1" applyFill="1"/>
    <xf numFmtId="0" fontId="0" fillId="3" borderId="0" xfId="0" applyFont="1" applyFill="1" applyAlignment="1">
      <alignment horizontal="left"/>
    </xf>
    <xf numFmtId="0" fontId="10" fillId="0" borderId="0" xfId="127" applyFont="1"/>
    <xf numFmtId="10" fontId="0" fillId="3" borderId="0" xfId="2" applyNumberFormat="1" applyFont="1" applyFill="1" applyAlignment="1">
      <alignment horizontal="right"/>
    </xf>
    <xf numFmtId="0" fontId="3" fillId="3" borderId="0" xfId="0" applyFont="1" applyFill="1"/>
    <xf numFmtId="0" fontId="3" fillId="3" borderId="2" xfId="0" applyFont="1" applyFill="1" applyBorder="1"/>
    <xf numFmtId="0" fontId="3" fillId="3" borderId="2" xfId="0" applyFont="1" applyFill="1" applyBorder="1" applyAlignment="1">
      <alignment horizontal="right"/>
    </xf>
    <xf numFmtId="10" fontId="3" fillId="3" borderId="0" xfId="0" applyNumberFormat="1" applyFont="1" applyFill="1"/>
    <xf numFmtId="4" fontId="3" fillId="3" borderId="0" xfId="0" applyNumberFormat="1" applyFont="1" applyFill="1"/>
    <xf numFmtId="0" fontId="3" fillId="3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186" fontId="3" fillId="3" borderId="0" xfId="0" applyNumberFormat="1" applyFont="1" applyFill="1"/>
    <xf numFmtId="4" fontId="2" fillId="2" borderId="0" xfId="2" applyNumberFormat="1" applyFont="1" applyFill="1" applyBorder="1" applyAlignment="1">
      <alignment horizontal="center" vertical="center" wrapText="1"/>
    </xf>
  </cellXfs>
  <cellStyles count="222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lculation 4" xfId="221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a 2 2" xfId="218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2 2" xfId="21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2 2" xfId="216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Note 2" xfId="220"/>
    <cellStyle name="Output" xfId="122"/>
    <cellStyle name="Output 2" xfId="207"/>
    <cellStyle name="Output 3" xfId="206"/>
    <cellStyle name="Output 4" xfId="219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workbookViewId="0">
      <selection activeCell="A2" sqref="A2:E23"/>
    </sheetView>
  </sheetViews>
  <sheetFormatPr baseColWidth="10" defaultRowHeight="15"/>
  <cols>
    <col min="1" max="1" width="13.28515625" style="139" customWidth="1"/>
    <col min="2" max="5" width="13.28515625" customWidth="1"/>
  </cols>
  <sheetData>
    <row r="1" spans="1:5">
      <c r="A1" s="140"/>
      <c r="B1" s="141"/>
      <c r="C1" s="141"/>
      <c r="D1" s="141"/>
      <c r="E1" s="141"/>
    </row>
    <row r="2" spans="1:5">
      <c r="A2" s="137" t="s">
        <v>350</v>
      </c>
      <c r="B2" s="133"/>
      <c r="C2" s="134" t="s">
        <v>335</v>
      </c>
      <c r="D2" s="134" t="s">
        <v>7</v>
      </c>
      <c r="E2" s="134" t="s">
        <v>333</v>
      </c>
    </row>
    <row r="3" spans="1:5">
      <c r="A3" s="129" t="s">
        <v>274</v>
      </c>
      <c r="B3" s="87"/>
      <c r="C3" s="125">
        <f ca="1">SUMIF(Valuacion!G:G,A3,Valuacion!O:O)/Valuacion!$O$102</f>
        <v>0.28845430075176143</v>
      </c>
      <c r="D3" s="131">
        <f ca="1">SUMIF(Valuacion!G:G,A3,Valuacion!Z:Z)/C3</f>
        <v>0.23252751140359351</v>
      </c>
      <c r="E3" s="127">
        <f ca="1">SUMIF(Valuacion!G:G,A3,Valuacion!AA:AA)/C3</f>
        <v>1.9333591363102767</v>
      </c>
    </row>
    <row r="4" spans="1:5">
      <c r="A4" s="129" t="s">
        <v>278</v>
      </c>
      <c r="B4" s="87"/>
      <c r="C4" s="125">
        <f ca="1">SUMIF(Valuacion!G:G,A4,Valuacion!O:O)/Valuacion!$O$102</f>
        <v>0.2411540598342688</v>
      </c>
      <c r="D4" s="131">
        <f ca="1">SUMIF(Valuacion!G:G,A4,Valuacion!Z:Z)/C4</f>
        <v>0.30489721465445369</v>
      </c>
      <c r="E4" s="127">
        <f ca="1">SUMIF(Valuacion!G:G,A4,Valuacion!AA:AA)/C4</f>
        <v>8.2465018118662109E-2</v>
      </c>
    </row>
    <row r="5" spans="1:5">
      <c r="A5" s="129" t="s">
        <v>294</v>
      </c>
      <c r="B5" s="87"/>
      <c r="C5" s="125">
        <f ca="1">SUMIF(Valuacion!G:G,A5,Valuacion!O:O)/Valuacion!$O$102</f>
        <v>2.4811285232323694E-2</v>
      </c>
      <c r="D5" s="131">
        <f ca="1">SUMIF(Valuacion!G:G,A5,Valuacion!Z:Z)/C5</f>
        <v>0.24393271341457121</v>
      </c>
      <c r="E5" s="127">
        <f ca="1">SUMIF(Valuacion!G:G,A5,Valuacion!AA:AA)/C5</f>
        <v>2.2755059572739946</v>
      </c>
    </row>
    <row r="6" spans="1:5">
      <c r="A6" s="129" t="s">
        <v>282</v>
      </c>
      <c r="B6" s="87"/>
      <c r="C6" s="125">
        <f ca="1">SUMIF(Valuacion!G:G,A6,Valuacion!O:O)/Valuacion!$O$102</f>
        <v>0.11396565909193447</v>
      </c>
      <c r="D6" s="131">
        <f ca="1">SUMIF(Valuacion!G:G,A6,Valuacion!Z:Z)/C6</f>
        <v>0.29193451246441082</v>
      </c>
      <c r="E6" s="127">
        <f ca="1">SUMIF(Valuacion!G:G,A6,Valuacion!AA:AA)/C6</f>
        <v>1.4809517106967511</v>
      </c>
    </row>
    <row r="7" spans="1:5">
      <c r="A7" s="129" t="s">
        <v>285</v>
      </c>
      <c r="B7" s="87"/>
      <c r="C7" s="125">
        <f ca="1">SUMIF(Valuacion!G:G,A7,Valuacion!O:O)/Valuacion!$O$102</f>
        <v>9.8116619862111176E-2</v>
      </c>
      <c r="D7" s="131">
        <f ca="1">SUMIF(Valuacion!G:G,A7,Valuacion!Z:Z)/C7</f>
        <v>0.27601888410160663</v>
      </c>
      <c r="E7" s="127">
        <f ca="1">SUMIF(Valuacion!G:G,A7,Valuacion!AA:AA)/C7</f>
        <v>1.3426988621470772</v>
      </c>
    </row>
    <row r="8" spans="1:5">
      <c r="A8" s="129" t="s">
        <v>309</v>
      </c>
      <c r="B8" s="87"/>
      <c r="C8" s="125">
        <f ca="1">SUMIF(Valuacion!G:G,A8,Valuacion!O:O)/Valuacion!$O$102</f>
        <v>9.0592521445198346E-2</v>
      </c>
      <c r="D8" s="131">
        <f ca="1">SUMIF(Valuacion!G:G,A8,Valuacion!Z:Z)/C8</f>
        <v>0</v>
      </c>
      <c r="E8" s="127">
        <f ca="1">SUMIF(Valuacion!G:G,A8,Valuacion!AA:AA)/C8</f>
        <v>0</v>
      </c>
    </row>
    <row r="9" spans="1:5">
      <c r="A9" s="129" t="s">
        <v>79</v>
      </c>
      <c r="B9" s="87"/>
      <c r="C9" s="125">
        <f ca="1">SUMIF(Valuacion!G:G,A9,Valuacion!O:O)/Valuacion!$O$102</f>
        <v>0.14149340604446742</v>
      </c>
      <c r="D9" s="131">
        <f ca="1">SUMIF(Valuacion!G:G,A9,Valuacion!Z:Z)/C9</f>
        <v>0.26322448102600782</v>
      </c>
      <c r="E9" s="127">
        <f ca="1">SUMIF(Valuacion!G:G,A9,Valuacion!AA:AA)/C9</f>
        <v>0.54476777482816019</v>
      </c>
    </row>
    <row r="10" spans="1:5">
      <c r="A10" s="129" t="s">
        <v>95</v>
      </c>
      <c r="B10" s="87"/>
      <c r="C10" s="125">
        <f ca="1">SUMIF(Valuacion!G:G,A10,Valuacion!O:O)/Valuacion!$O$102</f>
        <v>1.4121477379347009E-3</v>
      </c>
      <c r="D10" s="131">
        <f ca="1">SUMIF(Valuacion!G:G,A10,Valuacion!Z:Z)/C10</f>
        <v>0</v>
      </c>
      <c r="E10" s="127">
        <f ca="1">SUMIF(Valuacion!G:G,A10,Valuacion!AA:AA)/C10</f>
        <v>0</v>
      </c>
    </row>
    <row r="11" spans="1:5" s="124" customFormat="1">
      <c r="A11" s="129"/>
      <c r="B11" s="87"/>
      <c r="C11" s="125"/>
      <c r="D11" s="131"/>
      <c r="E11" s="127"/>
    </row>
    <row r="12" spans="1:5">
      <c r="A12" s="137" t="s">
        <v>351</v>
      </c>
      <c r="B12" s="133"/>
      <c r="C12" s="134" t="s">
        <v>335</v>
      </c>
      <c r="D12" s="134" t="s">
        <v>7</v>
      </c>
      <c r="E12" s="134" t="s">
        <v>333</v>
      </c>
    </row>
    <row r="13" spans="1:5">
      <c r="A13" s="129" t="s">
        <v>36</v>
      </c>
      <c r="B13" s="87"/>
      <c r="C13" s="125">
        <f ca="1">SUMIF(Valuacion!$F$1:$F$103,A13,Valuacion!$O$1:$O$103)/Valuacion!$O$102</f>
        <v>2.542587384510385E-2</v>
      </c>
      <c r="D13" s="131">
        <f ca="1">SUMIF(Valuacion!$F$1:$F$103,A13,Valuacion!$Z$1:$Z$103)/C13</f>
        <v>0.181030427316622</v>
      </c>
      <c r="E13" s="127">
        <f ca="1">SUMIF(Valuacion!$F$1:$F$103,A13,Valuacion!$AA$1:$AA$103)/C13</f>
        <v>3.2843187958523203</v>
      </c>
    </row>
    <row r="14" spans="1:5">
      <c r="A14" s="129" t="s">
        <v>80</v>
      </c>
      <c r="B14" s="87"/>
      <c r="C14" s="125">
        <f ca="1">SUMIF(Valuacion!$F$1:$F$103,A14,Valuacion!$O$1:$O$103)/Valuacion!$O$102</f>
        <v>0.45851417340675005</v>
      </c>
      <c r="D14" s="131">
        <f ca="1">SUMIF(Valuacion!$F$1:$F$103,A14,Valuacion!$Z$1:$Z$103)/C14</f>
        <v>0.26093062780089127</v>
      </c>
      <c r="E14" s="127">
        <f ca="1">SUMIF(Valuacion!$F$1:$F$103,A14,Valuacion!$AA$1:$AA$103)/C14</f>
        <v>0.27162996250129973</v>
      </c>
    </row>
    <row r="15" spans="1:5">
      <c r="A15" s="129" t="s">
        <v>13</v>
      </c>
      <c r="B15" s="87"/>
      <c r="C15" s="125">
        <f ca="1">SUMIF(Valuacion!$F$1:$F$103,A15,Valuacion!$O$1:$O$103)/Valuacion!$O$102</f>
        <v>0.31187336941200666</v>
      </c>
      <c r="D15" s="131">
        <f ca="1">SUMIF(Valuacion!$F$1:$F$103,A15,Valuacion!$Z$1:$Z$103)/C15</f>
        <v>0.23224326661172781</v>
      </c>
      <c r="E15" s="127">
        <f ca="1">SUMIF(Valuacion!$F$1:$F$103,A15,Valuacion!$AA$1:$AA$103)/C15</f>
        <v>1.168927658139465</v>
      </c>
    </row>
    <row r="16" spans="1:5">
      <c r="A16" s="129" t="s">
        <v>299</v>
      </c>
      <c r="B16" s="87"/>
      <c r="C16" s="125">
        <f ca="1">SUMIF(Valuacion!$F$1:$F$103,A16,Valuacion!$O$1:$O$103)/Valuacion!$O$102</f>
        <v>4.2955263059703964E-2</v>
      </c>
      <c r="D16" s="131">
        <f ca="1">SUMIF(Valuacion!$F$1:$F$103,A16,Valuacion!$Z$1:$Z$103)/C16</f>
        <v>0.25672231141426</v>
      </c>
      <c r="E16" s="127">
        <f ca="1">SUMIF(Valuacion!$F$1:$F$103,A16,Valuacion!$AA$1:$AA$103)/C16</f>
        <v>1.7654997116752018</v>
      </c>
    </row>
    <row r="17" spans="1:5">
      <c r="A17" s="129" t="s">
        <v>33</v>
      </c>
      <c r="B17" s="87"/>
      <c r="C17" s="125">
        <f ca="1">SUMIF(Valuacion!$F$1:$F$103,A17,Valuacion!$O$1:$O$103)/Valuacion!$O$102</f>
        <v>0.11753003282407833</v>
      </c>
      <c r="D17" s="131">
        <f ca="1">SUMIF(Valuacion!$F$1:$F$103,A17,Valuacion!$Z$1:$Z$103)/C17</f>
        <v>0.21301157578311397</v>
      </c>
      <c r="E17" s="127">
        <f ca="1">SUMIF(Valuacion!$F$1:$F$103,A17,Valuacion!$AA$1:$AA$103)/C17</f>
        <v>2.5697578285393345</v>
      </c>
    </row>
    <row r="18" spans="1:5">
      <c r="A18" s="129" t="s">
        <v>28</v>
      </c>
      <c r="B18" s="87"/>
      <c r="C18" s="125">
        <f ca="1">SUMIF(Valuacion!$F$1:$F$103,A18,Valuacion!$O$1:$O$103)/Valuacion!$O$102</f>
        <v>4.3701287452357254E-2</v>
      </c>
      <c r="D18" s="131">
        <f ca="1">SUMIF(Valuacion!$F$1:$F$103,A18,Valuacion!$Z$1:$Z$103)/C18</f>
        <v>0.26346028127169241</v>
      </c>
      <c r="E18" s="127">
        <f ca="1">SUMIF(Valuacion!$F$1:$F$103,A18,Valuacion!$AA$1:$AA$103)/C18</f>
        <v>1.3994787173391019</v>
      </c>
    </row>
    <row r="19" spans="1:5" s="124" customFormat="1">
      <c r="A19" s="129"/>
      <c r="B19" s="87"/>
      <c r="C19" s="125"/>
      <c r="D19" s="131"/>
      <c r="E19" s="127"/>
    </row>
    <row r="20" spans="1:5" s="124" customFormat="1">
      <c r="A20" s="129" t="s">
        <v>80</v>
      </c>
      <c r="B20" s="87"/>
      <c r="C20" s="125">
        <f ca="1">+SUM(C14:C18)</f>
        <v>0.97457412615489636</v>
      </c>
      <c r="D20" s="131">
        <f ca="1">+SUMPRODUCT(C14:C18,D14:D18)/C20</f>
        <v>0.24589947564842038</v>
      </c>
      <c r="E20" s="127">
        <f ca="1">+SUMPRODUCT(C14:C18,E14:E18)/C20</f>
        <v>0.95233786569766765</v>
      </c>
    </row>
    <row r="21" spans="1:5" s="124" customFormat="1">
      <c r="A21" s="129" t="s">
        <v>36</v>
      </c>
      <c r="B21" s="87"/>
      <c r="C21" s="125">
        <f ca="1">+C13</f>
        <v>2.542587384510385E-2</v>
      </c>
      <c r="D21" s="131">
        <f ca="1">+D13</f>
        <v>0.181030427316622</v>
      </c>
      <c r="E21" s="127">
        <f ca="1">+E13</f>
        <v>3.2843187958523203</v>
      </c>
    </row>
    <row r="22" spans="1:5">
      <c r="A22" s="129"/>
      <c r="B22" s="87"/>
      <c r="C22" s="87"/>
      <c r="D22" s="87"/>
      <c r="E22" s="87"/>
    </row>
    <row r="23" spans="1:5">
      <c r="A23" s="138" t="s">
        <v>19</v>
      </c>
      <c r="B23" s="132"/>
      <c r="C23" s="142">
        <f ca="1">+Valuacion!O102/1000000</f>
        <v>4240.1496798466724</v>
      </c>
      <c r="D23" s="135">
        <f ca="1">+Valuacion!R102</f>
        <v>0.24425012340908414</v>
      </c>
      <c r="E23" s="136">
        <f ca="1">+Valuacion!S102</f>
        <v>1.0116305186369674</v>
      </c>
    </row>
    <row r="24" spans="1:5">
      <c r="A24" s="140"/>
      <c r="B24" s="141"/>
      <c r="C24" s="141"/>
      <c r="D24" s="141"/>
      <c r="E24" s="141"/>
    </row>
    <row r="25" spans="1:5">
      <c r="A25" s="140"/>
      <c r="B25" s="141"/>
      <c r="C25" s="141"/>
      <c r="D25" s="141"/>
      <c r="E25" s="1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10"/>
  <sheetViews>
    <sheetView tabSelected="1" zoomScale="80" zoomScaleNormal="80" workbookViewId="0"/>
  </sheetViews>
  <sheetFormatPr baseColWidth="10" defaultColWidth="11.42578125" defaultRowHeight="15" outlineLevelCol="1"/>
  <cols>
    <col min="1" max="1" width="41.5703125" style="6" customWidth="1"/>
    <col min="2" max="3" width="15.7109375" style="6" hidden="1" customWidth="1" outlineLevel="1"/>
    <col min="4" max="4" width="15" style="6" customWidth="1" collapsed="1"/>
    <col min="5" max="5" width="12.28515625" style="6" customWidth="1"/>
    <col min="6" max="6" width="11.140625" style="6" customWidth="1"/>
    <col min="7" max="7" width="31.85546875" style="6" customWidth="1"/>
    <col min="8" max="8" width="13" style="70" customWidth="1"/>
    <col min="9" max="12" width="15.7109375" style="70" hidden="1" customWidth="1" outlineLevel="1"/>
    <col min="13" max="14" width="15.7109375" style="71" customWidth="1" collapsed="1"/>
    <col min="15" max="15" width="17.42578125" style="6" bestFit="1" customWidth="1"/>
    <col min="16" max="16" width="15.7109375" style="6" customWidth="1"/>
    <col min="17" max="17" width="15.7109375" style="72" customWidth="1"/>
    <col min="18" max="18" width="10.7109375" style="72" customWidth="1"/>
    <col min="19" max="19" width="9.5703125" style="73" customWidth="1"/>
    <col min="20" max="20" width="10.85546875" style="74" customWidth="1"/>
    <col min="21" max="21" width="2.7109375" style="6" customWidth="1"/>
    <col min="22" max="24" width="21.7109375" style="78" customWidth="1"/>
    <col min="25" max="25" width="11.42578125" style="6"/>
    <col min="26" max="27" width="0" style="6" hidden="1" customWidth="1" outlineLevel="1"/>
    <col min="28" max="28" width="11.42578125" style="6" collapsed="1"/>
    <col min="29" max="16384" width="11.42578125" style="6"/>
  </cols>
  <sheetData>
    <row r="1" spans="1:27">
      <c r="T1" s="75"/>
    </row>
    <row r="2" spans="1:27" ht="30">
      <c r="A2" s="1" t="s">
        <v>0</v>
      </c>
      <c r="B2" s="1" t="s">
        <v>174</v>
      </c>
      <c r="C2" s="1" t="s">
        <v>175</v>
      </c>
      <c r="D2" s="1" t="s">
        <v>1</v>
      </c>
      <c r="E2" s="1" t="s">
        <v>2</v>
      </c>
      <c r="F2" s="1" t="s">
        <v>3</v>
      </c>
      <c r="G2" s="1" t="s">
        <v>275</v>
      </c>
      <c r="H2" s="2" t="s">
        <v>4</v>
      </c>
      <c r="I2" s="2"/>
      <c r="J2" s="2" t="s">
        <v>97</v>
      </c>
      <c r="K2" s="2" t="s">
        <v>100</v>
      </c>
      <c r="L2" s="2" t="s">
        <v>183</v>
      </c>
      <c r="M2" s="3" t="s">
        <v>276</v>
      </c>
      <c r="N2" s="3" t="s">
        <v>5</v>
      </c>
      <c r="O2" s="1" t="s">
        <v>6</v>
      </c>
      <c r="P2" s="1" t="s">
        <v>310</v>
      </c>
      <c r="Q2" s="1" t="s">
        <v>102</v>
      </c>
      <c r="R2" s="1" t="s">
        <v>7</v>
      </c>
      <c r="S2" s="1" t="s">
        <v>8</v>
      </c>
      <c r="T2" s="4" t="s">
        <v>9</v>
      </c>
      <c r="U2" s="5"/>
      <c r="V2" s="79" t="s">
        <v>103</v>
      </c>
      <c r="W2" s="79" t="s">
        <v>311</v>
      </c>
      <c r="X2" s="79" t="s">
        <v>319</v>
      </c>
      <c r="Z2" s="143" t="s">
        <v>334</v>
      </c>
      <c r="AA2" s="143"/>
    </row>
    <row r="3" spans="1:27">
      <c r="A3" s="7" t="s">
        <v>10</v>
      </c>
      <c r="B3" s="8"/>
      <c r="C3" s="8"/>
      <c r="D3" s="8"/>
      <c r="E3" s="8"/>
      <c r="F3" s="8"/>
      <c r="G3" s="8"/>
      <c r="H3" s="9"/>
      <c r="I3" s="9"/>
      <c r="J3" s="9"/>
      <c r="K3" s="9"/>
      <c r="L3" s="9"/>
      <c r="M3" s="10"/>
      <c r="N3" s="10"/>
      <c r="O3" s="8"/>
      <c r="P3" s="8"/>
      <c r="Q3" s="8"/>
      <c r="R3" s="8"/>
      <c r="S3" s="8"/>
      <c r="T3" s="11"/>
      <c r="U3" s="5"/>
      <c r="V3" s="77"/>
      <c r="W3" s="77"/>
      <c r="X3" s="77"/>
    </row>
    <row r="4" spans="1:27">
      <c r="A4" s="13" t="s">
        <v>11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6"/>
      <c r="N4" s="16"/>
      <c r="O4" s="14"/>
      <c r="P4" s="14"/>
      <c r="Q4" s="14"/>
      <c r="R4" s="14"/>
      <c r="S4" s="14"/>
      <c r="T4" s="17"/>
      <c r="U4" s="5"/>
      <c r="V4" s="77"/>
      <c r="W4" s="77"/>
      <c r="X4" s="77"/>
    </row>
    <row r="5" spans="1:27" s="29" customFormat="1">
      <c r="A5" s="5" t="s">
        <v>15</v>
      </c>
      <c r="B5" s="18" t="str">
        <f>VLOOKUP(A5,'Identidad de Codigos'!A:C,2,FALSE)</f>
        <v>ARARGE03H348</v>
      </c>
      <c r="C5" s="81">
        <f>VLOOKUP(A5,'Identidad de Codigos'!A:C,3,FALSE)</f>
        <v>5454</v>
      </c>
      <c r="D5" s="18" t="s">
        <v>16</v>
      </c>
      <c r="E5" s="19">
        <v>43535</v>
      </c>
      <c r="F5" s="20" t="s">
        <v>13</v>
      </c>
      <c r="G5" s="20" t="s">
        <v>274</v>
      </c>
      <c r="H5" s="21">
        <f>SUM(J5:K5)</f>
        <v>176494313</v>
      </c>
      <c r="I5" s="21">
        <f t="shared" ref="I5:I8" si="0">H5-SUM(J5:L5)</f>
        <v>0</v>
      </c>
      <c r="J5" s="88">
        <v>175742532</v>
      </c>
      <c r="K5" s="88">
        <v>751781</v>
      </c>
      <c r="L5" s="88"/>
      <c r="M5" s="22"/>
      <c r="N5" s="22">
        <f>VLOOKUP(A5,'Precios para Valuar'!$C:$L,5,FALSE)/100</f>
        <v>1.0475000000000001</v>
      </c>
      <c r="O5" s="23">
        <f>H5*N5</f>
        <v>184877792.86750001</v>
      </c>
      <c r="P5" s="23">
        <f>O5/$N$98</f>
        <v>9000866.2545034084</v>
      </c>
      <c r="Q5" s="26">
        <f>VLOOKUP(A5,'Precios para Valuar'!C:Z,6,FALSE)</f>
        <v>1.0519248081088867E-2</v>
      </c>
      <c r="R5" s="26">
        <f>Q5+Badlar</f>
        <v>0.23864424808108886</v>
      </c>
      <c r="S5" s="27">
        <f>VLOOKUP(A5,'Precios para Valuar'!C:AC,9,FALSE)</f>
        <v>0.69931145118558979</v>
      </c>
      <c r="T5" s="12">
        <f ca="1">O5/$O$102</f>
        <v>4.3601713813599466E-2</v>
      </c>
      <c r="U5" s="128"/>
      <c r="V5" s="77" t="str">
        <f>VLOOKUP(A5,'Precios para Valuar'!$C:$T,8,FALSE)</f>
        <v>IAMC</v>
      </c>
      <c r="W5" s="77"/>
      <c r="X5" s="77" t="s">
        <v>331</v>
      </c>
      <c r="Y5" s="6"/>
      <c r="Z5" s="126">
        <f ca="1">R5*T5</f>
        <v>1.040529820809327E-2</v>
      </c>
      <c r="AA5" s="29">
        <f ca="1">S5*T5</f>
        <v>3.049117776116702E-2</v>
      </c>
    </row>
    <row r="6" spans="1:27">
      <c r="A6" s="5" t="s">
        <v>17</v>
      </c>
      <c r="B6" s="18" t="str">
        <f>VLOOKUP(A6,'Identidad de Codigos'!A:C,2,FALSE)</f>
        <v>ARARGE3201B9</v>
      </c>
      <c r="C6" s="81">
        <f>VLOOKUP(A6,'Identidad de Codigos'!A:C,3,FALSE)</f>
        <v>5476</v>
      </c>
      <c r="D6" s="20" t="s">
        <v>18</v>
      </c>
      <c r="E6" s="19">
        <v>43891</v>
      </c>
      <c r="F6" s="20" t="s">
        <v>13</v>
      </c>
      <c r="G6" s="20" t="s">
        <v>274</v>
      </c>
      <c r="H6" s="21">
        <f>SUM(J6:K6)</f>
        <v>126000000</v>
      </c>
      <c r="I6" s="21">
        <f t="shared" si="0"/>
        <v>0</v>
      </c>
      <c r="J6" s="101">
        <v>120000000</v>
      </c>
      <c r="K6" s="101">
        <v>6000000</v>
      </c>
      <c r="L6" s="88"/>
      <c r="M6" s="22"/>
      <c r="N6" s="22">
        <f>VLOOKUP(A6,'Precios para Valuar'!$C:$L,5,FALSE)/100</f>
        <v>1.0900000000000001</v>
      </c>
      <c r="O6" s="23">
        <f t="shared" ref="O6:O8" si="1">H6*N6</f>
        <v>137340000</v>
      </c>
      <c r="P6" s="23">
        <f>O6/$N$98</f>
        <v>6686465.433300877</v>
      </c>
      <c r="Q6" s="26">
        <f>VLOOKUP(A6,'Precios para Valuar'!C:Z,6,FALSE)</f>
        <v>1.7136762278870121E-3</v>
      </c>
      <c r="R6" s="26">
        <f>Q6+Badlar</f>
        <v>0.22983867622788701</v>
      </c>
      <c r="S6" s="27">
        <f>VLOOKUP(A6,'Precios para Valuar'!C:AC,9,FALSE)</f>
        <v>1.2851531233922362</v>
      </c>
      <c r="T6" s="12">
        <f ca="1">O6/$O$102</f>
        <v>3.2390365994100084E-2</v>
      </c>
      <c r="U6" s="128"/>
      <c r="V6" s="77" t="str">
        <f>VLOOKUP(A6,'Precios para Valuar'!$C:$T,8,FALSE)</f>
        <v>IAMC</v>
      </c>
      <c r="W6" s="77"/>
      <c r="X6" s="77" t="s">
        <v>331</v>
      </c>
      <c r="Z6" s="126">
        <f ca="1">R6*T6</f>
        <v>7.4445588426207306E-3</v>
      </c>
      <c r="AA6" s="29">
        <f ca="1">S6*T6</f>
        <v>4.1626580025135397E-2</v>
      </c>
    </row>
    <row r="7" spans="1:27">
      <c r="A7" s="5" t="s">
        <v>20</v>
      </c>
      <c r="B7" s="18" t="str">
        <f>VLOOKUP(A7,'Identidad de Codigos'!A:C,2,FALSE)</f>
        <v>ARARGE3203R1</v>
      </c>
      <c r="C7" s="81">
        <f>VLOOKUP(A7,'Identidad de Codigos'!A:C,3,FALSE)</f>
        <v>5480</v>
      </c>
      <c r="D7" s="20" t="s">
        <v>21</v>
      </c>
      <c r="E7" s="19">
        <v>44837</v>
      </c>
      <c r="F7" s="20" t="s">
        <v>13</v>
      </c>
      <c r="G7" s="20" t="s">
        <v>274</v>
      </c>
      <c r="H7" s="21">
        <f t="shared" ref="H7:H8" si="2">SUM(J7:K7)</f>
        <v>70000000</v>
      </c>
      <c r="I7" s="21">
        <f t="shared" si="0"/>
        <v>0</v>
      </c>
      <c r="J7" s="101">
        <v>70000000</v>
      </c>
      <c r="K7" s="101">
        <v>0</v>
      </c>
      <c r="L7" s="88"/>
      <c r="M7" s="22"/>
      <c r="N7" s="22">
        <f>VLOOKUP(A7,'Precios para Valuar'!$C:$L,5,FALSE)/100</f>
        <v>1.0149999999999999</v>
      </c>
      <c r="O7" s="23">
        <f t="shared" si="1"/>
        <v>71050000</v>
      </c>
      <c r="P7" s="23">
        <f>O7/$N$98</f>
        <v>3459104.1869522883</v>
      </c>
      <c r="Q7" s="26">
        <f>VLOOKUP(A7,'Precios para Valuar'!C:Z,6,FALSE)</f>
        <v>2.2282844468412583E-2</v>
      </c>
      <c r="R7" s="26">
        <f>Q7+Badlar</f>
        <v>0.25040784446841258</v>
      </c>
      <c r="S7" s="27">
        <f>VLOOKUP(A7,'Precios para Valuar'!C:AC,9,FALSE)</f>
        <v>2.2303153625754271</v>
      </c>
      <c r="T7" s="12">
        <f ca="1">O7/$O$102</f>
        <v>1.6756483936805087E-2</v>
      </c>
      <c r="U7" s="128"/>
      <c r="V7" s="77" t="str">
        <f>VLOOKUP(A7,'Precios para Valuar'!$C:$T,8,FALSE)</f>
        <v>IAMC</v>
      </c>
      <c r="W7" s="77"/>
      <c r="X7" s="77" t="s">
        <v>331</v>
      </c>
      <c r="Z7" s="126">
        <f ca="1">R7*T7</f>
        <v>4.1959550234849418E-3</v>
      </c>
      <c r="AA7" s="29">
        <f ca="1">S7*T7</f>
        <v>3.737224354700476E-2</v>
      </c>
    </row>
    <row r="8" spans="1:27">
      <c r="A8" s="5" t="s">
        <v>22</v>
      </c>
      <c r="B8" s="18" t="str">
        <f>VLOOKUP(A8,'Identidad de Codigos'!A:C,2,FALSE)</f>
        <v>ARARGE03G621</v>
      </c>
      <c r="C8" s="81">
        <f>VLOOKUP(A8,'Identidad de Codigos'!A:C,3,FALSE)</f>
        <v>2571</v>
      </c>
      <c r="D8" s="18" t="s">
        <v>23</v>
      </c>
      <c r="E8" s="19">
        <v>44838</v>
      </c>
      <c r="F8" s="20" t="s">
        <v>13</v>
      </c>
      <c r="G8" s="20" t="s">
        <v>274</v>
      </c>
      <c r="H8" s="21">
        <f t="shared" si="2"/>
        <v>50000000</v>
      </c>
      <c r="I8" s="21">
        <f t="shared" si="0"/>
        <v>0</v>
      </c>
      <c r="J8" s="101">
        <v>50000000</v>
      </c>
      <c r="K8" s="101">
        <v>0</v>
      </c>
      <c r="L8" s="88"/>
      <c r="M8" s="22"/>
      <c r="N8" s="22">
        <f>VLOOKUP(A8,'Precios para Valuar'!$C:$L,5,FALSE)/100</f>
        <v>1.6675</v>
      </c>
      <c r="O8" s="23">
        <f t="shared" si="1"/>
        <v>83375000</v>
      </c>
      <c r="P8" s="23">
        <f>O8/$N$98</f>
        <v>4059152.8724440117</v>
      </c>
      <c r="Q8" s="26">
        <f>VLOOKUP(A8,'Precios para Valuar'!C:Z,6,FALSE)</f>
        <v>6.0423631699359076E-2</v>
      </c>
      <c r="R8" s="26">
        <f>Q8+Badlar</f>
        <v>0.28854863169935907</v>
      </c>
      <c r="S8" s="27">
        <f>VLOOKUP(A8,'Precios para Valuar'!C:AC,9,FALSE)</f>
        <v>1.8604129265859288</v>
      </c>
      <c r="T8" s="12">
        <f ca="1">O8/$O$102</f>
        <v>1.9663220946250868E-2</v>
      </c>
      <c r="U8" s="128"/>
      <c r="V8" s="77" t="str">
        <f>VLOOKUP(A8,'Precios para Valuar'!$C:$T,8,FALSE)</f>
        <v>IAMC</v>
      </c>
      <c r="W8" s="77"/>
      <c r="X8" s="77"/>
      <c r="Z8" s="126">
        <f ca="1">R8*T8</f>
        <v>5.6737954988428643E-3</v>
      </c>
      <c r="AA8" s="29">
        <f ca="1">S8*T8</f>
        <v>3.6581710426720315E-2</v>
      </c>
    </row>
    <row r="9" spans="1:27">
      <c r="A9" s="31" t="s">
        <v>24</v>
      </c>
      <c r="B9" s="20"/>
      <c r="C9" s="20"/>
      <c r="D9" s="20"/>
      <c r="E9" s="19"/>
      <c r="F9" s="20"/>
      <c r="G9" s="20"/>
      <c r="H9" s="21"/>
      <c r="I9" s="21"/>
      <c r="J9" s="21"/>
      <c r="K9" s="21"/>
      <c r="L9" s="21"/>
      <c r="M9" s="22"/>
      <c r="N9" s="22"/>
      <c r="O9" s="23"/>
      <c r="P9" s="23"/>
      <c r="Q9" s="26"/>
      <c r="R9" s="26"/>
      <c r="S9" s="27"/>
      <c r="T9" s="12"/>
      <c r="U9" s="30"/>
      <c r="V9" s="77"/>
      <c r="W9" s="77"/>
      <c r="X9" s="77"/>
    </row>
    <row r="10" spans="1:27" s="29" customFormat="1">
      <c r="A10" s="5" t="s">
        <v>26</v>
      </c>
      <c r="B10" s="18" t="str">
        <f>VLOOKUP(A10,'Identidad de Codigos'!A:C,2,FALSE)</f>
        <v>ARARGE3204M0</v>
      </c>
      <c r="C10" s="81">
        <f>VLOOKUP(A10,'Identidad de Codigos'!A:C,3,FALSE)</f>
        <v>5327</v>
      </c>
      <c r="D10" s="18" t="s">
        <v>27</v>
      </c>
      <c r="E10" s="19">
        <v>44003</v>
      </c>
      <c r="F10" s="20" t="s">
        <v>28</v>
      </c>
      <c r="G10" s="20" t="s">
        <v>274</v>
      </c>
      <c r="H10" s="21">
        <f>SUM(J10:K10)</f>
        <v>170000000</v>
      </c>
      <c r="I10" s="21">
        <f>H10-SUM(J10:L10)</f>
        <v>0</v>
      </c>
      <c r="J10" s="101">
        <v>170000000</v>
      </c>
      <c r="K10" s="101">
        <v>0</v>
      </c>
      <c r="L10" s="88"/>
      <c r="M10" s="22"/>
      <c r="N10" s="22">
        <f>VLOOKUP(A10,'Precios para Valuar'!$C:$L,5,FALSE)/100</f>
        <v>1.0900000000000001</v>
      </c>
      <c r="O10" s="23">
        <f>H10*N10</f>
        <v>185300000</v>
      </c>
      <c r="P10" s="23">
        <f>O10/$N$98</f>
        <v>9021421.6163583249</v>
      </c>
      <c r="Q10" s="26">
        <f>VLOOKUP(A10,'Precios para Valuar'!C:Z,6,FALSE)</f>
        <v>0.26346028127169241</v>
      </c>
      <c r="R10" s="26">
        <f>+Q10</f>
        <v>0.26346028127169241</v>
      </c>
      <c r="S10" s="27">
        <f>VLOOKUP(A10,'Precios para Valuar'!C:AC,9,FALSE)</f>
        <v>1.3994787173391019</v>
      </c>
      <c r="T10" s="12">
        <f ca="1">O10/$O$102</f>
        <v>4.3701287452357254E-2</v>
      </c>
      <c r="U10" s="128"/>
      <c r="V10" s="77" t="str">
        <f>VLOOKUP(A10,'Precios para Valuar'!$C:$T,8,FALSE)</f>
        <v>IAMC</v>
      </c>
      <c r="W10" s="77"/>
      <c r="X10" s="77"/>
      <c r="Y10" s="6"/>
      <c r="Z10" s="126">
        <f ca="1">R10*T10</f>
        <v>1.1513553484133125E-2</v>
      </c>
      <c r="AA10" s="29">
        <f ca="1">S10*T10</f>
        <v>6.1159021709892319E-2</v>
      </c>
    </row>
    <row r="11" spans="1:27">
      <c r="A11" s="31" t="s">
        <v>30</v>
      </c>
      <c r="B11" s="18"/>
      <c r="C11" s="18"/>
      <c r="D11" s="18"/>
      <c r="E11" s="19"/>
      <c r="F11" s="20"/>
      <c r="G11" s="20"/>
      <c r="H11" s="21"/>
      <c r="I11" s="21"/>
      <c r="J11" s="21"/>
      <c r="K11" s="21"/>
      <c r="L11" s="21"/>
      <c r="M11" s="22"/>
      <c r="N11" s="22"/>
      <c r="O11" s="23"/>
      <c r="P11" s="23"/>
      <c r="Q11" s="24"/>
      <c r="R11" s="24"/>
      <c r="S11" s="25"/>
      <c r="T11" s="12"/>
      <c r="U11" s="23"/>
      <c r="V11" s="77"/>
      <c r="W11" s="77"/>
      <c r="X11" s="77"/>
    </row>
    <row r="12" spans="1:27" s="29" customFormat="1">
      <c r="A12" s="5" t="s">
        <v>312</v>
      </c>
      <c r="B12" s="18" t="str">
        <f>VLOOKUP(A12,'Identidad de Codigos'!A:C,2,FALSE)</f>
        <v>ARARGE3205N5</v>
      </c>
      <c r="C12" s="81">
        <f>VLOOKUP(A12,'Identidad de Codigos'!A:C,3,FALSE)</f>
        <v>11111</v>
      </c>
      <c r="D12" s="18" t="s">
        <v>315</v>
      </c>
      <c r="E12" s="19">
        <v>44399</v>
      </c>
      <c r="F12" s="20" t="s">
        <v>33</v>
      </c>
      <c r="G12" s="20" t="s">
        <v>274</v>
      </c>
      <c r="H12" s="21">
        <f>SUM(J12:K12)</f>
        <v>130000000</v>
      </c>
      <c r="I12" s="21">
        <f t="shared" ref="I12" si="3">H12-SUM(J12:L12)</f>
        <v>0</v>
      </c>
      <c r="J12" s="101">
        <v>120000000</v>
      </c>
      <c r="K12" s="101">
        <v>10000000</v>
      </c>
      <c r="L12" s="101"/>
      <c r="M12" s="22"/>
      <c r="N12" s="22">
        <f>VLOOKUP(A12,'Precios para Valuar'!$C:$L,5,FALSE)/100</f>
        <v>1.0376490162728995</v>
      </c>
      <c r="O12" s="23">
        <f>H12*N12</f>
        <v>134894372.11547694</v>
      </c>
      <c r="P12" s="23">
        <f>O12/$N$98</f>
        <v>6567398.8371702507</v>
      </c>
      <c r="Q12" s="26">
        <f>VLOOKUP(A12,'Precios para Valuar'!C:Z,6,FALSE)</f>
        <v>4.5341184735298246E-2</v>
      </c>
      <c r="R12" s="26">
        <f>+Q12+CER</f>
        <v>0.20634118473529825</v>
      </c>
      <c r="S12" s="27">
        <f>VLOOKUP(A12,'Precios para Valuar'!C:AC,9,FALSE)</f>
        <v>1.4861273226985234</v>
      </c>
      <c r="T12" s="12">
        <f ca="1">O12/$O$102</f>
        <v>3.1813587326085822E-2</v>
      </c>
      <c r="U12" s="128"/>
      <c r="V12" s="77" t="str">
        <f>VLOOKUP(A12,'Precios para Valuar'!$C:$T,8,FALSE)</f>
        <v>devengado</v>
      </c>
      <c r="W12" s="77"/>
      <c r="X12" s="77"/>
      <c r="Y12" s="6"/>
      <c r="Z12" s="126">
        <f ca="1">R12*T12</f>
        <v>6.5644532995444175E-3</v>
      </c>
      <c r="AA12" s="29">
        <f ca="1">S12*T12</f>
        <v>4.7279041358351599E-2</v>
      </c>
    </row>
    <row r="13" spans="1:27" s="29" customFormat="1">
      <c r="A13" s="5" t="s">
        <v>29</v>
      </c>
      <c r="B13" s="18" t="str">
        <f>VLOOKUP(A13,'Identidad de Codigos'!A:C,2,FALSE)</f>
        <v>ARARGE320283</v>
      </c>
      <c r="C13" s="81">
        <f>VLOOKUP(A13,'Identidad de Codigos'!A:C,3,FALSE)</f>
        <v>5315</v>
      </c>
      <c r="D13" s="18" t="s">
        <v>316</v>
      </c>
      <c r="E13" s="19">
        <v>44399</v>
      </c>
      <c r="F13" s="20" t="s">
        <v>33</v>
      </c>
      <c r="G13" s="20" t="s">
        <v>274</v>
      </c>
      <c r="H13" s="21">
        <f>SUM(J13:K13)</f>
        <v>266460000</v>
      </c>
      <c r="I13" s="21">
        <f t="shared" ref="I13" si="4">H13-SUM(J13:L13)</f>
        <v>0</v>
      </c>
      <c r="J13" s="101">
        <v>261600000</v>
      </c>
      <c r="K13" s="101">
        <v>4860000</v>
      </c>
      <c r="L13" s="88"/>
      <c r="M13" s="22"/>
      <c r="N13" s="22">
        <f>VLOOKUP(A13,'Precios para Valuar'!$C:$L,5,FALSE)/100</f>
        <v>1.3600999999999999</v>
      </c>
      <c r="O13" s="23">
        <f>H13*N13</f>
        <v>362412245.99999994</v>
      </c>
      <c r="P13" s="23">
        <f>O13/$N$98</f>
        <v>17644218.403115869</v>
      </c>
      <c r="Q13" s="26">
        <f>VLOOKUP(A13,'Precios para Valuar'!C:Z,6,FALSE)</f>
        <v>5.4529085615814932E-2</v>
      </c>
      <c r="R13" s="26">
        <f>+Q13+CER</f>
        <v>0.21552908561581494</v>
      </c>
      <c r="S13" s="27">
        <f>VLOOKUP(A13,'Precios para Valuar'!C:AC,9,FALSE)</f>
        <v>2.9751816950413335</v>
      </c>
      <c r="T13" s="12">
        <f ca="1">O13/$O$102</f>
        <v>8.547156901619217E-2</v>
      </c>
      <c r="U13" s="128"/>
      <c r="V13" s="77" t="str">
        <f>VLOOKUP(A13,'Precios para Valuar'!$C:$T,8,FALSE)</f>
        <v>IAMC</v>
      </c>
      <c r="W13" s="77"/>
      <c r="X13" s="77" t="s">
        <v>332</v>
      </c>
      <c r="Y13" s="6"/>
      <c r="Z13" s="126">
        <f ca="1">R13*T13</f>
        <v>1.8421609116208916E-2</v>
      </c>
      <c r="AA13" s="29">
        <f ca="1">S13*T13</f>
        <v>0.25429344758343692</v>
      </c>
    </row>
    <row r="14" spans="1:27" s="29" customFormat="1">
      <c r="A14" s="31" t="s">
        <v>34</v>
      </c>
      <c r="B14" s="18"/>
      <c r="C14" s="18"/>
      <c r="D14" s="18"/>
      <c r="E14" s="19"/>
      <c r="F14" s="20"/>
      <c r="G14" s="20"/>
      <c r="H14" s="21"/>
      <c r="I14" s="21"/>
      <c r="J14" s="21"/>
      <c r="K14" s="21"/>
      <c r="L14" s="21"/>
      <c r="M14" s="22"/>
      <c r="N14" s="22"/>
      <c r="O14" s="23"/>
      <c r="P14" s="23"/>
      <c r="Q14" s="12"/>
      <c r="R14" s="12"/>
      <c r="S14" s="27"/>
      <c r="T14" s="12"/>
      <c r="U14" s="28"/>
      <c r="V14" s="77"/>
      <c r="W14" s="77"/>
      <c r="X14" s="77"/>
      <c r="Y14" s="6"/>
    </row>
    <row r="15" spans="1:27" s="29" customFormat="1">
      <c r="A15" s="5" t="s">
        <v>37</v>
      </c>
      <c r="B15" s="18" t="str">
        <f>VLOOKUP(A15,'Identidad de Codigos'!A:C,2,FALSE)</f>
        <v>US040114HK99</v>
      </c>
      <c r="C15" s="81">
        <f>VLOOKUP(A15,'Identidad de Codigos'!A:C,3,FALSE)</f>
        <v>92583</v>
      </c>
      <c r="D15" s="18" t="s">
        <v>268</v>
      </c>
      <c r="E15" s="19">
        <v>43174</v>
      </c>
      <c r="F15" s="20" t="s">
        <v>36</v>
      </c>
      <c r="G15" s="20" t="s">
        <v>274</v>
      </c>
      <c r="H15" s="21">
        <f>SUM(J15:K15)</f>
        <v>3000000</v>
      </c>
      <c r="I15" s="21">
        <f t="shared" ref="I15" si="5">H15-SUM(J15:L15)</f>
        <v>0</v>
      </c>
      <c r="J15" s="101">
        <v>3000000</v>
      </c>
      <c r="K15" s="101"/>
      <c r="L15" s="88"/>
      <c r="M15" s="22"/>
      <c r="N15" s="22">
        <f>VLOOKUP(A15,'Precios para Valuar'!$C:$L,5,FALSE)/100</f>
        <v>21.28</v>
      </c>
      <c r="O15" s="23">
        <f>H15*N15</f>
        <v>63840000</v>
      </c>
      <c r="P15" s="23">
        <f>O15/$N$98</f>
        <v>3108081.7916260958</v>
      </c>
      <c r="Q15" s="26">
        <f>VLOOKUP(A15,'Precios para Valuar'!C:Z,6,FALSE)</f>
        <v>5.0380468534146683E-2</v>
      </c>
      <c r="R15" s="26">
        <f>+Q15+Dev</f>
        <v>0.18958046853414667</v>
      </c>
      <c r="S15" s="27">
        <f>VLOOKUP(A15,'Precios para Valuar'!C:AC,9,FALSE)</f>
        <v>3.2466990387583539</v>
      </c>
      <c r="T15" s="12">
        <f ca="1">O15/$O$102</f>
        <v>1.5056072266370681E-2</v>
      </c>
      <c r="U15" s="128"/>
      <c r="V15" s="77" t="str">
        <f>VLOOKUP(A15,'Precios para Valuar'!$C:$T,8,FALSE)</f>
        <v>IAMC</v>
      </c>
      <c r="W15" s="77"/>
      <c r="X15" s="77" t="s">
        <v>331</v>
      </c>
      <c r="Y15" s="6"/>
      <c r="Z15" s="126">
        <f ca="1">R15*T15</f>
        <v>2.8543372345425254E-3</v>
      </c>
      <c r="AA15" s="29">
        <f ca="1">S15*T15</f>
        <v>4.8882535354702002E-2</v>
      </c>
    </row>
    <row r="16" spans="1:27" s="29" customFormat="1">
      <c r="A16" s="32" t="s">
        <v>96</v>
      </c>
      <c r="B16" s="32"/>
      <c r="C16" s="32"/>
      <c r="D16" s="32"/>
      <c r="E16" s="33"/>
      <c r="F16" s="32"/>
      <c r="G16" s="32"/>
      <c r="H16" s="34"/>
      <c r="I16" s="34"/>
      <c r="J16" s="34"/>
      <c r="K16" s="34"/>
      <c r="L16" s="34"/>
      <c r="M16" s="35"/>
      <c r="N16" s="35"/>
      <c r="O16" s="36"/>
      <c r="P16" s="36"/>
      <c r="Q16" s="37"/>
      <c r="R16" s="37"/>
      <c r="S16" s="38"/>
      <c r="T16" s="39"/>
      <c r="U16" s="28"/>
      <c r="V16" s="77"/>
      <c r="W16" s="77"/>
      <c r="X16" s="77"/>
      <c r="Y16" s="6"/>
    </row>
    <row r="17" spans="1:30">
      <c r="A17" s="13" t="s">
        <v>98</v>
      </c>
      <c r="B17" s="28"/>
      <c r="C17" s="28"/>
      <c r="D17" s="28"/>
      <c r="E17" s="40"/>
      <c r="F17" s="28"/>
      <c r="G17" s="87"/>
      <c r="H17" s="21"/>
      <c r="I17" s="21"/>
      <c r="J17" s="21"/>
      <c r="K17" s="21"/>
      <c r="L17" s="21"/>
      <c r="M17" s="22"/>
      <c r="N17" s="22"/>
      <c r="O17" s="41"/>
      <c r="P17" s="41"/>
      <c r="Q17" s="42"/>
      <c r="R17" s="42"/>
      <c r="S17" s="43"/>
      <c r="T17" s="44"/>
      <c r="U17" s="28"/>
      <c r="V17" s="77"/>
      <c r="W17" s="77"/>
      <c r="X17" s="77"/>
      <c r="AD17" s="29" t="s">
        <v>281</v>
      </c>
    </row>
    <row r="18" spans="1:30" s="29" customFormat="1">
      <c r="A18" s="45" t="s">
        <v>277</v>
      </c>
      <c r="B18" s="18"/>
      <c r="C18" s="81">
        <f>VLOOKUP(A18,'Identidad de Codigos'!A:C,3,FALSE)</f>
        <v>46825</v>
      </c>
      <c r="D18" s="18" t="s">
        <v>99</v>
      </c>
      <c r="E18" s="76">
        <v>43236</v>
      </c>
      <c r="F18" s="20" t="s">
        <v>80</v>
      </c>
      <c r="G18" s="20" t="s">
        <v>278</v>
      </c>
      <c r="H18" s="21">
        <f t="shared" ref="H18:H20" si="6">SUM(J18:K18)</f>
        <v>608400000</v>
      </c>
      <c r="I18" s="21"/>
      <c r="J18" s="101">
        <v>579600000</v>
      </c>
      <c r="K18" s="101">
        <v>28800000</v>
      </c>
      <c r="L18" s="88"/>
      <c r="M18" s="22"/>
      <c r="N18" s="123">
        <f>VLOOKUP(A18,'Precios para Valuar'!$C:$L,5,FALSE)/100</f>
        <v>0.98406899999999997</v>
      </c>
      <c r="O18" s="23">
        <f t="shared" ref="O18:O20" si="7">H18*N18</f>
        <v>598707579.60000002</v>
      </c>
      <c r="P18" s="23">
        <f>O18/$N$98</f>
        <v>29148372.911392406</v>
      </c>
      <c r="Q18" s="26">
        <f>VLOOKUP(A18,'Precios para Valuar'!C:Z,6,FALSE)</f>
        <v>0.31099739422423095</v>
      </c>
      <c r="R18" s="26">
        <f t="shared" ref="R18:R20" si="8">+Q18</f>
        <v>0.31099739422423095</v>
      </c>
      <c r="S18" s="27">
        <f>VLOOKUP(A18,'Precios para Valuar'!C:AC,9,FALSE)</f>
        <v>3.970625323122845E-2</v>
      </c>
      <c r="T18" s="12">
        <f ca="1">O18/$O$102</f>
        <v>0.14119963322182766</v>
      </c>
      <c r="U18" s="128"/>
      <c r="V18" s="77" t="str">
        <f>VLOOKUP(A18,'Precios para Valuar'!$C:$T,8,FALSE)</f>
        <v>MAE</v>
      </c>
      <c r="W18" s="77"/>
      <c r="X18" s="77"/>
      <c r="Y18" s="6"/>
      <c r="Z18" s="126">
        <f ca="1">R18*T18</f>
        <v>4.3912717997405551E-2</v>
      </c>
      <c r="AA18" s="29">
        <f ca="1">S18*T18</f>
        <v>5.6065083928624661E-3</v>
      </c>
      <c r="AD18" s="29" t="s">
        <v>279</v>
      </c>
    </row>
    <row r="19" spans="1:30" s="29" customFormat="1">
      <c r="A19" s="45" t="s">
        <v>279</v>
      </c>
      <c r="B19" s="18"/>
      <c r="C19" s="81">
        <f>VLOOKUP(A19,'Identidad de Codigos'!A:C,3,FALSE)</f>
        <v>46827</v>
      </c>
      <c r="D19" s="18" t="s">
        <v>99</v>
      </c>
      <c r="E19" s="76">
        <v>43272</v>
      </c>
      <c r="F19" s="20" t="s">
        <v>80</v>
      </c>
      <c r="G19" s="20" t="s">
        <v>278</v>
      </c>
      <c r="H19" s="21">
        <f t="shared" si="6"/>
        <v>237000000</v>
      </c>
      <c r="I19" s="21"/>
      <c r="J19" s="101">
        <v>220000000</v>
      </c>
      <c r="K19" s="101">
        <v>17000000</v>
      </c>
      <c r="L19" s="88"/>
      <c r="M19" s="22"/>
      <c r="N19" s="123">
        <f>VLOOKUP(A19,'Precios para Valuar'!$C:$L,5,FALSE)/100</f>
        <v>0.95674999999999999</v>
      </c>
      <c r="O19" s="23">
        <f t="shared" si="7"/>
        <v>226749750</v>
      </c>
      <c r="P19" s="23">
        <f>O19/$N$98</f>
        <v>11039423.076923078</v>
      </c>
      <c r="Q19" s="26">
        <f>VLOOKUP(A19,'Precios para Valuar'!C:Z,6,FALSE)</f>
        <v>0.29999762453381545</v>
      </c>
      <c r="R19" s="26">
        <f t="shared" si="8"/>
        <v>0.29999762453381545</v>
      </c>
      <c r="S19" s="27">
        <f>VLOOKUP(A19,'Precios para Valuar'!C:AC,9,FALSE)</f>
        <v>0.11591169757782101</v>
      </c>
      <c r="T19" s="12">
        <f ca="1">O19/$O$102</f>
        <v>5.3476826791689934E-2</v>
      </c>
      <c r="U19" s="128"/>
      <c r="V19" s="77" t="str">
        <f>VLOOKUP(A19,'Precios para Valuar'!$C:$T,8,FALSE)</f>
        <v>MAE</v>
      </c>
      <c r="W19" s="77"/>
      <c r="X19" s="77"/>
      <c r="Y19" s="6"/>
      <c r="Z19" s="126">
        <f ca="1">R19*T19</f>
        <v>1.604292100511328E-2</v>
      </c>
      <c r="AA19" s="29">
        <f ca="1">S19*T19</f>
        <v>6.19858977449988E-3</v>
      </c>
      <c r="AD19" s="29" t="s">
        <v>280</v>
      </c>
    </row>
    <row r="20" spans="1:30" s="29" customFormat="1">
      <c r="A20" s="45" t="s">
        <v>280</v>
      </c>
      <c r="B20" s="18"/>
      <c r="C20" s="81">
        <f>VLOOKUP(A20,'Identidad de Codigos'!A:C,3,FALSE)</f>
        <v>46828</v>
      </c>
      <c r="D20" s="18" t="s">
        <v>99</v>
      </c>
      <c r="E20" s="76">
        <v>43299</v>
      </c>
      <c r="F20" s="20" t="s">
        <v>80</v>
      </c>
      <c r="G20" s="20" t="s">
        <v>278</v>
      </c>
      <c r="H20" s="21">
        <f t="shared" si="6"/>
        <v>210000000</v>
      </c>
      <c r="I20" s="21"/>
      <c r="J20" s="101">
        <v>210000000</v>
      </c>
      <c r="K20" s="101">
        <v>0</v>
      </c>
      <c r="L20" s="88"/>
      <c r="M20" s="22"/>
      <c r="N20" s="123">
        <f>VLOOKUP(A20,'Precios para Valuar'!$C:$L,5,FALSE)/100</f>
        <v>0.93843799999999999</v>
      </c>
      <c r="O20" s="23">
        <f t="shared" si="7"/>
        <v>197071980</v>
      </c>
      <c r="P20" s="23">
        <f>O20/$N$98</f>
        <v>9594546.251217138</v>
      </c>
      <c r="Q20" s="26">
        <f>VLOOKUP(A20,'Precios para Valuar'!C:Z,6,FALSE)</f>
        <v>0.29200221603319093</v>
      </c>
      <c r="R20" s="26">
        <f t="shared" si="8"/>
        <v>0.29200221603319093</v>
      </c>
      <c r="S20" s="27">
        <f>VLOOKUP(A20,'Precios para Valuar'!C:AC,9,FALSE)</f>
        <v>0.17388324219468984</v>
      </c>
      <c r="T20" s="12">
        <f ca="1">O20/$O$102</f>
        <v>4.6477599820751211E-2</v>
      </c>
      <c r="U20" s="128"/>
      <c r="V20" s="77" t="str">
        <f>VLOOKUP(A20,'Precios para Valuar'!$C:$T,8,FALSE)</f>
        <v>MAE</v>
      </c>
      <c r="W20" s="77"/>
      <c r="X20" s="77"/>
      <c r="Y20" s="6"/>
      <c r="Z20" s="126">
        <f ca="1">R20*T20</f>
        <v>1.3571562143563191E-2</v>
      </c>
      <c r="AA20" s="29">
        <f ca="1">S20*T20</f>
        <v>8.0816757462595559E-3</v>
      </c>
    </row>
    <row r="21" spans="1:30" s="29" customFormat="1">
      <c r="A21" s="32" t="s">
        <v>39</v>
      </c>
      <c r="B21" s="32"/>
      <c r="C21" s="32"/>
      <c r="D21" s="32"/>
      <c r="E21" s="33"/>
      <c r="F21" s="32"/>
      <c r="G21" s="32"/>
      <c r="H21" s="34"/>
      <c r="I21" s="34"/>
      <c r="J21" s="34"/>
      <c r="K21" s="34"/>
      <c r="L21" s="34"/>
      <c r="M21" s="35"/>
      <c r="N21" s="35"/>
      <c r="O21" s="36"/>
      <c r="P21" s="36"/>
      <c r="Q21" s="37"/>
      <c r="R21" s="37"/>
      <c r="S21" s="38"/>
      <c r="T21" s="39"/>
      <c r="U21" s="28"/>
      <c r="V21" s="77"/>
      <c r="W21" s="77"/>
      <c r="X21" s="77"/>
    </row>
    <row r="22" spans="1:30">
      <c r="A22" s="13" t="s">
        <v>11</v>
      </c>
      <c r="B22" s="28"/>
      <c r="C22" s="28"/>
      <c r="D22" s="28"/>
      <c r="E22" s="40"/>
      <c r="F22" s="28"/>
      <c r="G22" s="87"/>
      <c r="H22" s="21"/>
      <c r="I22" s="21"/>
      <c r="J22" s="21"/>
      <c r="K22" s="21"/>
      <c r="L22" s="21"/>
      <c r="M22" s="22"/>
      <c r="N22" s="22"/>
      <c r="O22" s="41"/>
      <c r="P22" s="41"/>
      <c r="Q22" s="42"/>
      <c r="R22" s="42"/>
      <c r="S22" s="43"/>
      <c r="T22" s="44"/>
      <c r="U22" s="28"/>
      <c r="V22" s="77"/>
      <c r="W22" s="77"/>
      <c r="X22" s="77"/>
      <c r="Y22" s="29"/>
    </row>
    <row r="23" spans="1:30" s="29" customFormat="1">
      <c r="A23" s="45" t="s">
        <v>41</v>
      </c>
      <c r="B23" s="18" t="str">
        <f>VLOOKUP(A23,'Identidad de Codigos'!A:C,2,FALSE)</f>
        <v>ARBHIP5600O4</v>
      </c>
      <c r="C23" s="81">
        <f>VLOOKUP(A23,'Identidad de Codigos'!A:C,3,FALSE)</f>
        <v>52259</v>
      </c>
      <c r="D23" s="18" t="s">
        <v>42</v>
      </c>
      <c r="E23" s="40">
        <v>43881</v>
      </c>
      <c r="F23" s="20" t="s">
        <v>13</v>
      </c>
      <c r="G23" s="20" t="s">
        <v>282</v>
      </c>
      <c r="H23" s="21">
        <f t="shared" ref="H23:H78" si="9">SUM(J23:K23)</f>
        <v>60000000</v>
      </c>
      <c r="I23" s="21">
        <f t="shared" ref="I23:I48" si="10">H23-SUM(J23:L23)</f>
        <v>0</v>
      </c>
      <c r="J23" s="101">
        <v>51500000</v>
      </c>
      <c r="K23" s="101">
        <v>8500000</v>
      </c>
      <c r="L23" s="88"/>
      <c r="M23" s="22"/>
      <c r="N23" s="22">
        <f>VLOOKUP(A23,'Precios para Valuar'!$C:$L,5,FALSE)/100</f>
        <v>1.0341178379070406</v>
      </c>
      <c r="O23" s="23">
        <f t="shared" ref="O23:O48" si="11">H23*N23</f>
        <v>62047070.274422437</v>
      </c>
      <c r="P23" s="23">
        <f t="shared" ref="P23:P48" si="12">O23/$N$98</f>
        <v>3020792.1263107322</v>
      </c>
      <c r="Q23" s="26">
        <f>VLOOKUP(A23,'Precios para Valuar'!C:Z,6,FALSE)</f>
        <v>4.3196699126642452E-2</v>
      </c>
      <c r="R23" s="26">
        <f t="shared" ref="R23:R48" si="13">+Q23+Badlar</f>
        <v>0.27132169912664245</v>
      </c>
      <c r="S23" s="27">
        <f>VLOOKUP(A23,'Precios para Valuar'!C:AC,9,FALSE)</f>
        <v>1.2575181899275705</v>
      </c>
      <c r="T23" s="12">
        <f t="shared" ref="T23:T48" ca="1" si="14">O23/$O$102</f>
        <v>1.4633226409277637E-2</v>
      </c>
      <c r="U23" s="128"/>
      <c r="V23" s="77" t="str">
        <f>VLOOKUP(A23,'Precios para Valuar'!$C:$T,8,FALSE)</f>
        <v>devengado</v>
      </c>
      <c r="W23" s="77"/>
      <c r="X23" s="77" t="s">
        <v>320</v>
      </c>
      <c r="Y23" s="6"/>
      <c r="Z23" s="126">
        <f t="shared" ref="Z23:Z48" ca="1" si="15">R23*T23</f>
        <v>3.9703118530700658E-3</v>
      </c>
      <c r="AA23" s="29">
        <f t="shared" ref="AA23:AA48" ca="1" si="16">S23*T23</f>
        <v>1.8401548386995134E-2</v>
      </c>
    </row>
    <row r="24" spans="1:30" s="29" customFormat="1">
      <c r="A24" s="45" t="s">
        <v>283</v>
      </c>
      <c r="B24" s="18" t="str">
        <f>VLOOKUP(A24,'Identidad de Codigos'!A:C,2,FALSE)</f>
        <v>ARBHIP5600W7</v>
      </c>
      <c r="C24" s="81">
        <f>VLOOKUP(A24,'Identidad de Codigos'!A:C,3,FALSE)</f>
        <v>11111</v>
      </c>
      <c r="D24" s="18" t="s">
        <v>304</v>
      </c>
      <c r="E24" s="40">
        <v>43875</v>
      </c>
      <c r="F24" s="20" t="s">
        <v>13</v>
      </c>
      <c r="G24" s="20" t="s">
        <v>282</v>
      </c>
      <c r="H24" s="21">
        <f t="shared" si="9"/>
        <v>19000000</v>
      </c>
      <c r="I24" s="21">
        <f>H24-SUM(J24:L24)</f>
        <v>0</v>
      </c>
      <c r="J24" s="101">
        <v>15000000</v>
      </c>
      <c r="K24" s="101">
        <v>4000000</v>
      </c>
      <c r="L24" s="101"/>
      <c r="M24" s="22"/>
      <c r="N24" s="22">
        <f>VLOOKUP(A24,'Precios para Valuar'!$C:$L,5,FALSE)/100</f>
        <v>1.0572009460204017</v>
      </c>
      <c r="O24" s="23">
        <f t="shared" si="11"/>
        <v>20086817.974387631</v>
      </c>
      <c r="P24" s="23">
        <f t="shared" si="12"/>
        <v>977936.61024282535</v>
      </c>
      <c r="Q24" s="26">
        <f>VLOOKUP(A24,'Precios para Valuar'!C:Z,6,FALSE)</f>
        <v>3.363004103524056E-2</v>
      </c>
      <c r="R24" s="26">
        <f>+Q24+Badlar</f>
        <v>0.26175504103524055</v>
      </c>
      <c r="S24" s="27">
        <f>VLOOKUP(A24,'Precios para Valuar'!C:AC,9,FALSE)</f>
        <v>1.2354326391966666</v>
      </c>
      <c r="T24" s="12">
        <f t="shared" ca="1" si="14"/>
        <v>4.7372898343329218E-3</v>
      </c>
      <c r="U24" s="128"/>
      <c r="V24" s="77" t="str">
        <f>VLOOKUP(A24,'Precios para Valuar'!$C:$T,8,FALSE)</f>
        <v>devengado</v>
      </c>
      <c r="W24" s="77"/>
      <c r="X24" s="77" t="s">
        <v>320</v>
      </c>
      <c r="Y24" s="6"/>
      <c r="Z24" s="126">
        <f t="shared" ca="1" si="15"/>
        <v>1.2400094949816419E-3</v>
      </c>
      <c r="AA24" s="29">
        <f t="shared" ca="1" si="16"/>
        <v>5.852602482669461E-3</v>
      </c>
    </row>
    <row r="25" spans="1:30" s="29" customFormat="1">
      <c r="A25" s="45" t="s">
        <v>44</v>
      </c>
      <c r="B25" s="18" t="str">
        <f>VLOOKUP(A25,'Identidad de Codigos'!A:C,2,FALSE)</f>
        <v>ARBRIO5600D9</v>
      </c>
      <c r="C25" s="81">
        <f>VLOOKUP(A25,'Identidad de Codigos'!A:C,3,FALSE)</f>
        <v>52261</v>
      </c>
      <c r="D25" s="18" t="s">
        <v>45</v>
      </c>
      <c r="E25" s="76">
        <v>43885</v>
      </c>
      <c r="F25" s="20" t="s">
        <v>13</v>
      </c>
      <c r="G25" s="20" t="s">
        <v>282</v>
      </c>
      <c r="H25" s="21">
        <f t="shared" si="9"/>
        <v>60000000</v>
      </c>
      <c r="I25" s="21">
        <f t="shared" si="10"/>
        <v>0</v>
      </c>
      <c r="J25" s="101">
        <v>50000000</v>
      </c>
      <c r="K25" s="101">
        <v>10000000</v>
      </c>
      <c r="L25" s="88"/>
      <c r="M25" s="22"/>
      <c r="N25" s="22">
        <f>VLOOKUP(A25,'Precios para Valuar'!$C:$L,5,FALSE)/100</f>
        <v>1.0416360258684703</v>
      </c>
      <c r="O25" s="23">
        <f t="shared" si="11"/>
        <v>62498161.552108213</v>
      </c>
      <c r="P25" s="23">
        <f t="shared" si="12"/>
        <v>3042753.7269770307</v>
      </c>
      <c r="Q25" s="26">
        <f>VLOOKUP(A25,'Precios para Valuar'!C:Z,6,FALSE)</f>
        <v>3.1321086369340501E-2</v>
      </c>
      <c r="R25" s="26">
        <f t="shared" si="13"/>
        <v>0.25944608636934052</v>
      </c>
      <c r="S25" s="27">
        <f>VLOOKUP(A25,'Precios para Valuar'!C:AC,9,FALSE)</f>
        <v>1.2660459163669293</v>
      </c>
      <c r="T25" s="12">
        <f t="shared" ca="1" si="14"/>
        <v>1.4739612105950045E-2</v>
      </c>
      <c r="U25" s="128"/>
      <c r="V25" s="77" t="str">
        <f>VLOOKUP(A25,'Precios para Valuar'!$C:$T,8,FALSE)</f>
        <v>devengado</v>
      </c>
      <c r="W25" s="77"/>
      <c r="X25" s="77" t="s">
        <v>321</v>
      </c>
      <c r="Y25" s="6"/>
      <c r="Z25" s="126">
        <f t="shared" ca="1" si="15"/>
        <v>3.8241346754908923E-3</v>
      </c>
      <c r="AA25" s="29">
        <f t="shared" ca="1" si="16"/>
        <v>1.8661025715570611E-2</v>
      </c>
    </row>
    <row r="26" spans="1:30" s="29" customFormat="1">
      <c r="A26" s="45" t="s">
        <v>40</v>
      </c>
      <c r="B26" s="18" t="str">
        <f>VLOOKUP(A26,'Identidad de Codigos'!A:C,2,FALSE)</f>
        <v>ARBRIO5600F4</v>
      </c>
      <c r="C26" s="81">
        <f>VLOOKUP(A26,'Identidad de Codigos'!A:C,3,FALSE)</f>
        <v>52320</v>
      </c>
      <c r="D26" s="18" t="s">
        <v>47</v>
      </c>
      <c r="E26" s="76">
        <v>43922</v>
      </c>
      <c r="F26" s="20" t="s">
        <v>13</v>
      </c>
      <c r="G26" s="20" t="s">
        <v>282</v>
      </c>
      <c r="H26" s="21">
        <f t="shared" si="9"/>
        <v>80000000</v>
      </c>
      <c r="I26" s="21">
        <f t="shared" si="10"/>
        <v>0</v>
      </c>
      <c r="J26" s="101">
        <v>80000000</v>
      </c>
      <c r="K26" s="101">
        <v>0</v>
      </c>
      <c r="L26" s="88"/>
      <c r="M26" s="22"/>
      <c r="N26" s="22">
        <f>VLOOKUP(A26,'Precios para Valuar'!$C:$L,5,FALSE)/100</f>
        <v>1.0240134575290223</v>
      </c>
      <c r="O26" s="23">
        <f t="shared" si="11"/>
        <v>81921076.602321789</v>
      </c>
      <c r="P26" s="23">
        <f t="shared" si="12"/>
        <v>3988367.8968997952</v>
      </c>
      <c r="Q26" s="26">
        <f>VLOOKUP(A26,'Precios para Valuar'!C:Z,6,FALSE)</f>
        <v>2.47E-2</v>
      </c>
      <c r="R26" s="26">
        <f t="shared" si="13"/>
        <v>0.25282499999999997</v>
      </c>
      <c r="S26" s="27">
        <f>VLOOKUP(A26,'Precios para Valuar'!C:AC,9,FALSE)</f>
        <v>1.3715171530037016</v>
      </c>
      <c r="T26" s="12">
        <f t="shared" ca="1" si="14"/>
        <v>1.932032658933968E-2</v>
      </c>
      <c r="U26" s="128"/>
      <c r="V26" s="77" t="str">
        <f>VLOOKUP(A26,'Precios para Valuar'!$C:$T,8,FALSE)</f>
        <v>VT</v>
      </c>
      <c r="W26" s="77"/>
      <c r="X26" s="77" t="s">
        <v>321</v>
      </c>
      <c r="Y26" s="6"/>
      <c r="Z26" s="126">
        <f t="shared" ca="1" si="15"/>
        <v>4.8846615699498037E-3</v>
      </c>
      <c r="AA26" s="29">
        <f t="shared" ca="1" si="16"/>
        <v>2.6498159318912876E-2</v>
      </c>
    </row>
    <row r="27" spans="1:30" s="29" customFormat="1">
      <c r="A27" s="45" t="s">
        <v>48</v>
      </c>
      <c r="B27" s="18" t="str">
        <f>VLOOKUP(A27,'Identidad de Codigos'!A:C,2,FALSE)</f>
        <v>ARITAU560074</v>
      </c>
      <c r="C27" s="81">
        <f>VLOOKUP(A27,'Identidad de Codigos'!A:C,3,FALSE)</f>
        <v>51630</v>
      </c>
      <c r="D27" s="18" t="s">
        <v>49</v>
      </c>
      <c r="E27" s="40">
        <v>43659</v>
      </c>
      <c r="F27" s="20" t="s">
        <v>13</v>
      </c>
      <c r="G27" s="20" t="s">
        <v>282</v>
      </c>
      <c r="H27" s="21">
        <f t="shared" si="9"/>
        <v>20888888</v>
      </c>
      <c r="I27" s="21">
        <f t="shared" si="10"/>
        <v>0</v>
      </c>
      <c r="J27" s="101">
        <v>15888888</v>
      </c>
      <c r="K27" s="101">
        <v>5000000</v>
      </c>
      <c r="L27" s="88"/>
      <c r="M27" s="22"/>
      <c r="N27" s="22">
        <f>VLOOKUP(A27,'Precios para Valuar'!$C:$L,5,FALSE)/100</f>
        <v>0.94982393901672746</v>
      </c>
      <c r="O27" s="23">
        <f t="shared" si="11"/>
        <v>19840765.881839249</v>
      </c>
      <c r="P27" s="23">
        <f t="shared" si="12"/>
        <v>965957.44312751945</v>
      </c>
      <c r="Q27" s="26">
        <f>VLOOKUP(A27,'Precios para Valuar'!C:Z,6,FALSE)</f>
        <v>0.13919422153483338</v>
      </c>
      <c r="R27" s="26">
        <f t="shared" si="13"/>
        <v>0.36731922153483337</v>
      </c>
      <c r="S27" s="27">
        <f>VLOOKUP(A27,'Precios para Valuar'!C:AC,9,FALSE)</f>
        <v>0.6146136129505777</v>
      </c>
      <c r="T27" s="12">
        <f t="shared" ca="1" si="14"/>
        <v>4.6792607289648114E-3</v>
      </c>
      <c r="U27" s="128"/>
      <c r="V27" s="77" t="str">
        <f>VLOOKUP(A27,'Precios para Valuar'!$C:$T,8,FALSE)</f>
        <v>devengado</v>
      </c>
      <c r="W27" s="77"/>
      <c r="X27" s="77" t="s">
        <v>322</v>
      </c>
      <c r="Y27" s="6"/>
      <c r="Z27" s="126">
        <f t="shared" ca="1" si="15"/>
        <v>1.7187824083218714E-3</v>
      </c>
      <c r="AA27" s="29">
        <f t="shared" ca="1" si="16"/>
        <v>2.8759373425668168E-3</v>
      </c>
    </row>
    <row r="28" spans="1:30" s="29" customFormat="1">
      <c r="A28" s="45" t="s">
        <v>50</v>
      </c>
      <c r="B28" s="18" t="str">
        <f>VLOOKUP(A28,'Identidad de Codigos'!A:C,2,FALSE)</f>
        <v>ARFRAN560094</v>
      </c>
      <c r="C28" s="81">
        <f>VLOOKUP(A28,'Identidad de Codigos'!A:C,3,FALSE)</f>
        <v>51730</v>
      </c>
      <c r="D28" s="18" t="s">
        <v>51</v>
      </c>
      <c r="E28" s="40">
        <v>43685</v>
      </c>
      <c r="F28" s="20" t="s">
        <v>13</v>
      </c>
      <c r="G28" s="20" t="s">
        <v>282</v>
      </c>
      <c r="H28" s="21">
        <f t="shared" si="9"/>
        <v>11546000</v>
      </c>
      <c r="I28" s="21">
        <f t="shared" si="10"/>
        <v>0</v>
      </c>
      <c r="J28" s="101">
        <v>11546000</v>
      </c>
      <c r="K28" s="101">
        <v>0</v>
      </c>
      <c r="L28" s="88"/>
      <c r="M28" s="22"/>
      <c r="N28" s="22">
        <f>VLOOKUP(A28,'Precios para Valuar'!$C:$L,5,FALSE)/100</f>
        <v>1.0556575469675278</v>
      </c>
      <c r="O28" s="23">
        <f t="shared" si="11"/>
        <v>12188622.037287075</v>
      </c>
      <c r="P28" s="23">
        <f t="shared" si="12"/>
        <v>593409.05731680023</v>
      </c>
      <c r="Q28" s="26">
        <f>VLOOKUP(A28,'Precios para Valuar'!C:Z,6,FALSE)</f>
        <v>3.5411745360775487E-2</v>
      </c>
      <c r="R28" s="26">
        <f t="shared" si="13"/>
        <v>0.26353674536077548</v>
      </c>
      <c r="S28" s="27">
        <f>VLOOKUP(A28,'Precios para Valuar'!C:AC,9,FALSE)</f>
        <v>0.95552635467449754</v>
      </c>
      <c r="T28" s="12">
        <f t="shared" ca="1" si="14"/>
        <v>2.8745735310287037E-3</v>
      </c>
      <c r="U28" s="128"/>
      <c r="V28" s="77" t="str">
        <f>VLOOKUP(A28,'Precios para Valuar'!$C:$T,8,FALSE)</f>
        <v>devengado</v>
      </c>
      <c r="W28" s="77"/>
      <c r="X28" s="77" t="s">
        <v>323</v>
      </c>
      <c r="Y28" s="6"/>
      <c r="Z28" s="126">
        <f t="shared" ca="1" si="15"/>
        <v>7.5755575266753673E-4</v>
      </c>
      <c r="AA28" s="29">
        <f t="shared" ca="1" si="16"/>
        <v>2.7467307673476561E-3</v>
      </c>
    </row>
    <row r="29" spans="1:30" s="29" customFormat="1">
      <c r="A29" s="45" t="s">
        <v>342</v>
      </c>
      <c r="B29" s="18" t="str">
        <f>VLOOKUP(A29,'Identidad de Codigos'!A:C,2,FALSE)</f>
        <v>ARGALI5602U0</v>
      </c>
      <c r="C29" s="81">
        <f>VLOOKUP(A29,'Identidad de Codigos'!A:C,3,FALSE)</f>
        <v>11111</v>
      </c>
      <c r="D29" s="18">
        <v>0.25979999999999998</v>
      </c>
      <c r="E29" s="40">
        <v>44312</v>
      </c>
      <c r="F29" s="20" t="s">
        <v>80</v>
      </c>
      <c r="G29" s="20" t="s">
        <v>282</v>
      </c>
      <c r="H29" s="21">
        <f t="shared" ref="H29" si="17">SUM(J29:K29)</f>
        <v>60000000</v>
      </c>
      <c r="I29" s="21">
        <f t="shared" ref="I29" si="18">H29-SUM(J29:L29)</f>
        <v>0</v>
      </c>
      <c r="J29" s="101">
        <v>60000000</v>
      </c>
      <c r="K29" s="101">
        <v>0</v>
      </c>
      <c r="L29" s="101"/>
      <c r="M29" s="22"/>
      <c r="N29" s="22">
        <f>VLOOKUP(A29,'Precios para Valuar'!$C:$L,5,FALSE)/100</f>
        <v>1.0032881861929015</v>
      </c>
      <c r="O29" s="23">
        <f t="shared" ref="O29" si="19">H29*N29</f>
        <v>60197291.171574093</v>
      </c>
      <c r="P29" s="23">
        <f t="shared" si="12"/>
        <v>2930734.7211087681</v>
      </c>
      <c r="Q29" s="26">
        <f>VLOOKUP(A29,'Precios para Valuar'!C:Z,6,FALSE)</f>
        <v>0.25979999999999998</v>
      </c>
      <c r="R29" s="26">
        <f t="shared" ref="R29" si="20">+Q29+Badlar</f>
        <v>0.48792499999999994</v>
      </c>
      <c r="S29" s="27">
        <f>VLOOKUP(A29,'Precios para Valuar'!C:AC,9,FALSE)</f>
        <v>1.604510354401866</v>
      </c>
      <c r="T29" s="12">
        <f t="shared" ca="1" si="14"/>
        <v>1.4196973153492753E-2</v>
      </c>
      <c r="U29" s="128"/>
      <c r="V29" s="77" t="str">
        <f>VLOOKUP(A29,'Precios para Valuar'!$C:$T,8,FALSE)</f>
        <v>VT</v>
      </c>
      <c r="W29" s="77"/>
      <c r="X29" s="77" t="s">
        <v>323</v>
      </c>
      <c r="Y29" s="6"/>
      <c r="Z29" s="126">
        <f t="shared" ca="1" si="15"/>
        <v>6.9270581259179504E-3</v>
      </c>
      <c r="AA29" s="29">
        <f t="shared" ca="1" si="16"/>
        <v>2.2779190425944434E-2</v>
      </c>
    </row>
    <row r="30" spans="1:30" s="29" customFormat="1">
      <c r="A30" s="45" t="s">
        <v>284</v>
      </c>
      <c r="B30" s="18" t="str">
        <f>VLOOKUP(A30,'Identidad de Codigos'!A:C,2,FALSE)</f>
        <v>ARFICR560057</v>
      </c>
      <c r="C30" s="81">
        <f>VLOOKUP(A30,'Identidad de Codigos'!A:C,3,FALSE)</f>
        <v>51734</v>
      </c>
      <c r="D30" s="18" t="s">
        <v>52</v>
      </c>
      <c r="E30" s="40">
        <v>43322</v>
      </c>
      <c r="F30" s="20" t="s">
        <v>13</v>
      </c>
      <c r="G30" s="20" t="s">
        <v>285</v>
      </c>
      <c r="H30" s="21">
        <f t="shared" si="9"/>
        <v>8000000</v>
      </c>
      <c r="I30" s="21">
        <f t="shared" si="10"/>
        <v>0</v>
      </c>
      <c r="J30" s="101">
        <v>8000000</v>
      </c>
      <c r="K30" s="101">
        <v>0</v>
      </c>
      <c r="L30" s="88"/>
      <c r="M30" s="22"/>
      <c r="N30" s="22">
        <f>VLOOKUP(A30,'Precios para Valuar'!$C:$L,5,FALSE)/100</f>
        <v>0.70397422005041133</v>
      </c>
      <c r="O30" s="23">
        <f t="shared" si="11"/>
        <v>5631793.7604032904</v>
      </c>
      <c r="P30" s="23">
        <f t="shared" si="12"/>
        <v>274186.64851038414</v>
      </c>
      <c r="Q30" s="26">
        <f>VLOOKUP(A30,'Precios para Valuar'!C:Z,6,FALSE)</f>
        <v>2.9267695519006903E-2</v>
      </c>
      <c r="R30" s="26">
        <f t="shared" si="13"/>
        <v>0.2573926955190069</v>
      </c>
      <c r="S30" s="27">
        <f>VLOOKUP(A30,'Precios para Valuar'!C:AC,9,FALSE)</f>
        <v>0.30438689505940081</v>
      </c>
      <c r="T30" s="12">
        <f t="shared" ca="1" si="14"/>
        <v>1.3282063572357054E-3</v>
      </c>
      <c r="U30" s="128"/>
      <c r="V30" s="77" t="str">
        <f>VLOOKUP(A30,'Precios para Valuar'!$C:$T,8,FALSE)</f>
        <v>devengado</v>
      </c>
      <c r="W30" s="77"/>
      <c r="X30" s="77"/>
      <c r="Y30" s="6"/>
      <c r="Z30" s="126">
        <f t="shared" ca="1" si="15"/>
        <v>3.4187061449437924E-4</v>
      </c>
      <c r="AA30" s="29">
        <f t="shared" ca="1" si="16"/>
        <v>4.0428860907713366E-4</v>
      </c>
    </row>
    <row r="31" spans="1:30" s="29" customFormat="1">
      <c r="A31" s="28" t="s">
        <v>53</v>
      </c>
      <c r="B31" s="18" t="str">
        <f>VLOOKUP(A31,'Identidad de Codigos'!A:C,2,FALSE)</f>
        <v>ARGPAT5600A4</v>
      </c>
      <c r="C31" s="81">
        <f>VLOOKUP(A31,'Identidad de Codigos'!A:C,3,FALSE)</f>
        <v>52167</v>
      </c>
      <c r="D31" s="18" t="s">
        <v>54</v>
      </c>
      <c r="E31" s="76">
        <v>43489</v>
      </c>
      <c r="F31" s="20" t="s">
        <v>13</v>
      </c>
      <c r="G31" s="20" t="s">
        <v>285</v>
      </c>
      <c r="H31" s="21">
        <f t="shared" si="9"/>
        <v>5285714</v>
      </c>
      <c r="I31" s="21">
        <f t="shared" si="10"/>
        <v>0</v>
      </c>
      <c r="J31" s="101">
        <v>5285714</v>
      </c>
      <c r="K31" s="101">
        <v>0</v>
      </c>
      <c r="L31" s="88"/>
      <c r="M31" s="22"/>
      <c r="N31" s="22">
        <f>VLOOKUP(A31,'Precios para Valuar'!$C:$L,5,FALSE)/100</f>
        <v>1.0073879106196695</v>
      </c>
      <c r="O31" s="23">
        <f t="shared" si="11"/>
        <v>5324764.3825931353</v>
      </c>
      <c r="P31" s="23">
        <f t="shared" si="12"/>
        <v>259238.77227814682</v>
      </c>
      <c r="Q31" s="26">
        <f>VLOOKUP(A31,'Precios para Valuar'!C:Z,6,FALSE)</f>
        <v>3.44E-2</v>
      </c>
      <c r="R31" s="26">
        <f t="shared" si="13"/>
        <v>0.26252500000000001</v>
      </c>
      <c r="S31" s="27">
        <f>VLOOKUP(A31,'Precios para Valuar'!C:AC,9,FALSE)</f>
        <v>0.62298798858905402</v>
      </c>
      <c r="T31" s="12">
        <f t="shared" ca="1" si="14"/>
        <v>1.2557963243377021E-3</v>
      </c>
      <c r="U31" s="128"/>
      <c r="V31" s="77" t="str">
        <f>VLOOKUP(A31,'Precios para Valuar'!$C:$T,8,FALSE)</f>
        <v>VT</v>
      </c>
      <c r="W31" s="77"/>
      <c r="X31" s="77" t="s">
        <v>324</v>
      </c>
      <c r="Y31" s="6"/>
      <c r="Z31" s="126">
        <f t="shared" ca="1" si="15"/>
        <v>3.2967793004675528E-4</v>
      </c>
      <c r="AA31" s="29">
        <f t="shared" ca="1" si="16"/>
        <v>7.8234602617667233E-4</v>
      </c>
    </row>
    <row r="32" spans="1:30" s="29" customFormat="1">
      <c r="A32" s="28" t="s">
        <v>55</v>
      </c>
      <c r="B32" s="18" t="str">
        <f>VLOOKUP(A32,'Identidad de Codigos'!A:C,2,FALSE)</f>
        <v>ARGPAT560065</v>
      </c>
      <c r="C32" s="81">
        <f>VLOOKUP(A32,'Identidad de Codigos'!A:C,3,FALSE)</f>
        <v>51579</v>
      </c>
      <c r="D32" s="18" t="s">
        <v>56</v>
      </c>
      <c r="E32" s="40">
        <v>43630</v>
      </c>
      <c r="F32" s="20" t="s">
        <v>13</v>
      </c>
      <c r="G32" s="20" t="s">
        <v>285</v>
      </c>
      <c r="H32" s="21">
        <f t="shared" si="9"/>
        <v>15000000</v>
      </c>
      <c r="I32" s="21">
        <f t="shared" si="10"/>
        <v>0</v>
      </c>
      <c r="J32" s="101">
        <v>15000000</v>
      </c>
      <c r="K32" s="101">
        <v>0</v>
      </c>
      <c r="L32" s="88"/>
      <c r="M32" s="22"/>
      <c r="N32" s="22">
        <f>VLOOKUP(A32,'Precios para Valuar'!$C:$L,5,FALSE)/100</f>
        <v>1.0332453459867976</v>
      </c>
      <c r="O32" s="23">
        <f t="shared" si="11"/>
        <v>15498680.189801965</v>
      </c>
      <c r="P32" s="23">
        <f t="shared" si="12"/>
        <v>754560.86610525637</v>
      </c>
      <c r="Q32" s="26">
        <f>VLOOKUP(A32,'Precios para Valuar'!C:Z,6,FALSE)</f>
        <v>3.8754824473532068E-2</v>
      </c>
      <c r="R32" s="26">
        <f t="shared" si="13"/>
        <v>0.26687982447353209</v>
      </c>
      <c r="S32" s="27">
        <f>VLOOKUP(A32,'Precios para Valuar'!C:AC,9,FALSE)</f>
        <v>0.87347329690129794</v>
      </c>
      <c r="T32" s="12">
        <f t="shared" ca="1" si="14"/>
        <v>3.6552200653356209E-3</v>
      </c>
      <c r="U32" s="128"/>
      <c r="V32" s="77" t="str">
        <f>VLOOKUP(A32,'Precios para Valuar'!$C:$T,8,FALSE)</f>
        <v>devengado</v>
      </c>
      <c r="W32" s="77"/>
      <c r="X32" s="77" t="s">
        <v>324</v>
      </c>
      <c r="Y32" s="6"/>
      <c r="Z32" s="126">
        <f t="shared" ca="1" si="15"/>
        <v>9.7550448944890304E-4</v>
      </c>
      <c r="AA32" s="29">
        <f t="shared" ca="1" si="16"/>
        <v>3.1927371213684823E-3</v>
      </c>
    </row>
    <row r="33" spans="1:27" s="29" customFormat="1">
      <c r="A33" s="87" t="s">
        <v>57</v>
      </c>
      <c r="B33" s="18" t="str">
        <f>VLOOKUP(A33,'Identidad de Codigos'!A:C,2,FALSE)</f>
        <v>ARGPAT5600E6</v>
      </c>
      <c r="C33" s="81">
        <f>VLOOKUP(A33,'Identidad de Codigos'!A:C,3,FALSE)</f>
        <v>52584</v>
      </c>
      <c r="D33" s="18" t="s">
        <v>58</v>
      </c>
      <c r="E33" s="40">
        <v>43630</v>
      </c>
      <c r="F33" s="20" t="s">
        <v>13</v>
      </c>
      <c r="G33" s="20" t="s">
        <v>285</v>
      </c>
      <c r="H33" s="21">
        <f t="shared" si="9"/>
        <v>24666666</v>
      </c>
      <c r="I33" s="21">
        <f t="shared" ref="I33" si="21">H33-SUM(J33:L33)</f>
        <v>0</v>
      </c>
      <c r="J33" s="101">
        <v>24666666</v>
      </c>
      <c r="K33" s="101">
        <v>0</v>
      </c>
      <c r="L33" s="88"/>
      <c r="M33" s="22"/>
      <c r="N33" s="22">
        <f>VLOOKUP(A33,'Precios para Valuar'!$C:$L,5,FALSE)/100</f>
        <v>1.027488076840289</v>
      </c>
      <c r="O33" s="23">
        <f t="shared" si="11"/>
        <v>25344705.210401744</v>
      </c>
      <c r="P33" s="23">
        <f t="shared" si="12"/>
        <v>1233919.4357547101</v>
      </c>
      <c r="Q33" s="26">
        <f>VLOOKUP(A33,'Precios para Valuar'!C:Z,6,FALSE)</f>
        <v>3.9699999999999999E-2</v>
      </c>
      <c r="R33" s="26">
        <f t="shared" si="13"/>
        <v>0.26782499999999998</v>
      </c>
      <c r="S33" s="27">
        <f>VLOOKUP(A33,'Precios para Valuar'!C:AC,9,FALSE)</f>
        <v>1.4728085009307144</v>
      </c>
      <c r="T33" s="12">
        <f t="shared" ca="1" si="14"/>
        <v>5.9773138035349336E-3</v>
      </c>
      <c r="U33" s="128"/>
      <c r="V33" s="77" t="str">
        <f>VLOOKUP(A33,'Precios para Valuar'!$C:$T,8,FALSE)</f>
        <v>VT</v>
      </c>
      <c r="W33" s="77"/>
      <c r="X33" s="77" t="s">
        <v>324</v>
      </c>
      <c r="Y33" s="6"/>
      <c r="Z33" s="126">
        <f t="shared" ca="1" si="15"/>
        <v>1.6008740694317435E-3</v>
      </c>
      <c r="AA33" s="29">
        <f t="shared" ca="1" si="16"/>
        <v>8.8034385825767527E-3</v>
      </c>
    </row>
    <row r="34" spans="1:27" s="29" customFormat="1">
      <c r="A34" s="28" t="s">
        <v>286</v>
      </c>
      <c r="B34" s="18" t="str">
        <f>VLOOKUP(A34,'Identidad de Codigos'!A:C,2,FALSE)</f>
        <v>ARGPAT5600H9</v>
      </c>
      <c r="C34" s="81">
        <f>VLOOKUP(A34,'Identidad de Codigos'!A:C,3,FALSE)</f>
        <v>52897</v>
      </c>
      <c r="D34" s="18" t="s">
        <v>287</v>
      </c>
      <c r="E34" s="40">
        <v>43630</v>
      </c>
      <c r="F34" s="20" t="s">
        <v>13</v>
      </c>
      <c r="G34" s="20" t="s">
        <v>285</v>
      </c>
      <c r="H34" s="21">
        <f t="shared" si="9"/>
        <v>10000000</v>
      </c>
      <c r="I34" s="21">
        <f t="shared" si="10"/>
        <v>0</v>
      </c>
      <c r="J34" s="101">
        <v>10000000</v>
      </c>
      <c r="K34" s="101">
        <v>0</v>
      </c>
      <c r="L34" s="88"/>
      <c r="M34" s="22"/>
      <c r="N34" s="22">
        <f>VLOOKUP(A34,'Precios para Valuar'!$C:$L,5,FALSE)/100</f>
        <v>1.0209673453255104</v>
      </c>
      <c r="O34" s="23">
        <f t="shared" si="11"/>
        <v>10209673.453255104</v>
      </c>
      <c r="P34" s="23">
        <f t="shared" si="12"/>
        <v>497062.97240774607</v>
      </c>
      <c r="Q34" s="26">
        <f>VLOOKUP(A34,'Precios para Valuar'!C:Z,6,FALSE)</f>
        <v>4.1700000000000001E-2</v>
      </c>
      <c r="R34" s="26">
        <f t="shared" si="13"/>
        <v>0.26982499999999998</v>
      </c>
      <c r="S34" s="27">
        <f>VLOOKUP(A34,'Precios para Valuar'!C:AC,9,FALSE)</f>
        <v>1.6097052402468275</v>
      </c>
      <c r="T34" s="12">
        <f t="shared" ca="1" si="14"/>
        <v>2.4078568503799365E-3</v>
      </c>
      <c r="U34" s="128"/>
      <c r="V34" s="77" t="str">
        <f>VLOOKUP(A34,'Precios para Valuar'!$C:$T,8,FALSE)</f>
        <v>VT</v>
      </c>
      <c r="W34" s="77"/>
      <c r="X34" s="77" t="s">
        <v>324</v>
      </c>
      <c r="Y34" s="6"/>
      <c r="Z34" s="126">
        <f t="shared" ca="1" si="15"/>
        <v>6.4969997465376633E-4</v>
      </c>
      <c r="AA34" s="29">
        <f t="shared" ca="1" si="16"/>
        <v>3.8759397898208048E-3</v>
      </c>
    </row>
    <row r="35" spans="1:27" s="29" customFormat="1">
      <c r="A35" s="87" t="s">
        <v>345</v>
      </c>
      <c r="B35" s="18" t="str">
        <f>VLOOKUP(A35,'Identidad de Codigos'!A:C,2,FALSE)</f>
        <v>ARGPAT5600J5</v>
      </c>
      <c r="C35" s="81">
        <f>VLOOKUP(A35,'Identidad de Codigos'!A:C,3,FALSE)</f>
        <v>11111</v>
      </c>
      <c r="D35" s="18">
        <v>0.25750000000000001</v>
      </c>
      <c r="E35" s="40">
        <v>43763</v>
      </c>
      <c r="F35" s="20" t="s">
        <v>80</v>
      </c>
      <c r="G35" s="20" t="s">
        <v>285</v>
      </c>
      <c r="H35" s="21">
        <f t="shared" ref="H35" si="22">SUM(J35:K35)</f>
        <v>17000000</v>
      </c>
      <c r="I35" s="21">
        <f t="shared" ref="I35" si="23">H35-SUM(J35:L35)</f>
        <v>0</v>
      </c>
      <c r="J35" s="101">
        <v>17000000</v>
      </c>
      <c r="K35" s="101">
        <v>0</v>
      </c>
      <c r="L35" s="101"/>
      <c r="M35" s="22"/>
      <c r="N35" s="22">
        <f>VLOOKUP(A35,'Precios para Valuar'!$C:$L,5,FALSE)/100</f>
        <v>1.0054750706940623</v>
      </c>
      <c r="O35" s="23">
        <f t="shared" ref="O35" si="24">H35*N35</f>
        <v>17093076.201799057</v>
      </c>
      <c r="P35" s="23">
        <f t="shared" si="12"/>
        <v>832184.81995126861</v>
      </c>
      <c r="Q35" s="26">
        <f>VLOOKUP(A35,'Precios para Valuar'!C:Z,6,FALSE)</f>
        <v>0.25750000000000001</v>
      </c>
      <c r="R35" s="26">
        <f t="shared" ref="R35" si="25">+Q35+Badlar</f>
        <v>0.48562499999999997</v>
      </c>
      <c r="S35" s="27">
        <f>VLOOKUP(A35,'Precios para Valuar'!C:AC,9,FALSE)</f>
        <v>1.1957997379830974</v>
      </c>
      <c r="T35" s="12">
        <f t="shared" ca="1" si="14"/>
        <v>4.0312435862917837E-3</v>
      </c>
      <c r="U35" s="128"/>
      <c r="V35" s="77" t="str">
        <f>VLOOKUP(A35,'Precios para Valuar'!$C:$T,8,FALSE)</f>
        <v>VT</v>
      </c>
      <c r="W35" s="77"/>
      <c r="X35" s="77" t="s">
        <v>324</v>
      </c>
      <c r="Y35" s="6"/>
      <c r="Z35" s="126">
        <f t="shared" ca="1" si="15"/>
        <v>1.9576726665929472E-3</v>
      </c>
      <c r="AA35" s="29">
        <f t="shared" ca="1" si="16"/>
        <v>4.8205600242337563E-3</v>
      </c>
    </row>
    <row r="36" spans="1:27" s="29" customFormat="1">
      <c r="A36" s="45" t="s">
        <v>288</v>
      </c>
      <c r="B36" s="18" t="str">
        <f>VLOOKUP(A36,'Identidad de Codigos'!A:C,2,FALSE)</f>
        <v>ARROBE560051</v>
      </c>
      <c r="C36" s="81">
        <f>VLOOKUP(A36,'Identidad de Codigos'!A:C,3,FALSE)</f>
        <v>53068</v>
      </c>
      <c r="D36" s="18" t="s">
        <v>302</v>
      </c>
      <c r="E36" s="40">
        <v>43189</v>
      </c>
      <c r="F36" s="20" t="s">
        <v>299</v>
      </c>
      <c r="G36" s="20" t="s">
        <v>282</v>
      </c>
      <c r="H36" s="21">
        <f t="shared" si="9"/>
        <v>50000000</v>
      </c>
      <c r="I36" s="21">
        <f t="shared" ref="I36" si="26">H36-SUM(J36:L36)</f>
        <v>0</v>
      </c>
      <c r="J36" s="101">
        <v>50000000</v>
      </c>
      <c r="K36" s="101">
        <v>0</v>
      </c>
      <c r="L36" s="88"/>
      <c r="M36" s="22"/>
      <c r="N36" s="22">
        <f>VLOOKUP(A36,'Precios para Valuar'!$C:$L,5,FALSE)/100</f>
        <v>1.0940000000000001</v>
      </c>
      <c r="O36" s="23">
        <f>H36*N36</f>
        <v>54700000.000000007</v>
      </c>
      <c r="P36" s="23">
        <f t="shared" si="12"/>
        <v>2663096.3972736131</v>
      </c>
      <c r="Q36" s="26">
        <f>VLOOKUP(A36,'Precios para Valuar'!C:Z,6,FALSE)</f>
        <v>3.3141207744581541E-2</v>
      </c>
      <c r="R36" s="26">
        <f>+Q36+Badlar</f>
        <v>0.26126620774458154</v>
      </c>
      <c r="S36" s="27">
        <f>VLOOKUP(A36,'Precios para Valuar'!C:AC,9,FALSE)</f>
        <v>1.6286663706312814</v>
      </c>
      <c r="T36" s="12">
        <f t="shared" ca="1" si="14"/>
        <v>1.2900487985126509E-2</v>
      </c>
      <c r="U36" s="128"/>
      <c r="V36" s="77" t="str">
        <f>VLOOKUP(A36,'Precios para Valuar'!$C:$T,8,FALSE)</f>
        <v>MAE</v>
      </c>
      <c r="W36" s="77"/>
      <c r="X36" s="77" t="s">
        <v>323</v>
      </c>
      <c r="Y36" s="6"/>
      <c r="Z36" s="126">
        <f t="shared" ca="1" si="15"/>
        <v>3.3704615739285405E-3</v>
      </c>
      <c r="AA36" s="29">
        <f t="shared" ca="1" si="16"/>
        <v>2.1010590946108444E-2</v>
      </c>
    </row>
    <row r="37" spans="1:27" s="29" customFormat="1">
      <c r="A37" s="45" t="s">
        <v>317</v>
      </c>
      <c r="B37" s="18" t="str">
        <f>VLOOKUP(A37,'Identidad de Codigos'!A:C,2,FALSE)</f>
        <v>ARROBE560069</v>
      </c>
      <c r="C37" s="81">
        <f>VLOOKUP(A37,'Identidad de Codigos'!A:C,3,FALSE)</f>
        <v>11111</v>
      </c>
      <c r="D37" s="18" t="s">
        <v>318</v>
      </c>
      <c r="E37" s="40">
        <v>44282</v>
      </c>
      <c r="F37" s="20" t="s">
        <v>299</v>
      </c>
      <c r="G37" s="20" t="s">
        <v>282</v>
      </c>
      <c r="H37" s="21">
        <f t="shared" si="9"/>
        <v>106000000</v>
      </c>
      <c r="I37" s="21">
        <f t="shared" ref="I37" si="27">H37-SUM(J37:L37)</f>
        <v>0</v>
      </c>
      <c r="J37" s="101">
        <v>100000000</v>
      </c>
      <c r="K37" s="101">
        <v>6000000</v>
      </c>
      <c r="L37" s="101"/>
      <c r="M37" s="22"/>
      <c r="N37" s="22">
        <f>VLOOKUP(A37,'Precios para Valuar'!$C:$L,5,FALSE)/100</f>
        <v>1.0255974951163456</v>
      </c>
      <c r="O37" s="23">
        <f>H37*N37</f>
        <v>108713334.48233263</v>
      </c>
      <c r="P37" s="23">
        <f t="shared" si="12"/>
        <v>5292762.1461700406</v>
      </c>
      <c r="Q37" s="26">
        <f>VLOOKUP(A37,'Precios para Valuar'!C:Z,6,FALSE)</f>
        <v>2.6499999999999999E-2</v>
      </c>
      <c r="R37" s="26">
        <f>+Q37+Badlar</f>
        <v>0.25462499999999999</v>
      </c>
      <c r="S37" s="27">
        <f>VLOOKUP(A37,'Precios para Valuar'!C:AC,9,FALSE)</f>
        <v>1.9306742502623933</v>
      </c>
      <c r="T37" s="12">
        <f t="shared" ca="1" si="14"/>
        <v>2.563903227262105E-2</v>
      </c>
      <c r="U37" s="128"/>
      <c r="V37" s="77" t="str">
        <f>VLOOKUP(A37,'Precios para Valuar'!$C:$T,8,FALSE)</f>
        <v>VT</v>
      </c>
      <c r="W37" s="77"/>
      <c r="X37" s="77" t="s">
        <v>323</v>
      </c>
      <c r="Y37" s="6"/>
      <c r="Z37" s="126">
        <f t="shared" ca="1" si="15"/>
        <v>6.5283385924161342E-3</v>
      </c>
      <c r="AA37" s="29">
        <f t="shared" ca="1" si="16"/>
        <v>4.9500619410395949E-2</v>
      </c>
    </row>
    <row r="38" spans="1:27" s="29" customFormat="1">
      <c r="A38" s="28" t="s">
        <v>59</v>
      </c>
      <c r="B38" s="18" t="str">
        <f>VLOOKUP(A38,'Identidad de Codigos'!A:C,2,FALSE)</f>
        <v>ARTACU5600D7</v>
      </c>
      <c r="C38" s="81">
        <f>VLOOKUP(A38,'Identidad de Codigos'!A:C,3,FALSE)</f>
        <v>51685</v>
      </c>
      <c r="D38" s="18" t="s">
        <v>60</v>
      </c>
      <c r="E38" s="40">
        <v>44039</v>
      </c>
      <c r="F38" s="20" t="s">
        <v>13</v>
      </c>
      <c r="G38" s="20" t="s">
        <v>285</v>
      </c>
      <c r="H38" s="21">
        <f t="shared" si="9"/>
        <v>28000000</v>
      </c>
      <c r="I38" s="21">
        <f t="shared" si="10"/>
        <v>0</v>
      </c>
      <c r="J38" s="101">
        <v>21900000</v>
      </c>
      <c r="K38" s="101">
        <v>6100000</v>
      </c>
      <c r="L38" s="88"/>
      <c r="M38" s="22"/>
      <c r="N38" s="22">
        <f>VLOOKUP(A38,'Precios para Valuar'!$C:$L,5,FALSE)/100</f>
        <v>1.0037985314169979</v>
      </c>
      <c r="O38" s="23">
        <f t="shared" si="11"/>
        <v>28106358.879675943</v>
      </c>
      <c r="P38" s="23">
        <f t="shared" si="12"/>
        <v>1368371.9026132398</v>
      </c>
      <c r="Q38" s="26">
        <f>VLOOKUP(A38,'Precios para Valuar'!C:Z,6,FALSE)</f>
        <v>4.024256335475207E-2</v>
      </c>
      <c r="R38" s="26">
        <f t="shared" si="13"/>
        <v>0.26836756335475209</v>
      </c>
      <c r="S38" s="27">
        <f>VLOOKUP(A38,'Precios para Valuar'!C:AC,9,FALSE)</f>
        <v>1.5731276197431772</v>
      </c>
      <c r="T38" s="12">
        <f t="shared" ca="1" si="14"/>
        <v>6.6286242236364397E-3</v>
      </c>
      <c r="U38" s="128"/>
      <c r="V38" s="77" t="str">
        <f>VLOOKUP(A38,'Precios para Valuar'!$C:$T,8,FALSE)</f>
        <v>devengado</v>
      </c>
      <c r="W38" s="77"/>
      <c r="X38" s="77" t="s">
        <v>325</v>
      </c>
      <c r="Y38" s="6"/>
      <c r="Z38" s="126">
        <f t="shared" ca="1" si="15"/>
        <v>1.7789077312915967E-3</v>
      </c>
      <c r="AA38" s="29">
        <f t="shared" ca="1" si="16"/>
        <v>1.0427671847101158E-2</v>
      </c>
    </row>
    <row r="39" spans="1:27" s="29" customFormat="1">
      <c r="A39" s="28" t="s">
        <v>62</v>
      </c>
      <c r="B39" s="18" t="str">
        <f>VLOOKUP(A39,'Identidad de Codigos'!A:C,2,FALSE)</f>
        <v>ARTANA5600C8</v>
      </c>
      <c r="C39" s="81">
        <f>VLOOKUP(A39,'Identidad de Codigos'!A:C,3,FALSE)</f>
        <v>51856</v>
      </c>
      <c r="D39" s="18" t="s">
        <v>63</v>
      </c>
      <c r="E39" s="40">
        <v>44102</v>
      </c>
      <c r="F39" s="20" t="s">
        <v>13</v>
      </c>
      <c r="G39" s="20" t="s">
        <v>285</v>
      </c>
      <c r="H39" s="21">
        <f t="shared" si="9"/>
        <v>46463333</v>
      </c>
      <c r="I39" s="21">
        <f t="shared" si="10"/>
        <v>0</v>
      </c>
      <c r="J39" s="101">
        <v>46463333</v>
      </c>
      <c r="K39" s="101">
        <v>0</v>
      </c>
      <c r="L39" s="88"/>
      <c r="M39" s="22"/>
      <c r="N39" s="22">
        <f>VLOOKUP(A39,'Precios para Valuar'!$C:$L,5,FALSE)/100</f>
        <v>1.0274541778271835</v>
      </c>
      <c r="O39" s="23">
        <f t="shared" si="11"/>
        <v>47738945.606625646</v>
      </c>
      <c r="P39" s="23">
        <f t="shared" si="12"/>
        <v>2324194.041218386</v>
      </c>
      <c r="Q39" s="26">
        <f>VLOOKUP(A39,'Precios para Valuar'!C:Z,6,FALSE)</f>
        <v>3.9889411898877375E-2</v>
      </c>
      <c r="R39" s="26">
        <f t="shared" si="13"/>
        <v>0.26801441189887737</v>
      </c>
      <c r="S39" s="27">
        <f>VLOOKUP(A39,'Precios para Valuar'!C:AC,9,FALSE)</f>
        <v>1.5838949823067507</v>
      </c>
      <c r="T39" s="12">
        <f t="shared" ca="1" si="14"/>
        <v>1.1258787828535319E-2</v>
      </c>
      <c r="U39" s="128"/>
      <c r="V39" s="77" t="str">
        <f>VLOOKUP(A39,'Precios para Valuar'!$C:$T,8,FALSE)</f>
        <v>devengado</v>
      </c>
      <c r="W39" s="77"/>
      <c r="X39" s="77" t="s">
        <v>325</v>
      </c>
      <c r="Y39" s="6"/>
      <c r="Z39" s="126">
        <f t="shared" ca="1" si="15"/>
        <v>3.0175173985591323E-3</v>
      </c>
      <c r="AA39" s="29">
        <f t="shared" ca="1" si="16"/>
        <v>1.783273754847341E-2</v>
      </c>
    </row>
    <row r="40" spans="1:27" s="29" customFormat="1">
      <c r="A40" s="87" t="s">
        <v>347</v>
      </c>
      <c r="B40" s="18" t="e">
        <f>VLOOKUP(A40,'Identidad de Codigos'!A:C,2,FALSE)</f>
        <v>#N/A</v>
      </c>
      <c r="C40" s="81" t="e">
        <f>VLOOKUP(A40,'Identidad de Codigos'!A:C,3,FALSE)</f>
        <v>#N/A</v>
      </c>
      <c r="D40" s="18" t="s">
        <v>349</v>
      </c>
      <c r="E40" s="40">
        <v>44114</v>
      </c>
      <c r="F40" s="20" t="s">
        <v>13</v>
      </c>
      <c r="G40" s="20" t="s">
        <v>285</v>
      </c>
      <c r="H40" s="21">
        <f t="shared" ref="H40" si="28">SUM(J40:K40)</f>
        <v>31000000</v>
      </c>
      <c r="I40" s="21">
        <f t="shared" ref="I40" si="29">H40-SUM(J40:L40)</f>
        <v>0</v>
      </c>
      <c r="J40" s="101">
        <v>28000000</v>
      </c>
      <c r="K40" s="101">
        <v>3000000</v>
      </c>
      <c r="L40" s="101"/>
      <c r="M40" s="22"/>
      <c r="N40" s="22">
        <f>VLOOKUP(A40,'Precios para Valuar'!$C:$L,5,FALSE)/100</f>
        <v>1.0200391322935325</v>
      </c>
      <c r="O40" s="23">
        <f t="shared" ref="O40" si="30">H40*N40</f>
        <v>31621213.101099506</v>
      </c>
      <c r="P40" s="23">
        <f t="shared" si="12"/>
        <v>1539494.3087195477</v>
      </c>
      <c r="Q40" s="26">
        <f>VLOOKUP(A40,'Precios para Valuar'!C:Z,6,FALSE)</f>
        <v>3.4910037670785377E-2</v>
      </c>
      <c r="R40" s="26">
        <f t="shared" ref="R40" si="31">+Q40+Badlar</f>
        <v>0.2630350376707854</v>
      </c>
      <c r="S40" s="27">
        <f>VLOOKUP(A40,'Precios para Valuar'!C:AC,9,FALSE)</f>
        <v>1.6255474551430262</v>
      </c>
      <c r="T40" s="12">
        <f t="shared" ca="1" si="14"/>
        <v>7.4575700125385572E-3</v>
      </c>
      <c r="U40" s="128"/>
      <c r="V40" s="77" t="str">
        <f>VLOOKUP(A40,'Precios para Valuar'!$C:$T,8,FALSE)</f>
        <v>devengado</v>
      </c>
      <c r="W40" s="77"/>
      <c r="X40" s="77" t="s">
        <v>325</v>
      </c>
      <c r="Y40" s="6"/>
      <c r="Z40" s="126">
        <f t="shared" ca="1" si="15"/>
        <v>1.9616022091805988E-3</v>
      </c>
      <c r="AA40" s="29">
        <f t="shared" ca="1" si="16"/>
        <v>1.2122633955432997E-2</v>
      </c>
    </row>
    <row r="41" spans="1:27" s="29" customFormat="1">
      <c r="A41" s="45" t="s">
        <v>290</v>
      </c>
      <c r="B41" s="18" t="str">
        <f>VLOOKUP(A41,'Identidad de Codigos'!A:C,2,FALSE)</f>
        <v>ARPSAF560083</v>
      </c>
      <c r="C41" s="81">
        <f>VLOOKUP(A41,'Identidad de Codigos'!A:C,3,FALSE)</f>
        <v>11111</v>
      </c>
      <c r="D41" s="18" t="s">
        <v>301</v>
      </c>
      <c r="E41" s="40">
        <v>43862</v>
      </c>
      <c r="F41" s="20" t="s">
        <v>299</v>
      </c>
      <c r="G41" s="20" t="s">
        <v>285</v>
      </c>
      <c r="H41" s="21">
        <f t="shared" si="9"/>
        <v>18700000</v>
      </c>
      <c r="I41" s="21">
        <f t="shared" ref="I41" si="32">H41-SUM(J41:L41)</f>
        <v>0</v>
      </c>
      <c r="J41" s="101">
        <v>15000000</v>
      </c>
      <c r="K41" s="101">
        <v>3700000</v>
      </c>
      <c r="L41" s="101"/>
      <c r="M41" s="22"/>
      <c r="N41" s="22">
        <f>VLOOKUP(A41,'Precios para Valuar'!$C:$L,5,FALSE)/100</f>
        <v>1.0012518945454916</v>
      </c>
      <c r="O41" s="23">
        <f>H41*N41</f>
        <v>18723410.428000692</v>
      </c>
      <c r="P41" s="23">
        <f t="shared" si="12"/>
        <v>911558.4434274924</v>
      </c>
      <c r="Q41" s="26">
        <f>VLOOKUP(A41,'Precios para Valuar'!C:Z,6,FALSE)</f>
        <v>2.75E-2</v>
      </c>
      <c r="R41" s="26">
        <f t="shared" ref="R41" si="33">+Q41+Badlar</f>
        <v>0.25562499999999999</v>
      </c>
      <c r="S41" s="27">
        <f>VLOOKUP(A41,'Precios para Valuar'!C:AC,9,FALSE)</f>
        <v>1.206205711975701</v>
      </c>
      <c r="T41" s="12">
        <f t="shared" ca="1" si="14"/>
        <v>4.4157428019564035E-3</v>
      </c>
      <c r="U41" s="128"/>
      <c r="V41" s="77" t="str">
        <f>VLOOKUP(A41,'Precios para Valuar'!$C:$T,8,FALSE)</f>
        <v>VT</v>
      </c>
      <c r="W41" s="77"/>
      <c r="X41" s="77"/>
      <c r="Y41" s="6"/>
      <c r="Z41" s="126">
        <f t="shared" ca="1" si="15"/>
        <v>1.1287742537501057E-3</v>
      </c>
      <c r="AA41" s="29">
        <f t="shared" ca="1" si="16"/>
        <v>5.3262941903354007E-3</v>
      </c>
    </row>
    <row r="42" spans="1:27" s="29" customFormat="1">
      <c r="A42" s="28" t="s">
        <v>291</v>
      </c>
      <c r="B42" s="18" t="str">
        <f>VLOOKUP(A42,'Identidad de Codigos'!A:C,2,FALSE)</f>
        <v>ARROMB5600A7</v>
      </c>
      <c r="C42" s="81">
        <f>VLOOKUP(A42,'Identidad de Codigos'!A:C,3,FALSE)</f>
        <v>51938</v>
      </c>
      <c r="D42" s="18" t="s">
        <v>64</v>
      </c>
      <c r="E42" s="40">
        <v>43766</v>
      </c>
      <c r="F42" s="20" t="s">
        <v>13</v>
      </c>
      <c r="G42" s="20" t="s">
        <v>285</v>
      </c>
      <c r="H42" s="21">
        <f t="shared" si="9"/>
        <v>26277777</v>
      </c>
      <c r="I42" s="21">
        <f t="shared" si="10"/>
        <v>0</v>
      </c>
      <c r="J42" s="101">
        <v>26277777</v>
      </c>
      <c r="K42" s="101">
        <v>0</v>
      </c>
      <c r="L42" s="88"/>
      <c r="M42" s="22"/>
      <c r="N42" s="22">
        <f>VLOOKUP(A42,'Precios para Valuar'!$C:$L,5,FALSE)/100</f>
        <v>1.0037719560839058</v>
      </c>
      <c r="O42" s="23">
        <f t="shared" si="11"/>
        <v>26376895.620826669</v>
      </c>
      <c r="P42" s="23">
        <f t="shared" si="12"/>
        <v>1284172.1334384941</v>
      </c>
      <c r="Q42" s="26">
        <f>VLOOKUP(A42,'Precios para Valuar'!C:Z,6,FALSE)</f>
        <v>3.9945743326992078E-2</v>
      </c>
      <c r="R42" s="26">
        <f t="shared" si="13"/>
        <v>0.2680707433269921</v>
      </c>
      <c r="S42" s="27">
        <f>VLOOKUP(A42,'Precios para Valuar'!C:AC,9,FALSE)</f>
        <v>1.0023411630361276</v>
      </c>
      <c r="T42" s="12">
        <f t="shared" ca="1" si="14"/>
        <v>6.2207463444499166E-3</v>
      </c>
      <c r="U42" s="128"/>
      <c r="V42" s="77" t="str">
        <f>VLOOKUP(A42,'Precios para Valuar'!$C:$T,8,FALSE)</f>
        <v>devengado</v>
      </c>
      <c r="W42" s="77"/>
      <c r="X42" s="77" t="s">
        <v>320</v>
      </c>
      <c r="Y42" s="6"/>
      <c r="Z42" s="126">
        <f t="shared" ca="1" si="15"/>
        <v>1.667600096605358E-3</v>
      </c>
      <c r="AA42" s="29">
        <f t="shared" ca="1" si="16"/>
        <v>6.2353101258486691E-3</v>
      </c>
    </row>
    <row r="43" spans="1:27" s="29" customFormat="1">
      <c r="A43" s="28" t="s">
        <v>65</v>
      </c>
      <c r="B43" s="18" t="str">
        <f>VLOOKUP(A43,'Identidad de Codigos'!A:C,2,FALSE)</f>
        <v>ARROMB5600B5</v>
      </c>
      <c r="C43" s="81">
        <f>VLOOKUP(A43,'Identidad de Codigos'!A:C,3,FALSE)</f>
        <v>52186</v>
      </c>
      <c r="D43" s="18" t="s">
        <v>66</v>
      </c>
      <c r="E43" s="76">
        <v>43495</v>
      </c>
      <c r="F43" s="20" t="s">
        <v>13</v>
      </c>
      <c r="G43" s="20" t="s">
        <v>285</v>
      </c>
      <c r="H43" s="21">
        <f t="shared" si="9"/>
        <v>4900000</v>
      </c>
      <c r="I43" s="21">
        <f t="shared" si="10"/>
        <v>0</v>
      </c>
      <c r="J43" s="101">
        <v>4900000</v>
      </c>
      <c r="K43" s="101">
        <v>0</v>
      </c>
      <c r="L43" s="88"/>
      <c r="M43" s="22"/>
      <c r="N43" s="22">
        <f>VLOOKUP(A43,'Precios para Valuar'!$C:$L,5,FALSE)/100</f>
        <v>1.0026595680221957</v>
      </c>
      <c r="O43" s="23">
        <f t="shared" si="11"/>
        <v>4913031.883308759</v>
      </c>
      <c r="P43" s="23">
        <f t="shared" si="12"/>
        <v>239193.37309195517</v>
      </c>
      <c r="Q43" s="26">
        <f>VLOOKUP(A43,'Precios para Valuar'!C:Z,6,FALSE)</f>
        <v>3.098446598615659E-2</v>
      </c>
      <c r="R43" s="26">
        <f t="shared" si="13"/>
        <v>0.25910946598615658</v>
      </c>
      <c r="S43" s="27">
        <f>VLOOKUP(A43,'Precios para Valuar'!C:AC,9,FALSE)</f>
        <v>0.53994592172908595</v>
      </c>
      <c r="T43" s="12">
        <f t="shared" ca="1" si="14"/>
        <v>1.1586930307343345E-3</v>
      </c>
      <c r="U43" s="128"/>
      <c r="V43" s="77" t="str">
        <f>VLOOKUP(A43,'Precios para Valuar'!$C:$T,8,FALSE)</f>
        <v>devengado</v>
      </c>
      <c r="W43" s="77"/>
      <c r="X43" s="77" t="s">
        <v>320</v>
      </c>
      <c r="Y43" s="6"/>
      <c r="Z43" s="126">
        <f t="shared" ca="1" si="15"/>
        <v>3.0022833243545475E-4</v>
      </c>
      <c r="AA43" s="29">
        <f t="shared" ca="1" si="16"/>
        <v>6.2563157648091831E-4</v>
      </c>
    </row>
    <row r="44" spans="1:27" s="29" customFormat="1">
      <c r="A44" s="28" t="s">
        <v>68</v>
      </c>
      <c r="B44" s="18" t="str">
        <f>VLOOKUP(A44,'Identidad de Codigos'!A:C,2,FALSE)</f>
        <v>ARROMB560069</v>
      </c>
      <c r="C44" s="81">
        <f>VLOOKUP(A44,'Identidad de Codigos'!A:C,3,FALSE)</f>
        <v>51769</v>
      </c>
      <c r="D44" s="18" t="s">
        <v>66</v>
      </c>
      <c r="E44" s="40">
        <v>43696</v>
      </c>
      <c r="F44" s="20" t="s">
        <v>13</v>
      </c>
      <c r="G44" s="20" t="s">
        <v>285</v>
      </c>
      <c r="H44" s="21">
        <f t="shared" si="9"/>
        <v>10821428</v>
      </c>
      <c r="I44" s="21">
        <f t="shared" si="10"/>
        <v>0</v>
      </c>
      <c r="J44" s="101">
        <v>10821428</v>
      </c>
      <c r="K44" s="101">
        <v>0</v>
      </c>
      <c r="L44" s="88"/>
      <c r="M44" s="22"/>
      <c r="N44" s="22">
        <f>VLOOKUP(A44,'Precios para Valuar'!$C:$L,5,FALSE)/100</f>
        <v>1.0356657017431481</v>
      </c>
      <c r="O44" s="23">
        <f t="shared" si="11"/>
        <v>11207381.823482951</v>
      </c>
      <c r="P44" s="23">
        <f t="shared" si="12"/>
        <v>545636.89500890707</v>
      </c>
      <c r="Q44" s="26">
        <f>VLOOKUP(A44,'Precios para Valuar'!C:Z,6,FALSE)</f>
        <v>3.2399999999999998E-2</v>
      </c>
      <c r="R44" s="26">
        <f t="shared" si="13"/>
        <v>0.26052500000000001</v>
      </c>
      <c r="S44" s="27">
        <f>VLOOKUP(A44,'Precios para Valuar'!C:AC,9,FALSE)</f>
        <v>0.81164250148032191</v>
      </c>
      <c r="T44" s="12">
        <f t="shared" ca="1" si="14"/>
        <v>2.6431571217288303E-3</v>
      </c>
      <c r="U44" s="128"/>
      <c r="V44" s="77" t="str">
        <f>VLOOKUP(A44,'Precios para Valuar'!$C:$T,8,FALSE)</f>
        <v>VT</v>
      </c>
      <c r="W44" s="77"/>
      <c r="X44" s="77" t="s">
        <v>320</v>
      </c>
      <c r="Y44" s="6"/>
      <c r="Z44" s="126">
        <f t="shared" ca="1" si="15"/>
        <v>6.8860850913840348E-4</v>
      </c>
      <c r="AA44" s="29">
        <f t="shared" ca="1" si="16"/>
        <v>2.1452986580855157E-3</v>
      </c>
    </row>
    <row r="45" spans="1:27" s="29" customFormat="1">
      <c r="A45" s="28" t="s">
        <v>292</v>
      </c>
      <c r="B45" s="18" t="str">
        <f>VLOOKUP(A45,'Identidad de Codigos'!A:C,2,FALSE)</f>
        <v>ARARCS560050</v>
      </c>
      <c r="C45" s="81">
        <f>VLOOKUP(A45,'Identidad de Codigos'!A:C,3,FALSE)</f>
        <v>52407</v>
      </c>
      <c r="D45" s="18" t="s">
        <v>70</v>
      </c>
      <c r="E45" s="76">
        <v>44319</v>
      </c>
      <c r="F45" s="20" t="s">
        <v>13</v>
      </c>
      <c r="G45" s="20" t="s">
        <v>285</v>
      </c>
      <c r="H45" s="21">
        <f t="shared" si="9"/>
        <v>89000000</v>
      </c>
      <c r="I45" s="21">
        <f t="shared" si="10"/>
        <v>0</v>
      </c>
      <c r="J45" s="101">
        <v>82000000</v>
      </c>
      <c r="K45" s="101">
        <v>7000000</v>
      </c>
      <c r="L45" s="88"/>
      <c r="M45" s="22"/>
      <c r="N45" s="22">
        <f>VLOOKUP(A45,'Precios para Valuar'!$C:$L,5,FALSE)/100</f>
        <v>0.99962987819804738</v>
      </c>
      <c r="O45" s="23">
        <f t="shared" si="11"/>
        <v>88967059.159626216</v>
      </c>
      <c r="P45" s="23">
        <f t="shared" si="12"/>
        <v>4331405.0223771287</v>
      </c>
      <c r="Q45" s="26">
        <f>VLOOKUP(A45,'Precios para Valuar'!C:Z,6,FALSE)</f>
        <v>2.9899999999999999E-2</v>
      </c>
      <c r="R45" s="26">
        <f t="shared" si="13"/>
        <v>0.258025</v>
      </c>
      <c r="S45" s="27">
        <f>VLOOKUP(A45,'Precios para Valuar'!C:AC,9,FALSE)</f>
        <v>1.9199172026594544</v>
      </c>
      <c r="T45" s="12">
        <f t="shared" ca="1" si="14"/>
        <v>2.0982056266193733E-2</v>
      </c>
      <c r="U45" s="128"/>
      <c r="V45" s="77" t="str">
        <f>VLOOKUP(A45,'Precios para Valuar'!$C:$T,8,FALSE)</f>
        <v>VT</v>
      </c>
      <c r="W45" s="77"/>
      <c r="X45" s="77" t="s">
        <v>323</v>
      </c>
      <c r="Y45" s="6"/>
      <c r="Z45" s="126">
        <f t="shared" ca="1" si="15"/>
        <v>5.4138950680846379E-3</v>
      </c>
      <c r="AA45" s="29">
        <f t="shared" ca="1" si="16"/>
        <v>4.0283810772633946E-2</v>
      </c>
    </row>
    <row r="46" spans="1:27" s="29" customFormat="1">
      <c r="A46" s="28" t="s">
        <v>71</v>
      </c>
      <c r="B46" s="18" t="str">
        <f>VLOOKUP(A46,'Identidad de Codigos'!A:C,2,FALSE)</f>
        <v>ARTACU5600F2</v>
      </c>
      <c r="C46" s="81">
        <f>VLOOKUP(A46,'Identidad de Codigos'!A:C,3,FALSE)</f>
        <v>51916</v>
      </c>
      <c r="D46" s="18" t="s">
        <v>72</v>
      </c>
      <c r="E46" s="76">
        <v>44130</v>
      </c>
      <c r="F46" s="20" t="s">
        <v>13</v>
      </c>
      <c r="G46" s="20" t="s">
        <v>285</v>
      </c>
      <c r="H46" s="21">
        <f t="shared" si="9"/>
        <v>35023666</v>
      </c>
      <c r="I46" s="21">
        <f t="shared" si="10"/>
        <v>0</v>
      </c>
      <c r="J46" s="101">
        <v>35023666</v>
      </c>
      <c r="K46" s="101">
        <v>0</v>
      </c>
      <c r="L46" s="88"/>
      <c r="M46" s="22"/>
      <c r="N46" s="22">
        <f>VLOOKUP(A46,'Precios para Valuar'!$C:$L,5,FALSE)/100</f>
        <v>1.0149040320111178</v>
      </c>
      <c r="O46" s="23">
        <f t="shared" si="11"/>
        <v>35545659.839210697</v>
      </c>
      <c r="P46" s="23">
        <f t="shared" si="12"/>
        <v>1730557.9279070448</v>
      </c>
      <c r="Q46" s="26">
        <f>VLOOKUP(A46,'Precios para Valuar'!C:Z,6,FALSE)</f>
        <v>3.4969698318834536E-2</v>
      </c>
      <c r="R46" s="26">
        <f t="shared" si="13"/>
        <v>0.26309469831883453</v>
      </c>
      <c r="S46" s="27">
        <f>VLOOKUP(A46,'Precios para Valuar'!C:AC,9,FALSE)</f>
        <v>1.6865944800200139</v>
      </c>
      <c r="T46" s="12">
        <f t="shared" ca="1" si="14"/>
        <v>8.383114399984121E-3</v>
      </c>
      <c r="U46" s="128"/>
      <c r="V46" s="77" t="str">
        <f>VLOOKUP(A46,'Precios para Valuar'!$C:$T,8,FALSE)</f>
        <v>devengado</v>
      </c>
      <c r="W46" s="77"/>
      <c r="X46" s="77" t="s">
        <v>325</v>
      </c>
      <c r="Y46" s="6"/>
      <c r="Z46" s="126">
        <f t="shared" ca="1" si="15"/>
        <v>2.2055529540361001E-3</v>
      </c>
      <c r="AA46" s="29">
        <f t="shared" ca="1" si="16"/>
        <v>1.413891447238951E-2</v>
      </c>
    </row>
    <row r="47" spans="1:27" s="29" customFormat="1">
      <c r="A47" s="28" t="s">
        <v>67</v>
      </c>
      <c r="B47" s="18" t="str">
        <f>VLOOKUP(A47,'Identidad de Codigos'!A:C,2,FALSE)</f>
        <v>ARTELM560034</v>
      </c>
      <c r="C47" s="81">
        <f>VLOOKUP(A47,'Identidad de Codigos'!A:C,3,FALSE)</f>
        <v>51988</v>
      </c>
      <c r="D47" s="18" t="s">
        <v>73</v>
      </c>
      <c r="E47" s="76">
        <v>43236</v>
      </c>
      <c r="F47" s="20" t="s">
        <v>13</v>
      </c>
      <c r="G47" s="20" t="s">
        <v>285</v>
      </c>
      <c r="H47" s="21">
        <f t="shared" si="9"/>
        <v>36000000</v>
      </c>
      <c r="I47" s="21">
        <f t="shared" si="10"/>
        <v>0</v>
      </c>
      <c r="J47" s="101">
        <v>36000000</v>
      </c>
      <c r="K47" s="101">
        <v>0</v>
      </c>
      <c r="L47" s="88"/>
      <c r="M47" s="22"/>
      <c r="N47" s="22">
        <f>VLOOKUP(A47,'Precios para Valuar'!$C:$L,5,FALSE)/100</f>
        <v>1.0533947574130686</v>
      </c>
      <c r="O47" s="23">
        <f t="shared" si="11"/>
        <v>37922211.266870469</v>
      </c>
      <c r="P47" s="23">
        <f t="shared" si="12"/>
        <v>1846261.5027687668</v>
      </c>
      <c r="Q47" s="26">
        <f>VLOOKUP(A47,'Precios para Valuar'!C:Z,6,FALSE)</f>
        <v>7.3966571240585754E-2</v>
      </c>
      <c r="R47" s="26">
        <f t="shared" si="13"/>
        <v>0.30209157124058572</v>
      </c>
      <c r="S47" s="27">
        <f>VLOOKUP(A47,'Precios para Valuar'!C:AC,9,FALSE)</f>
        <v>2.3132419984071742E-2</v>
      </c>
      <c r="T47" s="12">
        <f t="shared" ca="1" si="14"/>
        <v>8.943602025917579E-3</v>
      </c>
      <c r="U47" s="128"/>
      <c r="V47" s="77" t="str">
        <f>VLOOKUP(A47,'Precios para Valuar'!$C:$T,8,FALSE)</f>
        <v>devengado</v>
      </c>
      <c r="W47" s="77"/>
      <c r="X47" s="77" t="s">
        <v>326</v>
      </c>
      <c r="Y47" s="6"/>
      <c r="Z47" s="126">
        <f t="shared" ca="1" si="15"/>
        <v>2.7017867885599273E-3</v>
      </c>
      <c r="AA47" s="29">
        <f t="shared" ca="1" si="16"/>
        <v>2.0688715823392032E-4</v>
      </c>
    </row>
    <row r="48" spans="1:27" s="29" customFormat="1">
      <c r="A48" s="45" t="s">
        <v>75</v>
      </c>
      <c r="B48" s="18" t="str">
        <f>VLOOKUP(A48,'Identidad de Codigos'!A:C,2,FALSE)</f>
        <v>ARTCFA5600E6</v>
      </c>
      <c r="C48" s="81">
        <f>VLOOKUP(A48,'Identidad de Codigos'!A:C,3,FALSE)</f>
        <v>51863</v>
      </c>
      <c r="D48" s="18" t="s">
        <v>76</v>
      </c>
      <c r="E48" s="40">
        <v>43371</v>
      </c>
      <c r="F48" s="20" t="s">
        <v>13</v>
      </c>
      <c r="G48" s="20" t="s">
        <v>285</v>
      </c>
      <c r="H48" s="21">
        <f t="shared" si="9"/>
        <v>8500000</v>
      </c>
      <c r="I48" s="21">
        <f t="shared" si="10"/>
        <v>0</v>
      </c>
      <c r="J48" s="101">
        <v>8500000</v>
      </c>
      <c r="K48" s="101">
        <v>0</v>
      </c>
      <c r="L48" s="88"/>
      <c r="M48" s="22"/>
      <c r="N48" s="22">
        <f>VLOOKUP(A48,'Precios para Valuar'!$C:$L,5,FALSE)/100</f>
        <v>0.6828580575278288</v>
      </c>
      <c r="O48" s="23">
        <f t="shared" si="11"/>
        <v>5804293.4889865452</v>
      </c>
      <c r="P48" s="23">
        <f t="shared" si="12"/>
        <v>282584.88261862443</v>
      </c>
      <c r="Q48" s="26">
        <f>VLOOKUP(A48,'Precios para Valuar'!C:Z,6,FALSE)</f>
        <v>3.6517997107349681E-2</v>
      </c>
      <c r="R48" s="26">
        <f t="shared" si="13"/>
        <v>0.26464299710734968</v>
      </c>
      <c r="S48" s="27">
        <f>VLOOKUP(A48,'Precios para Valuar'!C:AC,9,FALSE)</f>
        <v>0.37736694245295704</v>
      </c>
      <c r="T48" s="12">
        <f t="shared" ca="1" si="14"/>
        <v>1.3688888193202733E-3</v>
      </c>
      <c r="U48" s="128"/>
      <c r="V48" s="77" t="str">
        <f>VLOOKUP(A48,'Precios para Valuar'!$C:$T,8,FALSE)</f>
        <v>devengado</v>
      </c>
      <c r="W48" s="77"/>
      <c r="X48" s="77" t="s">
        <v>321</v>
      </c>
      <c r="Z48" s="126">
        <f t="shared" ca="1" si="15"/>
        <v>3.6226683985165841E-4</v>
      </c>
      <c r="AA48" s="29">
        <f t="shared" ca="1" si="16"/>
        <v>5.1657338830492987E-4</v>
      </c>
    </row>
    <row r="49" spans="1:27" s="29" customFormat="1">
      <c r="A49" s="31" t="s">
        <v>30</v>
      </c>
      <c r="B49" s="18"/>
      <c r="C49" s="18"/>
      <c r="D49" s="18"/>
      <c r="E49" s="40"/>
      <c r="F49" s="20"/>
      <c r="G49" s="20"/>
      <c r="H49" s="21"/>
      <c r="I49" s="21"/>
      <c r="J49" s="88"/>
      <c r="K49" s="88"/>
      <c r="L49" s="88"/>
      <c r="M49" s="22"/>
      <c r="N49" s="22"/>
      <c r="O49" s="23"/>
      <c r="P49" s="23"/>
      <c r="Q49" s="26"/>
      <c r="R49" s="26"/>
      <c r="S49" s="27"/>
      <c r="T49" s="12"/>
      <c r="U49" s="23"/>
      <c r="V49" s="77"/>
      <c r="W49" s="77"/>
      <c r="X49" s="77"/>
    </row>
    <row r="50" spans="1:27" s="29" customFormat="1">
      <c r="A50" s="45" t="s">
        <v>46</v>
      </c>
      <c r="B50" s="18" t="str">
        <f>VLOOKUP(A50,'Identidad de Codigos'!A:C,2,FALSE)</f>
        <v>ARBHIP5600P1</v>
      </c>
      <c r="C50" s="81">
        <f>VLOOKUP(A50,'Identidad de Codigos'!A:C,3,FALSE)</f>
        <v>52435</v>
      </c>
      <c r="D50" s="18" t="s">
        <v>78</v>
      </c>
      <c r="E50" s="40">
        <v>43959</v>
      </c>
      <c r="F50" s="20" t="s">
        <v>33</v>
      </c>
      <c r="G50" s="20" t="s">
        <v>282</v>
      </c>
      <c r="H50" s="21">
        <f t="shared" si="9"/>
        <v>3276500</v>
      </c>
      <c r="I50" s="21">
        <f>H50-SUM(J50:L50)</f>
        <v>0</v>
      </c>
      <c r="J50" s="101">
        <v>3276500</v>
      </c>
      <c r="K50" s="101">
        <v>0</v>
      </c>
      <c r="L50" s="101"/>
      <c r="M50" s="22"/>
      <c r="N50" s="22">
        <f>VLOOKUP(A50,'Precios para Valuar'!$C:$L,5,FALSE)/100</f>
        <v>22.580411202960786</v>
      </c>
      <c r="O50" s="23">
        <f>H50*N50/100</f>
        <v>739847.17306501011</v>
      </c>
      <c r="P50" s="23">
        <f>O50/$N$98</f>
        <v>36019.823420886569</v>
      </c>
      <c r="Q50" s="26">
        <f>VLOOKUP(A50,'Precios para Valuar'!C:Z,6,FALSE)</f>
        <v>4.1593149096521564E-2</v>
      </c>
      <c r="R50" s="26">
        <f>+Q50+CER</f>
        <v>0.20259314909652157</v>
      </c>
      <c r="S50" s="27">
        <f>VLOOKUP(A50,'Precios para Valuar'!C:AC,9,FALSE)</f>
        <v>1.9184565868424461</v>
      </c>
      <c r="T50" s="12">
        <f ca="1">O50/$O$102</f>
        <v>1.7448609811617868E-4</v>
      </c>
      <c r="U50" s="128"/>
      <c r="V50" s="77" t="str">
        <f>VLOOKUP(A50,'Precios para Valuar'!$C:$T,8,FALSE)</f>
        <v>devengado</v>
      </c>
      <c r="W50" s="77"/>
      <c r="X50" s="77" t="s">
        <v>320</v>
      </c>
      <c r="Z50" s="126">
        <f ca="1">R50*T50</f>
        <v>3.5349688090921281E-5</v>
      </c>
      <c r="AA50" s="29">
        <f ca="1">S50*T50</f>
        <v>3.3474400424342033E-4</v>
      </c>
    </row>
    <row r="51" spans="1:27" s="29" customFormat="1">
      <c r="A51" s="45" t="s">
        <v>289</v>
      </c>
      <c r="B51" s="18" t="str">
        <f>VLOOKUP(A51,'Identidad de Codigos'!A:C,2,FALSE)</f>
        <v>ARBBOS560053</v>
      </c>
      <c r="C51" s="81">
        <f>VLOOKUP(A51,'Identidad de Codigos'!A:C,3,FALSE)</f>
        <v>11111</v>
      </c>
      <c r="D51" s="18" t="s">
        <v>78</v>
      </c>
      <c r="E51" s="40">
        <v>43959</v>
      </c>
      <c r="F51" s="20" t="s">
        <v>33</v>
      </c>
      <c r="G51" s="20" t="s">
        <v>282</v>
      </c>
      <c r="H51" s="21">
        <f t="shared" si="9"/>
        <v>1270795</v>
      </c>
      <c r="I51" s="21">
        <f>H51-SUM(J51:L51)</f>
        <v>0</v>
      </c>
      <c r="J51" s="101">
        <v>1155268</v>
      </c>
      <c r="K51" s="101">
        <v>115527</v>
      </c>
      <c r="L51" s="88"/>
      <c r="M51" s="22"/>
      <c r="N51" s="22">
        <f>VLOOKUP(A51,'Precios para Valuar'!$C:$L,5,FALSE)/100</f>
        <v>23.486538965193162</v>
      </c>
      <c r="O51" s="23">
        <f>H51*N51/100</f>
        <v>298465.76284272643</v>
      </c>
      <c r="P51" s="23">
        <f>O51/$N$98</f>
        <v>14530.952426617645</v>
      </c>
      <c r="Q51" s="26">
        <f>VLOOKUP(A51,'Precios para Valuar'!C:Z,6,FALSE)</f>
        <v>3.5694337054590797E-2</v>
      </c>
      <c r="R51" s="26">
        <f>+Q51+CER</f>
        <v>0.1966943370545908</v>
      </c>
      <c r="S51" s="27">
        <f>VLOOKUP(A51,'Precios para Valuar'!C:AC,9,FALSE)</f>
        <v>1.6548992352556791</v>
      </c>
      <c r="T51" s="12">
        <f ca="1">O51/$O$102</f>
        <v>7.0390383684172021E-5</v>
      </c>
      <c r="U51" s="128"/>
      <c r="V51" s="77" t="str">
        <f>VLOOKUP(A51,'Precios para Valuar'!$C:$T,8,FALSE)</f>
        <v>devengado</v>
      </c>
      <c r="W51" s="77"/>
      <c r="X51" s="77"/>
      <c r="Y51" s="6"/>
      <c r="Z51" s="126">
        <f ca="1">R51*T51</f>
        <v>1.3845389853776501E-5</v>
      </c>
      <c r="AA51" s="29">
        <f ca="1">S51*T51</f>
        <v>1.1648899212829011E-4</v>
      </c>
    </row>
    <row r="52" spans="1:27" s="29" customFormat="1" ht="15" customHeight="1">
      <c r="A52" s="46" t="s">
        <v>79</v>
      </c>
      <c r="B52" s="32"/>
      <c r="C52" s="32"/>
      <c r="D52" s="32"/>
      <c r="E52" s="33"/>
      <c r="F52" s="32"/>
      <c r="G52" s="32"/>
      <c r="H52" s="34"/>
      <c r="I52" s="34"/>
      <c r="J52" s="34"/>
      <c r="K52" s="34"/>
      <c r="L52" s="34"/>
      <c r="M52" s="35"/>
      <c r="N52" s="35"/>
      <c r="O52" s="47"/>
      <c r="P52" s="47"/>
      <c r="Q52" s="48"/>
      <c r="R52" s="48"/>
      <c r="S52" s="49"/>
      <c r="T52" s="50"/>
      <c r="U52" s="23"/>
      <c r="V52" s="77"/>
      <c r="W52" s="77"/>
      <c r="X52" s="77"/>
    </row>
    <row r="53" spans="1:27" s="29" customFormat="1" ht="15" customHeight="1">
      <c r="A53" s="45" t="s">
        <v>181</v>
      </c>
      <c r="B53" s="18"/>
      <c r="C53" s="18"/>
      <c r="D53" s="18">
        <v>1.9E-2</v>
      </c>
      <c r="E53" s="40">
        <v>43276</v>
      </c>
      <c r="F53" s="20" t="s">
        <v>36</v>
      </c>
      <c r="G53" s="20" t="s">
        <v>79</v>
      </c>
      <c r="H53" s="21">
        <v>430000</v>
      </c>
      <c r="I53" s="21"/>
      <c r="J53" s="93">
        <v>43186</v>
      </c>
      <c r="K53" s="101"/>
      <c r="L53" s="101"/>
      <c r="M53" s="22"/>
      <c r="N53" s="22"/>
      <c r="O53" s="23">
        <f t="shared" ref="O53:O70" si="34">H53*(1+D53/365*("27/04/2018"-J53))</f>
        <v>430693.89041095891</v>
      </c>
      <c r="P53" s="23">
        <f>+O53</f>
        <v>430693.89041095891</v>
      </c>
      <c r="Q53" s="51">
        <f>+D53+Dev</f>
        <v>0.15819999999999998</v>
      </c>
      <c r="R53" s="51">
        <f t="shared" ref="R53" si="35">+Q53</f>
        <v>0.15819999999999998</v>
      </c>
      <c r="S53" s="27">
        <f>((E53-"28/03/2018")/365)/(1+Q53)</f>
        <v>0.21052980179447089</v>
      </c>
      <c r="T53" s="12">
        <f t="shared" ref="T53:T70" ca="1" si="36">O53/$O$102</f>
        <v>1.0157516194723891E-4</v>
      </c>
      <c r="U53" s="87"/>
      <c r="V53" s="77" t="s">
        <v>273</v>
      </c>
      <c r="W53" s="77"/>
      <c r="X53" s="77"/>
      <c r="Z53" s="126">
        <f t="shared" ref="Z53:Z70" ca="1" si="37">R53*T53</f>
        <v>1.6069190620053194E-5</v>
      </c>
      <c r="AA53" s="29">
        <f t="shared" ref="AA53:AA70" ca="1" si="38">S53*T53</f>
        <v>2.1384598711993489E-5</v>
      </c>
    </row>
    <row r="54" spans="1:27" s="29" customFormat="1" ht="15" customHeight="1">
      <c r="A54" s="45" t="str">
        <f>+'Pos PF Sura'!C2</f>
        <v>BANCO ITAU ARGENTINA SA</v>
      </c>
      <c r="B54" s="18"/>
      <c r="C54" s="18"/>
      <c r="D54" s="18">
        <v>0.25900000000000001</v>
      </c>
      <c r="E54" s="40">
        <v>43543</v>
      </c>
      <c r="F54" s="20" t="s">
        <v>80</v>
      </c>
      <c r="G54" s="20" t="s">
        <v>79</v>
      </c>
      <c r="H54" s="21">
        <v>65000000</v>
      </c>
      <c r="I54" s="21"/>
      <c r="J54" s="93">
        <v>43181</v>
      </c>
      <c r="K54" s="88"/>
      <c r="L54" s="88"/>
      <c r="M54" s="22"/>
      <c r="N54" s="22"/>
      <c r="O54" s="23">
        <f t="shared" si="34"/>
        <v>66660438.356164381</v>
      </c>
      <c r="P54" s="23">
        <f t="shared" ref="P54:P70" si="39">O54/$N$98</f>
        <v>3245396.2198716835</v>
      </c>
      <c r="Q54" s="51">
        <f t="shared" ref="Q54:Q70" si="40">+D54</f>
        <v>0.25900000000000001</v>
      </c>
      <c r="R54" s="51">
        <f t="shared" ref="R54:R60" si="41">+Q54</f>
        <v>0.25900000000000001</v>
      </c>
      <c r="S54" s="27">
        <f t="shared" ref="S54:S70" si="42">((E54-"28/03/2018")/365)/(1+Q54)</f>
        <v>0.77469616024894739</v>
      </c>
      <c r="T54" s="12">
        <f t="shared" ca="1" si="36"/>
        <v>1.5721246509999356E-2</v>
      </c>
      <c r="U54" s="23"/>
      <c r="V54" s="77" t="s">
        <v>273</v>
      </c>
      <c r="W54" s="77"/>
      <c r="X54" s="77"/>
      <c r="Z54" s="126">
        <f t="shared" ca="1" si="37"/>
        <v>4.0718028460898338E-3</v>
      </c>
      <c r="AA54" s="29">
        <f t="shared" ca="1" si="38"/>
        <v>1.2179189305623667E-2</v>
      </c>
    </row>
    <row r="55" spans="1:27" s="29" customFormat="1" ht="15" customHeight="1">
      <c r="A55" s="45" t="str">
        <f>+'Pos PF Sura'!C5</f>
        <v>BCO.PATAGONIA SA</v>
      </c>
      <c r="B55" s="18"/>
      <c r="C55" s="18"/>
      <c r="D55" s="18">
        <f>+'Pos PF Sura'!I5/100</f>
        <v>0.2225</v>
      </c>
      <c r="E55" s="40">
        <f>+'Pos PF Sura'!E5</f>
        <v>43230</v>
      </c>
      <c r="F55" s="20" t="s">
        <v>80</v>
      </c>
      <c r="G55" s="20" t="s">
        <v>79</v>
      </c>
      <c r="H55" s="21">
        <v>8333000</v>
      </c>
      <c r="I55" s="21"/>
      <c r="J55" s="93">
        <v>42872</v>
      </c>
      <c r="K55" s="88"/>
      <c r="L55" s="88"/>
      <c r="M55" s="22"/>
      <c r="N55" s="22"/>
      <c r="O55" s="23">
        <f t="shared" si="34"/>
        <v>10085498.39041096</v>
      </c>
      <c r="P55" s="23">
        <f t="shared" si="39"/>
        <v>491017.44841338659</v>
      </c>
      <c r="Q55" s="51">
        <f t="shared" si="40"/>
        <v>0.2225</v>
      </c>
      <c r="R55" s="51">
        <f t="shared" si="41"/>
        <v>0.2225</v>
      </c>
      <c r="S55" s="27">
        <f t="shared" si="42"/>
        <v>9.6366641454463969E-2</v>
      </c>
      <c r="T55" s="12">
        <f t="shared" ca="1" si="36"/>
        <v>2.3785713127881043E-3</v>
      </c>
      <c r="U55" s="23"/>
      <c r="V55" s="77" t="s">
        <v>273</v>
      </c>
      <c r="W55" s="77"/>
      <c r="X55" s="77"/>
      <c r="Z55" s="126">
        <f t="shared" ca="1" si="37"/>
        <v>5.2923211709535319E-4</v>
      </c>
      <c r="AA55" s="29">
        <f t="shared" ca="1" si="38"/>
        <v>2.2921492887332493E-4</v>
      </c>
    </row>
    <row r="56" spans="1:27" s="29" customFormat="1" ht="15" customHeight="1">
      <c r="A56" s="45" t="str">
        <f>+'Pos PF Sura'!C6</f>
        <v>BCO.PATAGONIA SA</v>
      </c>
      <c r="B56" s="18"/>
      <c r="C56" s="18"/>
      <c r="D56" s="18">
        <v>0.26</v>
      </c>
      <c r="E56" s="40">
        <v>43389</v>
      </c>
      <c r="F56" s="20" t="s">
        <v>80</v>
      </c>
      <c r="G56" s="20" t="s">
        <v>79</v>
      </c>
      <c r="H56" s="21">
        <v>120000000</v>
      </c>
      <c r="I56" s="21"/>
      <c r="J56" s="93">
        <v>43209</v>
      </c>
      <c r="K56" s="88"/>
      <c r="L56" s="88"/>
      <c r="M56" s="22"/>
      <c r="N56" s="22"/>
      <c r="O56" s="23">
        <f t="shared" si="34"/>
        <v>120683835.61643836</v>
      </c>
      <c r="P56" s="23">
        <f t="shared" si="39"/>
        <v>5875551.88006029</v>
      </c>
      <c r="Q56" s="51">
        <f t="shared" si="40"/>
        <v>0.26</v>
      </c>
      <c r="R56" s="51">
        <f t="shared" si="41"/>
        <v>0.26</v>
      </c>
      <c r="S56" s="27">
        <f t="shared" si="42"/>
        <v>0.43922591867797345</v>
      </c>
      <c r="T56" s="12">
        <f t="shared" ca="1" si="36"/>
        <v>2.846216401039937E-2</v>
      </c>
      <c r="U56" s="28"/>
      <c r="V56" s="77" t="s">
        <v>273</v>
      </c>
      <c r="W56" s="77"/>
      <c r="X56" s="77"/>
      <c r="Z56" s="126">
        <f t="shared" ca="1" si="37"/>
        <v>7.4001626427038364E-3</v>
      </c>
      <c r="AA56" s="29">
        <f t="shared" ca="1" si="38"/>
        <v>1.2501320135030816E-2</v>
      </c>
    </row>
    <row r="57" spans="1:27" s="29" customFormat="1" ht="15" customHeight="1">
      <c r="A57" s="45" t="str">
        <f>+'Pos PF Sura'!C7</f>
        <v>BBVA BANCO FRANCES SA</v>
      </c>
      <c r="B57" s="18"/>
      <c r="C57" s="18"/>
      <c r="D57" s="18">
        <f>+'Pos PF Sura'!I7/100</f>
        <v>0.27</v>
      </c>
      <c r="E57" s="40">
        <f>+'Pos PF Sura'!E7</f>
        <v>43416</v>
      </c>
      <c r="F57" s="20" t="s">
        <v>80</v>
      </c>
      <c r="G57" s="20" t="s">
        <v>79</v>
      </c>
      <c r="H57" s="21">
        <v>60973000</v>
      </c>
      <c r="I57" s="21"/>
      <c r="J57" s="93">
        <v>43054</v>
      </c>
      <c r="K57" s="101"/>
      <c r="L57" s="101"/>
      <c r="M57" s="22"/>
      <c r="N57" s="22"/>
      <c r="O57" s="23">
        <f t="shared" si="34"/>
        <v>68324840.356164381</v>
      </c>
      <c r="P57" s="23">
        <f t="shared" si="39"/>
        <v>3326428.4496672046</v>
      </c>
      <c r="Q57" s="51">
        <f t="shared" ref="Q57" si="43">+D57</f>
        <v>0.27</v>
      </c>
      <c r="R57" s="51">
        <f t="shared" ref="R57" si="44">+Q57</f>
        <v>0.27</v>
      </c>
      <c r="S57" s="27">
        <f t="shared" ref="S57" si="45">((E57-"28/03/2018")/365)/(1+Q57)</f>
        <v>0.49401359076690754</v>
      </c>
      <c r="T57" s="12">
        <f t="shared" ca="1" si="36"/>
        <v>1.6113780294339769E-2</v>
      </c>
      <c r="U57" s="87"/>
      <c r="V57" s="77" t="s">
        <v>273</v>
      </c>
      <c r="W57" s="77"/>
      <c r="X57" s="77"/>
      <c r="Z57" s="126">
        <f t="shared" ca="1" si="37"/>
        <v>4.3507206794717382E-3</v>
      </c>
      <c r="AA57" s="29">
        <f t="shared" ca="1" si="38"/>
        <v>7.960426464035825E-3</v>
      </c>
    </row>
    <row r="58" spans="1:27" s="29" customFormat="1" ht="15" customHeight="1">
      <c r="A58" s="45" t="str">
        <f>+'Pos PF Sura'!C7</f>
        <v>BBVA BANCO FRANCES SA</v>
      </c>
      <c r="B58" s="18"/>
      <c r="C58" s="18"/>
      <c r="D58" s="18">
        <f>+'Pos PF Sura'!I7/100</f>
        <v>0.27</v>
      </c>
      <c r="E58" s="40">
        <f>+'Pos PF Sura'!E7</f>
        <v>43416</v>
      </c>
      <c r="F58" s="20" t="s">
        <v>80</v>
      </c>
      <c r="G58" s="20" t="s">
        <v>79</v>
      </c>
      <c r="H58" s="21">
        <v>40000000</v>
      </c>
      <c r="I58" s="21"/>
      <c r="J58" s="93">
        <v>43055</v>
      </c>
      <c r="K58" s="88"/>
      <c r="L58" s="88"/>
      <c r="M58" s="22"/>
      <c r="N58" s="22"/>
      <c r="O58" s="23">
        <f t="shared" si="34"/>
        <v>44793424.657534249</v>
      </c>
      <c r="P58" s="23">
        <f t="shared" si="39"/>
        <v>2180789.9054300999</v>
      </c>
      <c r="Q58" s="51">
        <f t="shared" si="40"/>
        <v>0.27</v>
      </c>
      <c r="R58" s="51">
        <f t="shared" si="41"/>
        <v>0.27</v>
      </c>
      <c r="S58" s="27">
        <f t="shared" si="42"/>
        <v>0.49401359076690754</v>
      </c>
      <c r="T58" s="12">
        <f t="shared" ca="1" si="36"/>
        <v>1.0564114014756673E-2</v>
      </c>
      <c r="U58" s="28"/>
      <c r="V58" s="77" t="s">
        <v>273</v>
      </c>
      <c r="W58" s="77"/>
      <c r="X58" s="77"/>
      <c r="Z58" s="126">
        <f t="shared" ca="1" si="37"/>
        <v>2.8523107839843018E-3</v>
      </c>
      <c r="AA58" s="29">
        <f t="shared" ca="1" si="38"/>
        <v>5.2188158977009552E-3</v>
      </c>
    </row>
    <row r="59" spans="1:27" s="29" customFormat="1" ht="15" customHeight="1">
      <c r="A59" s="45" t="str">
        <f>+'Pos PF Sura'!C8</f>
        <v>BBVA BANCO FRANCES SA</v>
      </c>
      <c r="B59" s="18"/>
      <c r="C59" s="18"/>
      <c r="D59" s="18">
        <f>+'Pos PF Sura'!I8/100</f>
        <v>0.27</v>
      </c>
      <c r="E59" s="40">
        <f>+'Pos PF Sura'!E8</f>
        <v>43416</v>
      </c>
      <c r="F59" s="20" t="s">
        <v>80</v>
      </c>
      <c r="G59" s="20" t="s">
        <v>79</v>
      </c>
      <c r="H59" s="21">
        <v>40000000</v>
      </c>
      <c r="I59" s="21"/>
      <c r="J59" s="93">
        <v>43055</v>
      </c>
      <c r="K59" s="88"/>
      <c r="L59" s="88"/>
      <c r="M59" s="22"/>
      <c r="N59" s="22"/>
      <c r="O59" s="23">
        <f t="shared" si="34"/>
        <v>44793424.657534249</v>
      </c>
      <c r="P59" s="23">
        <f t="shared" si="39"/>
        <v>2180789.9054300999</v>
      </c>
      <c r="Q59" s="51">
        <f t="shared" si="40"/>
        <v>0.27</v>
      </c>
      <c r="R59" s="51">
        <f t="shared" si="41"/>
        <v>0.27</v>
      </c>
      <c r="S59" s="27">
        <f t="shared" si="42"/>
        <v>0.49401359076690754</v>
      </c>
      <c r="T59" s="12">
        <f t="shared" ca="1" si="36"/>
        <v>1.0564114014756673E-2</v>
      </c>
      <c r="U59" s="28"/>
      <c r="V59" s="77" t="s">
        <v>273</v>
      </c>
      <c r="W59" s="77"/>
      <c r="X59" s="77"/>
      <c r="Z59" s="126">
        <f t="shared" ca="1" si="37"/>
        <v>2.8523107839843018E-3</v>
      </c>
      <c r="AA59" s="29">
        <f t="shared" ca="1" si="38"/>
        <v>5.2188158977009552E-3</v>
      </c>
    </row>
    <row r="60" spans="1:27" s="29" customFormat="1" ht="15" customHeight="1">
      <c r="A60" s="45" t="str">
        <f>+'Pos PF Sura'!C9</f>
        <v>BCO.PATAGONIA SA</v>
      </c>
      <c r="B60" s="18"/>
      <c r="C60" s="18"/>
      <c r="D60" s="18">
        <f>+'Pos PF Sura'!I9/100</f>
        <v>0.26899999999999996</v>
      </c>
      <c r="E60" s="40">
        <f>+'Pos PF Sura'!E9</f>
        <v>43432</v>
      </c>
      <c r="F60" s="20" t="s">
        <v>80</v>
      </c>
      <c r="G60" s="20" t="s">
        <v>79</v>
      </c>
      <c r="H60" s="21">
        <v>13880000</v>
      </c>
      <c r="I60" s="21"/>
      <c r="J60" s="93">
        <v>43067</v>
      </c>
      <c r="K60" s="88"/>
      <c r="L60" s="88"/>
      <c r="M60" s="22"/>
      <c r="N60" s="22"/>
      <c r="O60" s="23">
        <f t="shared" si="34"/>
        <v>15414405.479452053</v>
      </c>
      <c r="P60" s="23">
        <f t="shared" si="39"/>
        <v>750457.91039201815</v>
      </c>
      <c r="Q60" s="51">
        <f t="shared" si="40"/>
        <v>0.26899999999999996</v>
      </c>
      <c r="R60" s="51">
        <f t="shared" si="41"/>
        <v>0.26899999999999996</v>
      </c>
      <c r="S60" s="27">
        <f t="shared" si="42"/>
        <v>0.52894631734620079</v>
      </c>
      <c r="T60" s="12">
        <f t="shared" ca="1" si="36"/>
        <v>3.6353446560427678E-3</v>
      </c>
      <c r="U60" s="28"/>
      <c r="V60" s="77" t="s">
        <v>273</v>
      </c>
      <c r="W60" s="77"/>
      <c r="X60" s="77"/>
      <c r="Z60" s="126">
        <f t="shared" ca="1" si="37"/>
        <v>9.7790771247550446E-4</v>
      </c>
      <c r="AA60" s="29">
        <f t="shared" ca="1" si="38"/>
        <v>1.9229021680980129E-3</v>
      </c>
    </row>
    <row r="61" spans="1:27" s="29" customFormat="1" ht="15" customHeight="1">
      <c r="A61" s="45" t="s">
        <v>271</v>
      </c>
      <c r="B61" s="18"/>
      <c r="C61" s="18"/>
      <c r="D61" s="18">
        <v>0.27</v>
      </c>
      <c r="E61" s="40">
        <v>43479</v>
      </c>
      <c r="F61" s="20" t="s">
        <v>80</v>
      </c>
      <c r="G61" s="20" t="s">
        <v>79</v>
      </c>
      <c r="H61" s="21">
        <v>16100000</v>
      </c>
      <c r="I61" s="21"/>
      <c r="J61" s="93">
        <v>43118</v>
      </c>
      <c r="K61" s="88"/>
      <c r="L61" s="88"/>
      <c r="M61" s="22"/>
      <c r="N61" s="22"/>
      <c r="O61" s="23">
        <f t="shared" si="34"/>
        <v>17279049.315068491</v>
      </c>
      <c r="P61" s="23">
        <f t="shared" si="39"/>
        <v>841239.01241813495</v>
      </c>
      <c r="Q61" s="51">
        <f t="shared" si="40"/>
        <v>0.27</v>
      </c>
      <c r="R61" s="51">
        <f t="shared" ref="R61:R62" si="46">+Q61</f>
        <v>0.27</v>
      </c>
      <c r="S61" s="27">
        <f t="shared" si="42"/>
        <v>0.62992125984251968</v>
      </c>
      <c r="T61" s="12">
        <f t="shared" ca="1" si="36"/>
        <v>4.0751036212696434E-3</v>
      </c>
      <c r="U61" s="87"/>
      <c r="V61" s="77" t="s">
        <v>273</v>
      </c>
      <c r="W61" s="77"/>
      <c r="X61" s="77"/>
      <c r="Z61" s="126">
        <f t="shared" ca="1" si="37"/>
        <v>1.1002779777428038E-3</v>
      </c>
      <c r="AA61" s="29">
        <f t="shared" ca="1" si="38"/>
        <v>2.5669944070989882E-3</v>
      </c>
    </row>
    <row r="62" spans="1:27" s="29" customFormat="1" ht="15" customHeight="1">
      <c r="A62" s="45" t="s">
        <v>271</v>
      </c>
      <c r="B62" s="18"/>
      <c r="C62" s="18"/>
      <c r="D62" s="18">
        <v>0.26800000000000002</v>
      </c>
      <c r="E62" s="40">
        <v>43486</v>
      </c>
      <c r="F62" s="20" t="s">
        <v>80</v>
      </c>
      <c r="G62" s="20" t="s">
        <v>79</v>
      </c>
      <c r="H62" s="21">
        <v>22000000</v>
      </c>
      <c r="I62" s="21"/>
      <c r="J62" s="93">
        <v>43126</v>
      </c>
      <c r="K62" s="88"/>
      <c r="L62" s="88"/>
      <c r="M62" s="22"/>
      <c r="N62" s="22"/>
      <c r="O62" s="23">
        <f t="shared" si="34"/>
        <v>23469961.643835619</v>
      </c>
      <c r="P62" s="23">
        <f t="shared" si="39"/>
        <v>1142646.6233610332</v>
      </c>
      <c r="Q62" s="51">
        <f t="shared" si="40"/>
        <v>0.26800000000000002</v>
      </c>
      <c r="R62" s="51">
        <f t="shared" si="46"/>
        <v>0.26800000000000002</v>
      </c>
      <c r="S62" s="27">
        <f t="shared" si="42"/>
        <v>0.64603949699667251</v>
      </c>
      <c r="T62" s="12">
        <f t="shared" ca="1" si="36"/>
        <v>5.5351729103780877E-3</v>
      </c>
      <c r="U62" s="87"/>
      <c r="V62" s="77" t="s">
        <v>273</v>
      </c>
      <c r="W62" s="77"/>
      <c r="X62" s="77"/>
      <c r="Z62" s="126">
        <f t="shared" ca="1" si="37"/>
        <v>1.4834263399813275E-3</v>
      </c>
      <c r="AA62" s="29">
        <f t="shared" ca="1" si="38"/>
        <v>3.5759403228102678E-3</v>
      </c>
    </row>
    <row r="63" spans="1:27" s="29" customFormat="1" ht="15" customHeight="1">
      <c r="A63" s="45" t="s">
        <v>330</v>
      </c>
      <c r="B63" s="18"/>
      <c r="C63" s="18"/>
      <c r="D63" s="18">
        <v>0.255</v>
      </c>
      <c r="E63" s="40">
        <v>43362</v>
      </c>
      <c r="F63" s="20" t="s">
        <v>80</v>
      </c>
      <c r="G63" s="20" t="s">
        <v>79</v>
      </c>
      <c r="H63" s="21">
        <v>40000000</v>
      </c>
      <c r="I63" s="21"/>
      <c r="J63" s="93">
        <v>43182</v>
      </c>
      <c r="K63" s="101"/>
      <c r="L63" s="101"/>
      <c r="M63" s="22"/>
      <c r="N63" s="22"/>
      <c r="O63" s="23">
        <f t="shared" si="34"/>
        <v>40978082.191780828</v>
      </c>
      <c r="P63" s="23">
        <f t="shared" si="39"/>
        <v>1995038.0813914717</v>
      </c>
      <c r="Q63" s="51">
        <f t="shared" ref="Q63" si="47">+D63</f>
        <v>0.255</v>
      </c>
      <c r="R63" s="51">
        <f t="shared" ref="R63" si="48">+Q63</f>
        <v>0.255</v>
      </c>
      <c r="S63" s="27">
        <f t="shared" ref="S63" si="49">((E63-"28/03/2018")/365)/(1+Q63)</f>
        <v>0.38203350979643075</v>
      </c>
      <c r="T63" s="12">
        <f t="shared" ca="1" si="36"/>
        <v>9.6643008586580446E-3</v>
      </c>
      <c r="U63" s="87"/>
      <c r="V63" s="77" t="s">
        <v>273</v>
      </c>
      <c r="W63" s="77"/>
      <c r="X63" s="77"/>
      <c r="Z63" s="126">
        <f t="shared" ca="1" si="37"/>
        <v>2.4643967189578015E-3</v>
      </c>
      <c r="AA63" s="29">
        <f t="shared" ca="1" si="38"/>
        <v>3.6920867767617923E-3</v>
      </c>
    </row>
    <row r="64" spans="1:27" s="29" customFormat="1" ht="15" customHeight="1">
      <c r="A64" s="45" t="s">
        <v>293</v>
      </c>
      <c r="B64" s="18"/>
      <c r="C64" s="18"/>
      <c r="D64" s="18">
        <v>0.26250000000000001</v>
      </c>
      <c r="E64" s="40">
        <v>43523</v>
      </c>
      <c r="F64" s="20" t="s">
        <v>80</v>
      </c>
      <c r="G64" s="20" t="s">
        <v>79</v>
      </c>
      <c r="H64" s="21">
        <v>60000000</v>
      </c>
      <c r="I64" s="21"/>
      <c r="J64" s="93">
        <v>43160</v>
      </c>
      <c r="K64" s="101"/>
      <c r="L64" s="101"/>
      <c r="M64" s="22"/>
      <c r="N64" s="22"/>
      <c r="O64" s="23">
        <f t="shared" si="34"/>
        <v>62459589.04109589</v>
      </c>
      <c r="P64" s="23">
        <f t="shared" si="39"/>
        <v>3040875.8053113874</v>
      </c>
      <c r="Q64" s="51">
        <f t="shared" ref="Q64" si="50">+D64</f>
        <v>0.26250000000000001</v>
      </c>
      <c r="R64" s="51">
        <f t="shared" ref="R64" si="51">+Q64</f>
        <v>0.26250000000000001</v>
      </c>
      <c r="S64" s="27">
        <f t="shared" ref="S64" si="52">((E64-"28/03/2018")/365)/(1+Q64)</f>
        <v>0.72914688729146893</v>
      </c>
      <c r="T64" s="12">
        <f t="shared" ca="1" si="36"/>
        <v>1.4730515136756796E-2</v>
      </c>
      <c r="U64" s="87"/>
      <c r="V64" s="77" t="s">
        <v>273</v>
      </c>
      <c r="W64" s="77"/>
      <c r="X64" s="77"/>
      <c r="Z64" s="126">
        <f t="shared" ca="1" si="37"/>
        <v>3.8667602233986593E-3</v>
      </c>
      <c r="AA64" s="29">
        <f t="shared" ca="1" si="38"/>
        <v>1.0740709260166084E-2</v>
      </c>
    </row>
    <row r="65" spans="1:27" s="29" customFormat="1" ht="15" customHeight="1">
      <c r="A65" s="45" t="s">
        <v>293</v>
      </c>
      <c r="B65" s="18"/>
      <c r="C65" s="18"/>
      <c r="D65" s="18">
        <v>0.22500000000000001</v>
      </c>
      <c r="E65" s="40">
        <v>43243</v>
      </c>
      <c r="F65" s="20" t="s">
        <v>80</v>
      </c>
      <c r="G65" s="20" t="s">
        <v>79</v>
      </c>
      <c r="H65" s="21">
        <v>11135370.02</v>
      </c>
      <c r="I65" s="21"/>
      <c r="J65" s="93">
        <v>43213</v>
      </c>
      <c r="K65" s="101"/>
      <c r="L65" s="101"/>
      <c r="M65" s="22"/>
      <c r="N65" s="22"/>
      <c r="O65" s="23">
        <f t="shared" si="34"/>
        <v>11162827.096761642</v>
      </c>
      <c r="P65" s="23">
        <f t="shared" si="39"/>
        <v>543467.72622987546</v>
      </c>
      <c r="Q65" s="51">
        <f t="shared" ref="Q65" si="53">+D65</f>
        <v>0.22500000000000001</v>
      </c>
      <c r="R65" s="51">
        <f t="shared" ref="R65" si="54">+Q65</f>
        <v>0.22500000000000001</v>
      </c>
      <c r="S65" s="27">
        <f t="shared" ref="S65" si="55">((E65-"28/03/2018")/365)/(1+Q65)</f>
        <v>0.12524461839530332</v>
      </c>
      <c r="T65" s="12">
        <f t="shared" ca="1" si="36"/>
        <v>2.6326493024098389E-3</v>
      </c>
      <c r="U65" s="87"/>
      <c r="V65" s="77" t="s">
        <v>273</v>
      </c>
      <c r="W65" s="77"/>
      <c r="X65" s="77"/>
      <c r="Z65" s="126">
        <f t="shared" ca="1" si="37"/>
        <v>5.923460930422138E-4</v>
      </c>
      <c r="AA65" s="29">
        <f t="shared" ca="1" si="38"/>
        <v>3.2972515724898174E-4</v>
      </c>
    </row>
    <row r="66" spans="1:27" s="29" customFormat="1" ht="15" customHeight="1">
      <c r="A66" s="45" t="s">
        <v>270</v>
      </c>
      <c r="B66" s="18"/>
      <c r="C66" s="18"/>
      <c r="D66" s="18">
        <v>0.27250000000000002</v>
      </c>
      <c r="E66" s="40">
        <v>43475</v>
      </c>
      <c r="F66" s="20" t="s">
        <v>80</v>
      </c>
      <c r="G66" s="20" t="s">
        <v>79</v>
      </c>
      <c r="H66" s="21">
        <v>40710721.549999997</v>
      </c>
      <c r="I66" s="21"/>
      <c r="J66" s="93">
        <v>43115</v>
      </c>
      <c r="K66" s="88"/>
      <c r="L66" s="88"/>
      <c r="M66" s="22"/>
      <c r="N66" s="22"/>
      <c r="O66" s="23">
        <f t="shared" si="34"/>
        <v>43810870.880088352</v>
      </c>
      <c r="P66" s="23">
        <f t="shared" si="39"/>
        <v>2132953.7916303971</v>
      </c>
      <c r="Q66" s="51">
        <f t="shared" si="40"/>
        <v>0.27250000000000002</v>
      </c>
      <c r="R66" s="51">
        <f t="shared" ref="R66:R70" si="56">+Q66</f>
        <v>0.27250000000000002</v>
      </c>
      <c r="S66" s="27">
        <f t="shared" si="42"/>
        <v>0.62007158812605967</v>
      </c>
      <c r="T66" s="12">
        <f t="shared" ca="1" si="36"/>
        <v>1.0332387813647323E-2</v>
      </c>
      <c r="U66" s="87"/>
      <c r="V66" s="77" t="s">
        <v>100</v>
      </c>
      <c r="W66" s="77"/>
      <c r="X66" s="77"/>
      <c r="Z66" s="126">
        <f t="shared" ca="1" si="37"/>
        <v>2.8155756792188958E-3</v>
      </c>
      <c r="AA66" s="29">
        <f t="shared" ca="1" si="38"/>
        <v>6.4068201207426413E-3</v>
      </c>
    </row>
    <row r="67" spans="1:27" s="29" customFormat="1" ht="15" customHeight="1">
      <c r="A67" s="45" t="s">
        <v>293</v>
      </c>
      <c r="B67" s="18"/>
      <c r="C67" s="18"/>
      <c r="D67" s="18">
        <v>0.26250000000000001</v>
      </c>
      <c r="E67" s="40">
        <v>43523</v>
      </c>
      <c r="F67" s="20" t="s">
        <v>80</v>
      </c>
      <c r="G67" s="20" t="s">
        <v>79</v>
      </c>
      <c r="H67" s="21">
        <v>15000000</v>
      </c>
      <c r="I67" s="21"/>
      <c r="J67" s="93">
        <v>43160</v>
      </c>
      <c r="K67" s="101"/>
      <c r="L67" s="101"/>
      <c r="M67" s="22"/>
      <c r="N67" s="22"/>
      <c r="O67" s="23">
        <f t="shared" si="34"/>
        <v>15614897.260273973</v>
      </c>
      <c r="P67" s="23">
        <f t="shared" si="39"/>
        <v>760218.95132784685</v>
      </c>
      <c r="Q67" s="51">
        <f t="shared" ref="Q67" si="57">+D67</f>
        <v>0.26250000000000001</v>
      </c>
      <c r="R67" s="51">
        <f t="shared" ref="R67" si="58">+Q67</f>
        <v>0.26250000000000001</v>
      </c>
      <c r="S67" s="27">
        <f t="shared" ref="S67" si="59">((E67-"28/03/2018")/365)/(1+Q67)</f>
        <v>0.72914688729146893</v>
      </c>
      <c r="T67" s="12">
        <f t="shared" ca="1" si="36"/>
        <v>3.6826287841891991E-3</v>
      </c>
      <c r="U67" s="87"/>
      <c r="V67" s="77" t="s">
        <v>100</v>
      </c>
      <c r="W67" s="77"/>
      <c r="X67" s="77"/>
      <c r="Z67" s="126">
        <f t="shared" ca="1" si="37"/>
        <v>9.6669005584966482E-4</v>
      </c>
      <c r="AA67" s="29">
        <f t="shared" ca="1" si="38"/>
        <v>2.685177315041521E-3</v>
      </c>
    </row>
    <row r="68" spans="1:27" s="29" customFormat="1" ht="15" customHeight="1">
      <c r="A68" s="45" t="s">
        <v>269</v>
      </c>
      <c r="B68" s="18"/>
      <c r="C68" s="18"/>
      <c r="D68" s="18">
        <v>0.27750000000000002</v>
      </c>
      <c r="E68" s="40">
        <v>43461</v>
      </c>
      <c r="F68" s="20" t="s">
        <v>80</v>
      </c>
      <c r="G68" s="20" t="s">
        <v>79</v>
      </c>
      <c r="H68" s="21">
        <v>2700000</v>
      </c>
      <c r="I68" s="21"/>
      <c r="J68" s="93">
        <v>43096</v>
      </c>
      <c r="K68" s="88"/>
      <c r="L68" s="88"/>
      <c r="M68" s="22"/>
      <c r="N68" s="22"/>
      <c r="O68" s="23">
        <f t="shared" si="34"/>
        <v>2948381.506849315</v>
      </c>
      <c r="P68" s="23">
        <f t="shared" si="39"/>
        <v>143543.40344933374</v>
      </c>
      <c r="Q68" s="51">
        <f t="shared" si="40"/>
        <v>0.27750000000000002</v>
      </c>
      <c r="R68" s="51">
        <f t="shared" si="56"/>
        <v>0.27750000000000002</v>
      </c>
      <c r="S68" s="27">
        <f t="shared" si="42"/>
        <v>0.58762029863549847</v>
      </c>
      <c r="T68" s="12">
        <f t="shared" ca="1" si="36"/>
        <v>6.9534844981131215E-4</v>
      </c>
      <c r="U68" s="87"/>
      <c r="V68" s="77" t="s">
        <v>100</v>
      </c>
      <c r="W68" s="77"/>
      <c r="X68" s="77"/>
      <c r="Z68" s="126">
        <f t="shared" ca="1" si="37"/>
        <v>1.9295919482263915E-4</v>
      </c>
      <c r="AA68" s="29">
        <f t="shared" ca="1" si="38"/>
        <v>4.0860086373385414E-4</v>
      </c>
    </row>
    <row r="69" spans="1:27" s="29" customFormat="1" ht="15" customHeight="1">
      <c r="A69" s="45" t="s">
        <v>269</v>
      </c>
      <c r="B69" s="18"/>
      <c r="C69" s="18"/>
      <c r="D69" s="18">
        <v>0.27750000000000002</v>
      </c>
      <c r="E69" s="40">
        <v>43451</v>
      </c>
      <c r="F69" s="20" t="s">
        <v>80</v>
      </c>
      <c r="G69" s="20" t="s">
        <v>79</v>
      </c>
      <c r="H69" s="21">
        <v>5000000</v>
      </c>
      <c r="I69" s="21"/>
      <c r="J69" s="93">
        <v>43089</v>
      </c>
      <c r="K69" s="88"/>
      <c r="L69" s="88"/>
      <c r="M69" s="22"/>
      <c r="N69" s="22"/>
      <c r="O69" s="23">
        <f t="shared" si="34"/>
        <v>5486575.3424657537</v>
      </c>
      <c r="P69" s="23">
        <f t="shared" si="39"/>
        <v>267116.61842579133</v>
      </c>
      <c r="Q69" s="51">
        <f t="shared" si="40"/>
        <v>0.27750000000000002</v>
      </c>
      <c r="R69" s="51">
        <f t="shared" si="56"/>
        <v>0.27750000000000002</v>
      </c>
      <c r="S69" s="27">
        <f t="shared" si="42"/>
        <v>0.56617430233493282</v>
      </c>
      <c r="T69" s="12">
        <f t="shared" ca="1" si="36"/>
        <v>1.2939579393961757E-3</v>
      </c>
      <c r="U69" s="87"/>
      <c r="V69" s="77" t="s">
        <v>100</v>
      </c>
      <c r="W69" s="77"/>
      <c r="X69" s="77"/>
      <c r="Z69" s="126">
        <f t="shared" ca="1" si="37"/>
        <v>3.5907332818243881E-4</v>
      </c>
      <c r="AA69" s="29">
        <f t="shared" ca="1" si="38"/>
        <v>7.3260573358837711E-4</v>
      </c>
    </row>
    <row r="70" spans="1:27" s="29" customFormat="1" ht="15" customHeight="1">
      <c r="A70" s="45" t="s">
        <v>31</v>
      </c>
      <c r="B70" s="18"/>
      <c r="C70" s="18"/>
      <c r="D70" s="18">
        <v>0.26900000000000002</v>
      </c>
      <c r="E70" s="40">
        <v>43431</v>
      </c>
      <c r="F70" s="20" t="s">
        <v>80</v>
      </c>
      <c r="G70" s="20" t="s">
        <v>79</v>
      </c>
      <c r="H70" s="21">
        <v>5000000</v>
      </c>
      <c r="I70" s="21"/>
      <c r="J70" s="93">
        <v>43066</v>
      </c>
      <c r="K70" s="88"/>
      <c r="L70" s="88"/>
      <c r="M70" s="22"/>
      <c r="N70" s="22"/>
      <c r="O70" s="23">
        <f t="shared" si="34"/>
        <v>5556424.6575342473</v>
      </c>
      <c r="P70" s="23">
        <f t="shared" si="39"/>
        <v>270517.26667644829</v>
      </c>
      <c r="Q70" s="51">
        <f t="shared" si="40"/>
        <v>0.26900000000000002</v>
      </c>
      <c r="R70" s="51">
        <f t="shared" si="56"/>
        <v>0.26900000000000002</v>
      </c>
      <c r="S70" s="27">
        <f t="shared" si="42"/>
        <v>0.52678735278560396</v>
      </c>
      <c r="T70" s="12">
        <f t="shared" ca="1" si="36"/>
        <v>1.3104312529210462E-3</v>
      </c>
      <c r="U70" s="87"/>
      <c r="V70" s="77" t="s">
        <v>100</v>
      </c>
      <c r="W70" s="77"/>
      <c r="X70" s="77"/>
      <c r="Z70" s="126">
        <f t="shared" ca="1" si="37"/>
        <v>3.5250600703576145E-4</v>
      </c>
      <c r="AA70" s="29">
        <f t="shared" ca="1" si="38"/>
        <v>6.9031861073380022E-4</v>
      </c>
    </row>
    <row r="71" spans="1:27" s="29" customFormat="1" ht="15" customHeight="1">
      <c r="A71" s="32" t="s">
        <v>82</v>
      </c>
      <c r="B71" s="48"/>
      <c r="C71" s="48"/>
      <c r="D71" s="48"/>
      <c r="E71" s="33"/>
      <c r="F71" s="48"/>
      <c r="G71" s="48"/>
      <c r="H71" s="34"/>
      <c r="I71" s="34"/>
      <c r="J71" s="34"/>
      <c r="K71" s="34"/>
      <c r="L71" s="34"/>
      <c r="M71" s="35"/>
      <c r="N71" s="35"/>
      <c r="O71" s="52"/>
      <c r="P71" s="52"/>
      <c r="Q71" s="48"/>
      <c r="R71" s="48"/>
      <c r="S71" s="49"/>
      <c r="T71" s="53"/>
      <c r="U71" s="28"/>
      <c r="V71" s="77"/>
      <c r="W71" s="77"/>
      <c r="X71" s="77"/>
    </row>
    <row r="72" spans="1:27" s="29" customFormat="1" ht="15" customHeight="1">
      <c r="A72" s="28" t="s">
        <v>74</v>
      </c>
      <c r="B72" s="20"/>
      <c r="C72" s="20"/>
      <c r="D72" s="20"/>
      <c r="E72" s="40"/>
      <c r="F72" s="20" t="s">
        <v>80</v>
      </c>
      <c r="G72" s="20" t="s">
        <v>309</v>
      </c>
      <c r="H72" s="21">
        <f t="shared" si="9"/>
        <v>30387166</v>
      </c>
      <c r="I72" s="21"/>
      <c r="J72" s="101">
        <v>28068546</v>
      </c>
      <c r="K72" s="101">
        <v>2318620</v>
      </c>
      <c r="L72" s="88"/>
      <c r="M72" s="22"/>
      <c r="N72" s="22">
        <f ca="1">OFFSET(FCI!$A$1,12-1,MATCH(A72,FCI!$1:$1,0)-1)</f>
        <v>8.0433760000000003</v>
      </c>
      <c r="O72" s="23">
        <f t="shared" ref="O72:O78" ca="1" si="60">+H72*N72</f>
        <v>244415401.71241602</v>
      </c>
      <c r="P72" s="23">
        <f t="shared" ref="P72:P78" ca="1" si="61">O72/$N$98</f>
        <v>11899484.017157547</v>
      </c>
      <c r="Q72" s="12"/>
      <c r="R72" s="12"/>
      <c r="S72" s="27"/>
      <c r="T72" s="12">
        <f t="shared" ref="T72:T78" ca="1" si="62">O72/$O$102</f>
        <v>5.7643107004952315E-2</v>
      </c>
      <c r="U72" s="28"/>
      <c r="V72" s="77"/>
      <c r="W72" s="77"/>
      <c r="X72" s="77"/>
      <c r="Y72" s="6"/>
      <c r="Z72" s="126">
        <f t="shared" ref="Z72:Z78" ca="1" si="63">R72*T72</f>
        <v>0</v>
      </c>
      <c r="AA72" s="29">
        <f t="shared" ref="AA72:AA78" ca="1" si="64">S72*T72</f>
        <v>0</v>
      </c>
    </row>
    <row r="73" spans="1:27" s="29" customFormat="1" ht="15" customHeight="1">
      <c r="A73" s="28" t="s">
        <v>43</v>
      </c>
      <c r="B73" s="20"/>
      <c r="C73" s="20"/>
      <c r="D73" s="20"/>
      <c r="E73" s="40"/>
      <c r="F73" s="20" t="s">
        <v>36</v>
      </c>
      <c r="G73" s="20" t="s">
        <v>309</v>
      </c>
      <c r="H73" s="21">
        <f t="shared" si="9"/>
        <v>916792</v>
      </c>
      <c r="I73" s="21"/>
      <c r="J73" s="101">
        <v>909059</v>
      </c>
      <c r="K73" s="101">
        <v>7733</v>
      </c>
      <c r="L73" s="88"/>
      <c r="M73" s="22"/>
      <c r="N73" s="22">
        <f ca="1">OFFSET(FCI!$A$1,12-1,MATCH(A73,FCI!$1:$1,0)-1)</f>
        <v>1.044109</v>
      </c>
      <c r="O73" s="23">
        <f t="shared" ca="1" si="60"/>
        <v>957230.77832799999</v>
      </c>
      <c r="P73" s="23">
        <f t="shared" ca="1" si="61"/>
        <v>46603.251135735154</v>
      </c>
      <c r="Q73" s="12"/>
      <c r="R73" s="12"/>
      <c r="S73" s="27"/>
      <c r="T73" s="12">
        <f t="shared" ca="1" si="62"/>
        <v>2.2575400648653857E-4</v>
      </c>
      <c r="U73" s="30"/>
      <c r="V73" s="77"/>
      <c r="W73" s="77"/>
      <c r="X73" s="77"/>
      <c r="Y73" s="6"/>
      <c r="Z73" s="126">
        <f t="shared" ca="1" si="63"/>
        <v>0</v>
      </c>
      <c r="AA73" s="29">
        <f t="shared" ca="1" si="64"/>
        <v>0</v>
      </c>
    </row>
    <row r="74" spans="1:27" ht="15" customHeight="1">
      <c r="A74" s="28" t="s">
        <v>25</v>
      </c>
      <c r="B74" s="20"/>
      <c r="C74" s="20"/>
      <c r="D74" s="20"/>
      <c r="E74" s="40"/>
      <c r="F74" s="20" t="s">
        <v>80</v>
      </c>
      <c r="G74" s="20" t="s">
        <v>309</v>
      </c>
      <c r="H74" s="21">
        <f t="shared" si="9"/>
        <v>0</v>
      </c>
      <c r="I74" s="21"/>
      <c r="J74" s="101">
        <v>0</v>
      </c>
      <c r="K74" s="101">
        <v>0</v>
      </c>
      <c r="L74" s="88"/>
      <c r="M74" s="22"/>
      <c r="N74" s="22">
        <f ca="1">OFFSET(FCI!$A$1,12-1,MATCH(A74,FCI!$1:$1,0)-1)</f>
        <v>7.2389929999999998</v>
      </c>
      <c r="O74" s="23">
        <f t="shared" ca="1" si="60"/>
        <v>0</v>
      </c>
      <c r="P74" s="23">
        <f t="shared" ca="1" si="61"/>
        <v>0</v>
      </c>
      <c r="Q74" s="12"/>
      <c r="R74" s="12"/>
      <c r="S74" s="27"/>
      <c r="T74" s="12">
        <f t="shared" ca="1" si="62"/>
        <v>0</v>
      </c>
      <c r="U74" s="30"/>
      <c r="V74" s="77"/>
      <c r="W74" s="77"/>
      <c r="X74" s="77"/>
      <c r="Z74" s="126">
        <f t="shared" ca="1" si="63"/>
        <v>0</v>
      </c>
      <c r="AA74" s="29">
        <f t="shared" ca="1" si="64"/>
        <v>0</v>
      </c>
    </row>
    <row r="75" spans="1:27" s="29" customFormat="1" ht="15" customHeight="1">
      <c r="A75" s="129" t="s">
        <v>83</v>
      </c>
      <c r="B75" s="20"/>
      <c r="C75" s="20"/>
      <c r="D75" s="20"/>
      <c r="E75" s="40"/>
      <c r="F75" s="20" t="s">
        <v>80</v>
      </c>
      <c r="G75" s="20" t="s">
        <v>309</v>
      </c>
      <c r="H75" s="21">
        <f t="shared" si="9"/>
        <v>34351.519999999997</v>
      </c>
      <c r="I75" s="21"/>
      <c r="J75" s="101">
        <v>0</v>
      </c>
      <c r="K75" s="101">
        <v>34351.519999999997</v>
      </c>
      <c r="L75" s="88"/>
      <c r="M75" s="22"/>
      <c r="N75" s="22">
        <f ca="1">OFFSET(FCI!$A$1,12-1,MATCH(A75,FCI!$1:$1,0)-1)</f>
        <v>7.0748239999999996</v>
      </c>
      <c r="O75" s="23">
        <f t="shared" ca="1" si="60"/>
        <v>243030.95813247995</v>
      </c>
      <c r="P75" s="23">
        <f t="shared" ca="1" si="61"/>
        <v>11832.081700704965</v>
      </c>
      <c r="Q75" s="12"/>
      <c r="R75" s="12"/>
      <c r="S75" s="27"/>
      <c r="T75" s="12">
        <f t="shared" ca="1" si="62"/>
        <v>5.7316598819046451E-5</v>
      </c>
      <c r="U75" s="30"/>
      <c r="V75" s="77"/>
      <c r="W75" s="77"/>
      <c r="X75" s="77"/>
      <c r="Z75" s="126">
        <f t="shared" ca="1" si="63"/>
        <v>0</v>
      </c>
      <c r="AA75" s="29">
        <f t="shared" ca="1" si="64"/>
        <v>0</v>
      </c>
    </row>
    <row r="76" spans="1:27" s="29" customFormat="1" ht="15" customHeight="1">
      <c r="A76" s="28" t="s">
        <v>84</v>
      </c>
      <c r="B76" s="20"/>
      <c r="C76" s="20"/>
      <c r="D76" s="20"/>
      <c r="E76" s="40"/>
      <c r="F76" s="20" t="s">
        <v>80</v>
      </c>
      <c r="G76" s="20" t="s">
        <v>309</v>
      </c>
      <c r="H76" s="21">
        <f t="shared" si="9"/>
        <v>0</v>
      </c>
      <c r="I76" s="21"/>
      <c r="J76" s="101">
        <v>0</v>
      </c>
      <c r="K76" s="101">
        <v>0</v>
      </c>
      <c r="L76" s="88"/>
      <c r="M76" s="22"/>
      <c r="N76" s="22">
        <f ca="1">OFFSET(FCI!$A$1,12-1,MATCH(A76,FCI!$1:$1,0)-1)</f>
        <v>4.3505529999999997</v>
      </c>
      <c r="O76" s="23">
        <f t="shared" ca="1" si="60"/>
        <v>0</v>
      </c>
      <c r="P76" s="23">
        <f t="shared" ca="1" si="61"/>
        <v>0</v>
      </c>
      <c r="Q76" s="12"/>
      <c r="R76" s="12"/>
      <c r="S76" s="27"/>
      <c r="T76" s="12">
        <f t="shared" ca="1" si="62"/>
        <v>0</v>
      </c>
      <c r="U76" s="30"/>
      <c r="V76" s="77"/>
      <c r="W76" s="77"/>
      <c r="X76" s="77"/>
      <c r="Z76" s="126">
        <f t="shared" ca="1" si="63"/>
        <v>0</v>
      </c>
      <c r="AA76" s="29">
        <f t="shared" ca="1" si="64"/>
        <v>0</v>
      </c>
    </row>
    <row r="77" spans="1:27" s="29" customFormat="1" ht="15" customHeight="1">
      <c r="A77" s="28" t="s">
        <v>38</v>
      </c>
      <c r="B77" s="20"/>
      <c r="C77" s="20"/>
      <c r="D77" s="20"/>
      <c r="E77" s="40"/>
      <c r="F77" s="20" t="s">
        <v>80</v>
      </c>
      <c r="G77" s="20" t="s">
        <v>309</v>
      </c>
      <c r="H77" s="21">
        <f t="shared" si="9"/>
        <v>0</v>
      </c>
      <c r="I77" s="21"/>
      <c r="J77" s="101">
        <v>0</v>
      </c>
      <c r="K77" s="101">
        <v>0</v>
      </c>
      <c r="L77" s="88"/>
      <c r="M77" s="22"/>
      <c r="N77" s="22">
        <f ca="1">OFFSET(FCI!$A$1,12-1,MATCH(A77,FCI!$1:$1,0)-1)</f>
        <v>6.3594359999999996</v>
      </c>
      <c r="O77" s="23">
        <f t="shared" ca="1" si="60"/>
        <v>0</v>
      </c>
      <c r="P77" s="23">
        <f t="shared" ca="1" si="61"/>
        <v>0</v>
      </c>
      <c r="Q77" s="12"/>
      <c r="R77" s="12"/>
      <c r="S77" s="27"/>
      <c r="T77" s="12">
        <f t="shared" ca="1" si="62"/>
        <v>0</v>
      </c>
      <c r="U77" s="30"/>
      <c r="V77" s="77"/>
      <c r="W77" s="77"/>
      <c r="X77" s="77"/>
      <c r="Z77" s="126">
        <f t="shared" ca="1" si="63"/>
        <v>0</v>
      </c>
      <c r="AA77" s="29">
        <f t="shared" ca="1" si="64"/>
        <v>0</v>
      </c>
    </row>
    <row r="78" spans="1:27" ht="15" customHeight="1">
      <c r="A78" s="28" t="s">
        <v>85</v>
      </c>
      <c r="B78" s="20"/>
      <c r="C78" s="20"/>
      <c r="D78" s="20"/>
      <c r="E78" s="40"/>
      <c r="F78" s="20" t="s">
        <v>80</v>
      </c>
      <c r="G78" s="20" t="s">
        <v>309</v>
      </c>
      <c r="H78" s="21">
        <f t="shared" si="9"/>
        <v>7826</v>
      </c>
      <c r="I78" s="21"/>
      <c r="J78" s="101">
        <v>7826</v>
      </c>
      <c r="K78" s="101">
        <v>0</v>
      </c>
      <c r="L78" s="88"/>
      <c r="M78" s="22"/>
      <c r="N78" s="22">
        <f ca="1">OFFSET(FCI!$A$1,12-1,MATCH(A78,FCI!$1:$1,0)-1)</f>
        <v>4.2624430000000002</v>
      </c>
      <c r="O78" s="23">
        <f t="shared" ca="1" si="60"/>
        <v>33357.878918000002</v>
      </c>
      <c r="P78" s="23">
        <f t="shared" ca="1" si="61"/>
        <v>1624.0447379746838</v>
      </c>
      <c r="Q78" s="12"/>
      <c r="R78" s="12"/>
      <c r="S78" s="27"/>
      <c r="T78" s="12">
        <f t="shared" ca="1" si="62"/>
        <v>7.8671465482808748E-6</v>
      </c>
      <c r="U78" s="21"/>
      <c r="V78" s="77"/>
      <c r="W78" s="77"/>
      <c r="X78" s="77"/>
      <c r="Z78" s="126">
        <f t="shared" ca="1" si="63"/>
        <v>0</v>
      </c>
      <c r="AA78" s="29">
        <f t="shared" ca="1" si="64"/>
        <v>0</v>
      </c>
    </row>
    <row r="79" spans="1:27" ht="15" customHeight="1">
      <c r="A79" s="32" t="s">
        <v>86</v>
      </c>
      <c r="B79" s="32"/>
      <c r="C79" s="32"/>
      <c r="D79" s="32"/>
      <c r="E79" s="33"/>
      <c r="F79" s="32"/>
      <c r="G79" s="32"/>
      <c r="H79" s="34"/>
      <c r="I79" s="34"/>
      <c r="J79" s="34"/>
      <c r="K79" s="34"/>
      <c r="L79" s="34"/>
      <c r="M79" s="35"/>
      <c r="N79" s="35"/>
      <c r="O79" s="34"/>
      <c r="P79" s="34"/>
      <c r="Q79" s="37"/>
      <c r="R79" s="37"/>
      <c r="S79" s="38"/>
      <c r="T79" s="53"/>
      <c r="U79" s="30"/>
      <c r="V79" s="77"/>
      <c r="W79" s="77"/>
      <c r="X79" s="77"/>
    </row>
    <row r="80" spans="1:27" ht="15" customHeight="1">
      <c r="A80" s="54" t="s">
        <v>82</v>
      </c>
      <c r="B80" s="20"/>
      <c r="C80" s="20"/>
      <c r="D80" s="20"/>
      <c r="E80" s="40"/>
      <c r="F80" s="20"/>
      <c r="G80" s="20"/>
      <c r="H80" s="21"/>
      <c r="I80" s="21"/>
      <c r="J80" s="21"/>
      <c r="K80" s="21"/>
      <c r="L80" s="21"/>
      <c r="M80" s="22"/>
      <c r="N80" s="22"/>
      <c r="O80" s="23"/>
      <c r="P80" s="23"/>
      <c r="Q80" s="12"/>
      <c r="R80" s="12"/>
      <c r="S80" s="27"/>
      <c r="T80" s="12"/>
      <c r="U80" s="30"/>
      <c r="V80" s="77"/>
      <c r="W80" s="77"/>
      <c r="X80" s="77"/>
    </row>
    <row r="81" spans="1:27" ht="15" customHeight="1">
      <c r="A81" s="28" t="s">
        <v>340</v>
      </c>
      <c r="B81" s="20"/>
      <c r="C81" s="20"/>
      <c r="D81" s="20"/>
      <c r="E81" s="40"/>
      <c r="F81" s="20" t="s">
        <v>13</v>
      </c>
      <c r="G81" s="20" t="s">
        <v>309</v>
      </c>
      <c r="H81" s="21">
        <f t="shared" ref="H81:H82" si="65">SUM(J81:K81)</f>
        <v>7599584</v>
      </c>
      <c r="I81" s="21"/>
      <c r="J81" s="101">
        <v>7523358</v>
      </c>
      <c r="K81" s="101">
        <v>76226</v>
      </c>
      <c r="L81" s="88"/>
      <c r="M81" s="22"/>
      <c r="N81" s="22">
        <f ca="1">OFFSET(FCI!$A$1,12-1,MATCH(A81,FCI!$1:$1,0)-1)</f>
        <v>0.67918800000000001</v>
      </c>
      <c r="O81" s="23">
        <f ca="1">+H81*N81</f>
        <v>5161546.2577919997</v>
      </c>
      <c r="P81" s="23">
        <f ca="1">O81/$N$98</f>
        <v>251292.41761402143</v>
      </c>
      <c r="Q81" s="12"/>
      <c r="R81" s="12"/>
      <c r="S81" s="27"/>
      <c r="T81" s="12">
        <f ca="1">O81/$O$102</f>
        <v>1.2173028424738643E-3</v>
      </c>
      <c r="U81" s="30"/>
      <c r="V81" s="77"/>
      <c r="W81" s="77"/>
      <c r="X81" s="77" t="s">
        <v>328</v>
      </c>
      <c r="Z81" s="126">
        <f ca="1">R81*T81</f>
        <v>0</v>
      </c>
      <c r="AA81" s="29">
        <f ca="1">S81*T81</f>
        <v>0</v>
      </c>
    </row>
    <row r="82" spans="1:27" ht="15" customHeight="1">
      <c r="A82" s="28" t="s">
        <v>61</v>
      </c>
      <c r="B82" s="18"/>
      <c r="C82" s="18"/>
      <c r="D82" s="18"/>
      <c r="E82" s="19"/>
      <c r="F82" s="20" t="s">
        <v>13</v>
      </c>
      <c r="G82" s="20" t="s">
        <v>309</v>
      </c>
      <c r="H82" s="21">
        <f t="shared" si="65"/>
        <v>19203.004399999976</v>
      </c>
      <c r="I82" s="21"/>
      <c r="J82" s="101">
        <v>1163.5558000002056</v>
      </c>
      <c r="K82" s="101">
        <v>18039.448599999771</v>
      </c>
      <c r="L82" s="88"/>
      <c r="M82" s="22"/>
      <c r="N82" s="22">
        <f ca="1">OFFSET(FCI!$A$1,12-1,MATCH(A82,FCI!$1:$1,0)-1)</f>
        <v>3.5369769999999998</v>
      </c>
      <c r="O82" s="23">
        <f ca="1">+H82*N82</f>
        <v>67920.584893698717</v>
      </c>
      <c r="P82" s="23">
        <f ca="1">O82/$N$98</f>
        <v>3306.7470736951664</v>
      </c>
      <c r="Q82" s="12"/>
      <c r="R82" s="12"/>
      <c r="S82" s="27"/>
      <c r="T82" s="12">
        <f ca="1">O82/$O$102</f>
        <v>1.6018440390565362E-5</v>
      </c>
      <c r="U82" s="30"/>
      <c r="V82" s="77"/>
      <c r="W82" s="77"/>
      <c r="X82" s="77" t="s">
        <v>329</v>
      </c>
      <c r="Z82" s="126">
        <f ca="1">R82*T82</f>
        <v>0</v>
      </c>
      <c r="AA82" s="29">
        <f ca="1">S82*T82</f>
        <v>0</v>
      </c>
    </row>
    <row r="83" spans="1:27" ht="15" customHeight="1">
      <c r="A83" s="54" t="s">
        <v>88</v>
      </c>
      <c r="B83" s="18"/>
      <c r="C83" s="18"/>
      <c r="D83" s="18"/>
      <c r="E83" s="19"/>
      <c r="F83" s="20"/>
      <c r="G83" s="20"/>
      <c r="H83" s="21"/>
      <c r="I83" s="21"/>
      <c r="J83" s="21"/>
      <c r="K83" s="21"/>
      <c r="L83" s="21"/>
      <c r="M83" s="22"/>
      <c r="N83" s="22"/>
      <c r="O83" s="23"/>
      <c r="P83" s="23"/>
      <c r="Q83" s="12"/>
      <c r="R83" s="12"/>
      <c r="S83" s="27"/>
      <c r="T83" s="12"/>
      <c r="U83" s="30"/>
      <c r="V83" s="77"/>
      <c r="W83" s="77"/>
      <c r="X83" s="77"/>
    </row>
    <row r="84" spans="1:27" ht="15" customHeight="1">
      <c r="A84" s="28" t="s">
        <v>89</v>
      </c>
      <c r="B84" s="18" t="str">
        <f>VLOOKUP(A84,'Identidad de Codigos'!A:C,2,FALSE)</f>
        <v>ARIPSA050207</v>
      </c>
      <c r="C84" s="81">
        <f>VLOOKUP(A84,'Identidad de Codigos'!A:C,3,FALSE)</f>
        <v>38678</v>
      </c>
      <c r="D84" s="18">
        <v>3.7400000000000003E-2</v>
      </c>
      <c r="E84" s="55"/>
      <c r="F84" s="20" t="s">
        <v>13</v>
      </c>
      <c r="G84" s="20" t="s">
        <v>294</v>
      </c>
      <c r="H84" s="21">
        <f t="shared" ref="H84:H89" si="66">SUM(J84:K84)</f>
        <v>19000000</v>
      </c>
      <c r="I84" s="21">
        <f t="shared" ref="I84:I89" si="67">H84-SUM(J84:L84)</f>
        <v>0</v>
      </c>
      <c r="J84" s="101">
        <v>19000000</v>
      </c>
      <c r="K84" s="101">
        <v>0</v>
      </c>
      <c r="L84" s="88"/>
      <c r="M84" s="22"/>
      <c r="N84" s="22">
        <v>0</v>
      </c>
      <c r="O84" s="23">
        <f>+H84*N84</f>
        <v>0</v>
      </c>
      <c r="P84" s="23">
        <f t="shared" ref="P84:P89" si="68">O84/$N$98</f>
        <v>0</v>
      </c>
      <c r="Q84" s="12"/>
      <c r="R84" s="12"/>
      <c r="S84" s="27"/>
      <c r="T84" s="12">
        <f t="shared" ref="T84:T89" ca="1" si="69">O84/$O$102</f>
        <v>0</v>
      </c>
      <c r="U84" s="128"/>
      <c r="V84" s="77"/>
      <c r="W84" s="77"/>
      <c r="X84" s="77" t="s">
        <v>327</v>
      </c>
      <c r="Z84" s="126">
        <f t="shared" ref="Z84:Z89" ca="1" si="70">R84*T84</f>
        <v>0</v>
      </c>
      <c r="AA84" s="29">
        <f t="shared" ref="AA84:AA89" ca="1" si="71">S84*T84</f>
        <v>0</v>
      </c>
    </row>
    <row r="85" spans="1:27" ht="15" customHeight="1">
      <c r="A85" s="28" t="s">
        <v>90</v>
      </c>
      <c r="B85" s="18" t="str">
        <f>VLOOKUP(A85,'Identidad de Codigos'!A:C,2,FALSE)</f>
        <v>ARIPSA050215</v>
      </c>
      <c r="C85" s="81">
        <f>VLOOKUP(A85,'Identidad de Codigos'!A:C,3,FALSE)</f>
        <v>38679</v>
      </c>
      <c r="D85" s="18">
        <v>0.03</v>
      </c>
      <c r="E85" s="55"/>
      <c r="F85" s="20" t="s">
        <v>13</v>
      </c>
      <c r="G85" s="20" t="s">
        <v>294</v>
      </c>
      <c r="H85" s="21">
        <f t="shared" si="66"/>
        <v>4270000</v>
      </c>
      <c r="I85" s="21">
        <f t="shared" si="67"/>
        <v>0</v>
      </c>
      <c r="J85" s="101">
        <v>3700000</v>
      </c>
      <c r="K85" s="101">
        <v>570000</v>
      </c>
      <c r="L85" s="88"/>
      <c r="M85" s="22"/>
      <c r="N85" s="22">
        <v>0</v>
      </c>
      <c r="O85" s="23">
        <f t="shared" ref="O85:O89" si="72">+H85*N85</f>
        <v>0</v>
      </c>
      <c r="P85" s="23">
        <f t="shared" si="68"/>
        <v>0</v>
      </c>
      <c r="Q85" s="12"/>
      <c r="R85" s="12"/>
      <c r="S85" s="27"/>
      <c r="T85" s="12">
        <f t="shared" ca="1" si="69"/>
        <v>0</v>
      </c>
      <c r="U85" s="128"/>
      <c r="V85" s="77"/>
      <c r="W85" s="77"/>
      <c r="X85" s="77" t="s">
        <v>327</v>
      </c>
      <c r="Z85" s="126">
        <f t="shared" ca="1" si="70"/>
        <v>0</v>
      </c>
      <c r="AA85" s="29">
        <f t="shared" ca="1" si="71"/>
        <v>0</v>
      </c>
    </row>
    <row r="86" spans="1:27" ht="15" customHeight="1">
      <c r="A86" s="28" t="s">
        <v>295</v>
      </c>
      <c r="B86" s="18" t="str">
        <f>VLOOKUP(A86,'Identidad de Codigos'!A:C,2,FALSE)</f>
        <v>ARYPFS560010</v>
      </c>
      <c r="C86" s="81">
        <f>VLOOKUP(A86,'Identidad de Codigos'!A:C,3,FALSE)</f>
        <v>50108</v>
      </c>
      <c r="D86" s="18">
        <v>4.7399999999999998E-2</v>
      </c>
      <c r="E86" s="55">
        <v>43871</v>
      </c>
      <c r="F86" s="20" t="s">
        <v>13</v>
      </c>
      <c r="G86" s="20" t="s">
        <v>294</v>
      </c>
      <c r="H86" s="21">
        <f t="shared" si="66"/>
        <v>35855000</v>
      </c>
      <c r="I86" s="21">
        <f t="shared" si="67"/>
        <v>0</v>
      </c>
      <c r="J86" s="101">
        <v>29755000</v>
      </c>
      <c r="K86" s="101">
        <v>6100000</v>
      </c>
      <c r="L86" s="88"/>
      <c r="M86" s="22"/>
      <c r="N86" s="22">
        <f>VLOOKUP(A86,'Precios para Valuar'!$C:$L,5,FALSE)/100</f>
        <v>1.0544700203022861</v>
      </c>
      <c r="O86" s="23">
        <f t="shared" si="72"/>
        <v>37808022.577938467</v>
      </c>
      <c r="P86" s="23">
        <f t="shared" si="68"/>
        <v>1840702.1702988544</v>
      </c>
      <c r="Q86" s="26">
        <f>VLOOKUP(A86,'Precios para Valuar'!C:Z,6,FALSE)</f>
        <v>3.8831633198620347E-2</v>
      </c>
      <c r="R86" s="26">
        <f>+Q86+Badlar</f>
        <v>0.26695663319862034</v>
      </c>
      <c r="S86" s="27">
        <f>VLOOKUP(A86,'Precios para Valuar'!C:AC,9,FALSE)</f>
        <v>1.3126407245748026</v>
      </c>
      <c r="T86" s="12">
        <f t="shared" ca="1" si="69"/>
        <v>8.9166716820491213E-3</v>
      </c>
      <c r="U86" s="128"/>
      <c r="V86" s="77" t="str">
        <f>VLOOKUP(A86,'Precios para Valuar'!$C:$T,8,FALSE)</f>
        <v>devengado</v>
      </c>
      <c r="W86" s="77"/>
      <c r="X86" s="77" t="s">
        <v>320</v>
      </c>
      <c r="Z86" s="126">
        <f t="shared" ca="1" si="70"/>
        <v>2.3803646515773123E-3</v>
      </c>
      <c r="AA86" s="29">
        <f t="shared" ca="1" si="71"/>
        <v>1.1704386377520583E-2</v>
      </c>
    </row>
    <row r="87" spans="1:27" ht="15" customHeight="1">
      <c r="A87" s="28" t="s">
        <v>296</v>
      </c>
      <c r="B87" s="18" t="str">
        <f>VLOOKUP(A87,'Identidad de Codigos'!A:C,2,FALSE)</f>
        <v>ARPANE560055</v>
      </c>
      <c r="C87" s="81">
        <f>VLOOKUP(A87,'Identidad de Codigos'!A:C,3,FALSE)</f>
        <v>51035</v>
      </c>
      <c r="D87" s="18" t="s">
        <v>91</v>
      </c>
      <c r="E87" s="55">
        <v>44155</v>
      </c>
      <c r="F87" s="20" t="s">
        <v>13</v>
      </c>
      <c r="G87" s="20" t="s">
        <v>294</v>
      </c>
      <c r="H87" s="21">
        <f t="shared" si="66"/>
        <v>7344309</v>
      </c>
      <c r="I87" s="21">
        <f t="shared" si="67"/>
        <v>0</v>
      </c>
      <c r="J87" s="101">
        <v>7344309</v>
      </c>
      <c r="K87" s="101">
        <v>0</v>
      </c>
      <c r="L87" s="88"/>
      <c r="M87" s="22"/>
      <c r="N87" s="22">
        <f>VLOOKUP(A87,'Precios para Valuar'!$C:$L,5,FALSE)/100</f>
        <v>0.9806664817154026</v>
      </c>
      <c r="O87" s="23">
        <f t="shared" si="72"/>
        <v>7202317.6676607672</v>
      </c>
      <c r="P87" s="23">
        <f t="shared" si="68"/>
        <v>350648.37719867419</v>
      </c>
      <c r="Q87" s="26">
        <f>VLOOKUP(A87,'Precios para Valuar'!C:Z,6,FALSE)</f>
        <v>3.6648215191852324E-2</v>
      </c>
      <c r="R87" s="26">
        <f>+Q87+Badlar</f>
        <v>0.26477321519185232</v>
      </c>
      <c r="S87" s="27">
        <f>VLOOKUP(A87,'Precios para Valuar'!C:AC,9,FALSE)</f>
        <v>1.6886049150902367</v>
      </c>
      <c r="T87" s="12">
        <f t="shared" ca="1" si="69"/>
        <v>1.698599863559819E-3</v>
      </c>
      <c r="U87" s="128"/>
      <c r="V87" s="77" t="str">
        <f>VLOOKUP(A87,'Precios para Valuar'!$C:$T,8,FALSE)</f>
        <v>devengado</v>
      </c>
      <c r="W87" s="77"/>
      <c r="X87" s="77" t="s">
        <v>326</v>
      </c>
      <c r="Z87" s="126">
        <f t="shared" ca="1" si="70"/>
        <v>4.4974374719917494E-4</v>
      </c>
      <c r="AA87" s="29">
        <f t="shared" ca="1" si="71"/>
        <v>2.868264078378716E-3</v>
      </c>
    </row>
    <row r="88" spans="1:27" ht="15" customHeight="1">
      <c r="A88" s="28" t="s">
        <v>297</v>
      </c>
      <c r="B88" s="18" t="str">
        <f>VLOOKUP(A88,'Identidad de Codigos'!A:C,2,FALSE)</f>
        <v>ARPANE560063</v>
      </c>
      <c r="C88" s="81">
        <f>VLOOKUP(A88,'Identidad de Codigos'!A:C,3,FALSE)</f>
        <v>51097</v>
      </c>
      <c r="D88" s="18" t="s">
        <v>91</v>
      </c>
      <c r="E88" s="55">
        <v>44175</v>
      </c>
      <c r="F88" s="20" t="s">
        <v>13</v>
      </c>
      <c r="G88" s="20" t="s">
        <v>294</v>
      </c>
      <c r="H88" s="21">
        <f t="shared" si="66"/>
        <v>18350992</v>
      </c>
      <c r="I88" s="21">
        <f t="shared" si="67"/>
        <v>0</v>
      </c>
      <c r="J88" s="101">
        <v>13763244</v>
      </c>
      <c r="K88" s="101">
        <v>4587748</v>
      </c>
      <c r="L88" s="88"/>
      <c r="M88" s="22"/>
      <c r="N88" s="22">
        <f>VLOOKUP(A88,'Precios para Valuar'!$C:$L,5,FALSE)/100</f>
        <v>0.9692309844473449</v>
      </c>
      <c r="O88" s="23">
        <f t="shared" si="72"/>
        <v>17786350.04174535</v>
      </c>
      <c r="P88" s="23">
        <f t="shared" si="68"/>
        <v>865937.19774806965</v>
      </c>
      <c r="Q88" s="26">
        <f>VLOOKUP(A88,'Precios para Valuar'!C:Z,6,FALSE)</f>
        <v>3.8318423545982278E-2</v>
      </c>
      <c r="R88" s="26">
        <f>+Q88+Badlar</f>
        <v>0.26644342354598227</v>
      </c>
      <c r="S88" s="27">
        <f>VLOOKUP(A88,'Precios para Valuar'!C:AC,9,FALSE)</f>
        <v>1.7361770738750142</v>
      </c>
      <c r="T88" s="12">
        <f t="shared" ca="1" si="69"/>
        <v>4.1947457954806255E-3</v>
      </c>
      <c r="U88" s="128"/>
      <c r="V88" s="77" t="str">
        <f>VLOOKUP(A88,'Precios para Valuar'!$C:$T,8,FALSE)</f>
        <v>devengado</v>
      </c>
      <c r="W88" s="77"/>
      <c r="X88" s="77" t="s">
        <v>326</v>
      </c>
      <c r="Z88" s="126">
        <f t="shared" ca="1" si="70"/>
        <v>1.1176624306529727E-3</v>
      </c>
      <c r="AA88" s="29">
        <f t="shared" ca="1" si="71"/>
        <v>7.2828214808470714E-3</v>
      </c>
    </row>
    <row r="89" spans="1:27" ht="15" customHeight="1">
      <c r="A89" s="28" t="s">
        <v>87</v>
      </c>
      <c r="B89" s="18" t="str">
        <f>VLOOKUP(A89,'Identidad de Codigos'!A:C,2,FALSE)</f>
        <v>ARYPFS560085</v>
      </c>
      <c r="C89" s="81">
        <f>VLOOKUP(A89,'Identidad de Codigos'!A:C,3,FALSE)</f>
        <v>50879</v>
      </c>
      <c r="D89" s="18" t="s">
        <v>91</v>
      </c>
      <c r="E89" s="55">
        <v>44094</v>
      </c>
      <c r="F89" s="20" t="s">
        <v>13</v>
      </c>
      <c r="G89" s="20" t="s">
        <v>294</v>
      </c>
      <c r="H89" s="21">
        <f t="shared" si="66"/>
        <v>5899466</v>
      </c>
      <c r="I89" s="21">
        <f t="shared" si="67"/>
        <v>0</v>
      </c>
      <c r="J89" s="101">
        <v>5803165</v>
      </c>
      <c r="K89" s="101">
        <v>96301</v>
      </c>
      <c r="L89" s="88"/>
      <c r="M89" s="22"/>
      <c r="N89" s="22">
        <f>VLOOKUP(A89,'Precios para Valuar'!$C:$L,5,FALSE)/100</f>
        <v>0.96250624159494702</v>
      </c>
      <c r="O89" s="23">
        <f t="shared" si="72"/>
        <v>5678272.847077176</v>
      </c>
      <c r="P89" s="23">
        <f t="shared" si="68"/>
        <v>276449.50569995987</v>
      </c>
      <c r="Q89" s="26">
        <f>VLOOKUP(A89,'Precios para Valuar'!C:Z,6,FALSE)</f>
        <v>4.9706394863637426E-2</v>
      </c>
      <c r="R89" s="26">
        <f>+Q89+Badlar</f>
        <v>0.27783139486363739</v>
      </c>
      <c r="S89" s="27"/>
      <c r="T89" s="12">
        <f t="shared" ca="1" si="69"/>
        <v>1.3391680190125996E-3</v>
      </c>
      <c r="U89" s="128"/>
      <c r="V89" s="77" t="str">
        <f>VLOOKUP(A89,'Precios para Valuar'!$C:$T,8,FALSE)</f>
        <v>devengado</v>
      </c>
      <c r="W89" s="77"/>
      <c r="X89" s="77" t="s">
        <v>320</v>
      </c>
      <c r="Z89" s="126">
        <f t="shared" ca="1" si="70"/>
        <v>3.7206291867904461E-4</v>
      </c>
      <c r="AA89" s="29">
        <f t="shared" ca="1" si="71"/>
        <v>0</v>
      </c>
    </row>
    <row r="90" spans="1:27" ht="15" customHeight="1">
      <c r="A90" s="54" t="s">
        <v>92</v>
      </c>
      <c r="B90" s="18"/>
      <c r="C90" s="18"/>
      <c r="D90" s="18"/>
      <c r="E90" s="55"/>
      <c r="F90" s="20"/>
      <c r="G90" s="20"/>
      <c r="H90" s="21"/>
      <c r="I90" s="21"/>
      <c r="J90" s="21"/>
      <c r="K90" s="21"/>
      <c r="L90" s="21"/>
      <c r="M90" s="22"/>
      <c r="N90" s="22"/>
      <c r="O90" s="23"/>
      <c r="P90" s="23"/>
      <c r="Q90" s="12"/>
      <c r="R90" s="12"/>
      <c r="S90" s="27"/>
      <c r="T90" s="12"/>
      <c r="U90" s="30"/>
      <c r="V90" s="77"/>
      <c r="W90" s="77"/>
      <c r="X90" s="77"/>
    </row>
    <row r="91" spans="1:27" ht="15" customHeight="1">
      <c r="A91" s="28" t="s">
        <v>77</v>
      </c>
      <c r="B91" s="18" t="str">
        <f>VLOOKUP(A91,'Identidad de Codigos'!A:C,2,FALSE)</f>
        <v>USP989MJAY76</v>
      </c>
      <c r="C91" s="81">
        <f>VLOOKUP(A91,'Identidad de Codigos'!A:C,3,FALSE)</f>
        <v>90154</v>
      </c>
      <c r="D91" s="18"/>
      <c r="E91" s="55">
        <v>45386</v>
      </c>
      <c r="F91" s="20" t="s">
        <v>36</v>
      </c>
      <c r="G91" s="20" t="s">
        <v>294</v>
      </c>
      <c r="H91" s="21">
        <f t="shared" ref="H91" si="73">SUM(J91:K91)</f>
        <v>1618000</v>
      </c>
      <c r="I91" s="21">
        <f>H91-SUM(J91:L91)</f>
        <v>0</v>
      </c>
      <c r="J91" s="101">
        <v>1507000</v>
      </c>
      <c r="K91" s="101">
        <v>111000</v>
      </c>
      <c r="L91" s="88"/>
      <c r="M91" s="22"/>
      <c r="N91" s="22">
        <f>VLOOKUP(A91,'Precios para Valuar'!$C:$L,5,FALSE)/100</f>
        <v>22.7</v>
      </c>
      <c r="O91" s="23">
        <f t="shared" ref="O91" si="74">+H91*N91</f>
        <v>36728600</v>
      </c>
      <c r="P91" s="23">
        <f>O91/$N$98</f>
        <v>1788149.9513145084</v>
      </c>
      <c r="Q91" s="26">
        <f>VLOOKUP(A91,'Precios para Valuar'!C:Z,6,FALSE)</f>
        <v>6.0803510404086492E-2</v>
      </c>
      <c r="R91" s="26">
        <f>Q91+Dev</f>
        <v>0.20000351040408648</v>
      </c>
      <c r="S91" s="27">
        <f>VLOOKUP(A91,'Precios para Valuar'!C:AC,9,FALSE)</f>
        <v>3.9947305996780296</v>
      </c>
      <c r="T91" s="12">
        <f ca="1">O91/$O$102</f>
        <v>8.6620998722215254E-3</v>
      </c>
      <c r="U91" s="128"/>
      <c r="V91" s="77" t="str">
        <f>VLOOKUP(A91,'Precios para Valuar'!$C:$T,8,FALSE)</f>
        <v>Bolsa</v>
      </c>
      <c r="W91" s="77"/>
      <c r="X91" s="77" t="s">
        <v>320</v>
      </c>
      <c r="Z91" s="126">
        <f ca="1">R91*T91</f>
        <v>1.7324503819150941E-3</v>
      </c>
      <c r="AA91" s="29">
        <f ca="1">S91*T91</f>
        <v>3.4602755417030479E-2</v>
      </c>
    </row>
    <row r="92" spans="1:27" ht="15" customHeight="1">
      <c r="A92" s="32" t="s">
        <v>93</v>
      </c>
      <c r="B92" s="48"/>
      <c r="C92" s="48"/>
      <c r="D92" s="48"/>
      <c r="E92" s="33"/>
      <c r="F92" s="48"/>
      <c r="G92" s="48"/>
      <c r="H92" s="34"/>
      <c r="I92" s="34"/>
      <c r="J92" s="34"/>
      <c r="K92" s="34"/>
      <c r="L92" s="34"/>
      <c r="M92" s="35"/>
      <c r="N92" s="35"/>
      <c r="O92" s="36"/>
      <c r="P92" s="36"/>
      <c r="Q92" s="37"/>
      <c r="R92" s="37"/>
      <c r="S92" s="38"/>
      <c r="T92" s="39"/>
      <c r="U92" s="21"/>
      <c r="V92" s="77"/>
      <c r="W92" s="77"/>
      <c r="X92" s="77"/>
    </row>
    <row r="93" spans="1:27" ht="15" customHeight="1">
      <c r="A93" s="54" t="s">
        <v>82</v>
      </c>
      <c r="B93" s="18"/>
      <c r="C93" s="18"/>
      <c r="D93" s="18"/>
      <c r="E93" s="19"/>
      <c r="F93" s="20"/>
      <c r="G93" s="20"/>
      <c r="H93" s="21"/>
      <c r="I93" s="21"/>
      <c r="J93" s="21"/>
      <c r="K93" s="21"/>
      <c r="L93" s="21"/>
      <c r="M93" s="22"/>
      <c r="N93" s="22"/>
      <c r="O93" s="23"/>
      <c r="P93" s="23"/>
      <c r="Q93" s="12"/>
      <c r="R93" s="12"/>
      <c r="S93" s="27"/>
      <c r="T93" s="12"/>
      <c r="U93" s="30"/>
      <c r="V93" s="77"/>
      <c r="W93" s="77"/>
      <c r="X93" s="77"/>
    </row>
    <row r="94" spans="1:27" ht="15" customHeight="1">
      <c r="A94" s="28" t="s">
        <v>81</v>
      </c>
      <c r="B94" s="18"/>
      <c r="C94" s="18"/>
      <c r="D94" s="18"/>
      <c r="E94" s="19"/>
      <c r="F94" s="20" t="s">
        <v>13</v>
      </c>
      <c r="G94" s="20" t="s">
        <v>309</v>
      </c>
      <c r="H94" s="21">
        <f t="shared" ref="H94:H96" si="75">SUM(J94:K94)</f>
        <v>7424458.8693000004</v>
      </c>
      <c r="I94" s="21"/>
      <c r="J94" s="101">
        <v>7424458.8693000004</v>
      </c>
      <c r="K94" s="101">
        <v>0</v>
      </c>
      <c r="L94" s="88"/>
      <c r="M94" s="22"/>
      <c r="N94" s="22">
        <f ca="1">OFFSET(FCI!$A$1,12-1,MATCH(A94,FCI!$1:$1,0)-1)</f>
        <v>3.464928</v>
      </c>
      <c r="O94" s="23">
        <f ca="1">+H94*N94</f>
        <v>25725215.421085913</v>
      </c>
      <c r="P94" s="23">
        <f ca="1">O94/$N$98</f>
        <v>1252444.7624676686</v>
      </c>
      <c r="Q94" s="12"/>
      <c r="R94" s="12"/>
      <c r="S94" s="27"/>
      <c r="T94" s="12">
        <f ca="1">O94/$O$102</f>
        <v>6.0670536097716631E-3</v>
      </c>
      <c r="U94" s="28"/>
      <c r="V94" s="77"/>
      <c r="W94" s="77"/>
      <c r="X94" s="77"/>
      <c r="Z94" s="126">
        <f ca="1">R94*T94</f>
        <v>0</v>
      </c>
      <c r="AA94" s="29">
        <f ca="1">S94*T94</f>
        <v>0</v>
      </c>
    </row>
    <row r="95" spans="1:27" ht="15" customHeight="1">
      <c r="A95" s="28" t="s">
        <v>69</v>
      </c>
      <c r="B95" s="18"/>
      <c r="C95" s="18"/>
      <c r="D95" s="18"/>
      <c r="E95" s="19"/>
      <c r="F95" s="20" t="s">
        <v>13</v>
      </c>
      <c r="G95" s="20" t="s">
        <v>309</v>
      </c>
      <c r="H95" s="21">
        <f t="shared" si="75"/>
        <v>14503144.030299999</v>
      </c>
      <c r="I95" s="21"/>
      <c r="J95" s="101">
        <v>13393912.029899999</v>
      </c>
      <c r="K95" s="101">
        <v>1109232.0004</v>
      </c>
      <c r="L95" s="88"/>
      <c r="M95" s="22"/>
      <c r="N95" s="22">
        <f ca="1">OFFSET(FCI!$A$1,12-1,MATCH(A95,FCI!$1:$1,0)-1)</f>
        <v>3.3010980000000001</v>
      </c>
      <c r="O95" s="23">
        <f ca="1">+H95*N95</f>
        <v>47876299.752135269</v>
      </c>
      <c r="P95" s="23">
        <f ca="1">O95/$N$98</f>
        <v>2330881.1953327786</v>
      </c>
      <c r="Q95" s="12"/>
      <c r="R95" s="12"/>
      <c r="S95" s="27"/>
      <c r="T95" s="12">
        <f ca="1">O95/$O$102</f>
        <v>1.1291181530616749E-2</v>
      </c>
      <c r="U95" s="30"/>
      <c r="V95" s="77"/>
      <c r="W95" s="77"/>
      <c r="X95" s="77" t="s">
        <v>328</v>
      </c>
      <c r="Z95" s="126">
        <f ca="1">R95*T95</f>
        <v>0</v>
      </c>
      <c r="AA95" s="29">
        <f ca="1">S95*T95</f>
        <v>0</v>
      </c>
    </row>
    <row r="96" spans="1:27" ht="15" customHeight="1">
      <c r="A96" s="28" t="s">
        <v>341</v>
      </c>
      <c r="B96" s="18"/>
      <c r="C96" s="18"/>
      <c r="D96" s="18"/>
      <c r="E96" s="19"/>
      <c r="F96" s="20" t="s">
        <v>13</v>
      </c>
      <c r="G96" s="20" t="s">
        <v>309</v>
      </c>
      <c r="H96" s="21">
        <f t="shared" si="75"/>
        <v>166841064.66459998</v>
      </c>
      <c r="I96" s="21"/>
      <c r="J96" s="101">
        <v>155782526.82949999</v>
      </c>
      <c r="K96" s="101">
        <v>11058537.835099999</v>
      </c>
      <c r="L96" s="88"/>
      <c r="M96" s="22"/>
      <c r="N96" s="22">
        <f ca="1">OFFSET(FCI!$A$1,12-1,MATCH(A96,FCI!$1:$1,0)-1)</f>
        <v>0.35750100000000001</v>
      </c>
      <c r="O96" s="23">
        <f ca="1">+H96*N96</f>
        <v>59645847.458659165</v>
      </c>
      <c r="P96" s="23">
        <f ca="1">O96/$N$98</f>
        <v>2903887.4127876908</v>
      </c>
      <c r="Q96" s="12"/>
      <c r="R96" s="12"/>
      <c r="S96" s="27"/>
      <c r="T96" s="12">
        <f ca="1">O96/$O$102</f>
        <v>1.4066920265139324E-2</v>
      </c>
      <c r="U96" s="28"/>
      <c r="V96" s="77"/>
      <c r="W96" s="77"/>
      <c r="X96" s="77"/>
      <c r="Z96" s="126">
        <f ca="1">R96*T96</f>
        <v>0</v>
      </c>
      <c r="AA96" s="29">
        <f ca="1">S96*T96</f>
        <v>0</v>
      </c>
    </row>
    <row r="97" spans="1:27" ht="15" customHeight="1">
      <c r="A97" s="32" t="s">
        <v>95</v>
      </c>
      <c r="B97" s="48"/>
      <c r="C97" s="48"/>
      <c r="D97" s="48"/>
      <c r="E97" s="33"/>
      <c r="F97" s="48"/>
      <c r="G97" s="48"/>
      <c r="H97" s="34"/>
      <c r="I97" s="34"/>
      <c r="J97" s="34"/>
      <c r="K97" s="34"/>
      <c r="L97" s="34"/>
      <c r="M97" s="35"/>
      <c r="N97" s="35"/>
      <c r="O97" s="36"/>
      <c r="P97" s="36"/>
      <c r="Q97" s="37"/>
      <c r="R97" s="37"/>
      <c r="S97" s="38"/>
      <c r="T97" s="39"/>
      <c r="U97" s="28"/>
      <c r="V97" s="77"/>
      <c r="W97" s="77"/>
      <c r="X97" s="77"/>
    </row>
    <row r="98" spans="1:27" ht="15" customHeight="1">
      <c r="A98" s="28" t="s">
        <v>31</v>
      </c>
      <c r="B98" s="28"/>
      <c r="C98" s="28"/>
      <c r="D98" s="28"/>
      <c r="E98" s="28"/>
      <c r="F98" s="20" t="s">
        <v>36</v>
      </c>
      <c r="G98" s="20" t="s">
        <v>95</v>
      </c>
      <c r="H98" s="21">
        <f t="shared" ref="H98:H100" si="76">SUM(J98:K98)</f>
        <v>284955.5100000003</v>
      </c>
      <c r="I98" s="30"/>
      <c r="J98" s="89">
        <v>191636.88000000032</v>
      </c>
      <c r="K98" s="101">
        <v>93318.62999999999</v>
      </c>
      <c r="L98" s="89"/>
      <c r="M98" s="22"/>
      <c r="N98" s="22">
        <v>20.54</v>
      </c>
      <c r="O98" s="23">
        <f>+H98*N98</f>
        <v>5852986.1754000057</v>
      </c>
      <c r="P98" s="23">
        <f>O98/$N$98</f>
        <v>284955.5100000003</v>
      </c>
      <c r="Q98" s="56"/>
      <c r="R98" s="56"/>
      <c r="S98" s="27"/>
      <c r="T98" s="12">
        <f ca="1">O98/$O$102</f>
        <v>1.3803725380778669E-3</v>
      </c>
      <c r="U98" s="28"/>
      <c r="V98" s="77"/>
      <c r="W98" s="77"/>
      <c r="X98" s="77"/>
      <c r="Z98" s="126">
        <f ca="1">R98*T98</f>
        <v>0</v>
      </c>
      <c r="AA98" s="29">
        <f ca="1">S98*T98</f>
        <v>0</v>
      </c>
    </row>
    <row r="99" spans="1:27" ht="15" customHeight="1">
      <c r="A99" s="28" t="s">
        <v>31</v>
      </c>
      <c r="B99" s="28"/>
      <c r="C99" s="28"/>
      <c r="D99" s="28"/>
      <c r="E99" s="28"/>
      <c r="F99" s="20" t="s">
        <v>80</v>
      </c>
      <c r="G99" s="20" t="s">
        <v>95</v>
      </c>
      <c r="H99" s="21">
        <f t="shared" si="76"/>
        <v>134731.60350001769</v>
      </c>
      <c r="I99" s="30"/>
      <c r="J99" s="89">
        <v>99804.373499999027</v>
      </c>
      <c r="K99" s="101">
        <v>34927.230000018666</v>
      </c>
      <c r="L99" s="89"/>
      <c r="M99" s="22"/>
      <c r="N99" s="22">
        <v>1</v>
      </c>
      <c r="O99" s="23">
        <f>+H99</f>
        <v>134731.60350001769</v>
      </c>
      <c r="P99" s="23">
        <f>O99/$N$98</f>
        <v>6559.4743670894695</v>
      </c>
      <c r="Q99" s="56"/>
      <c r="R99" s="56"/>
      <c r="S99" s="27"/>
      <c r="T99" s="12">
        <f ca="1">O99/$O$102</f>
        <v>3.177519985683376E-5</v>
      </c>
      <c r="U99" s="28"/>
      <c r="V99" s="77"/>
      <c r="W99" s="77"/>
      <c r="X99" s="77"/>
      <c r="Z99" s="126">
        <f ca="1">R99*T99</f>
        <v>0</v>
      </c>
      <c r="AA99" s="29">
        <f ca="1">S99*T99</f>
        <v>0</v>
      </c>
    </row>
    <row r="100" spans="1:27" ht="15" customHeight="1">
      <c r="A100" s="5" t="s">
        <v>94</v>
      </c>
      <c r="B100" s="28"/>
      <c r="C100" s="28"/>
      <c r="D100" s="28"/>
      <c r="E100" s="28"/>
      <c r="F100" s="20" t="s">
        <v>80</v>
      </c>
      <c r="G100" s="20" t="s">
        <v>95</v>
      </c>
      <c r="H100" s="21">
        <f t="shared" si="76"/>
        <v>0</v>
      </c>
      <c r="I100" s="30"/>
      <c r="J100" s="89"/>
      <c r="K100" s="101">
        <v>0</v>
      </c>
      <c r="L100" s="89"/>
      <c r="M100" s="22"/>
      <c r="N100" s="22">
        <v>1</v>
      </c>
      <c r="O100" s="23">
        <f>+H100</f>
        <v>0</v>
      </c>
      <c r="P100" s="23">
        <f>O100/$N$98</f>
        <v>0</v>
      </c>
      <c r="Q100" s="56"/>
      <c r="R100" s="56"/>
      <c r="S100" s="27"/>
      <c r="T100" s="12">
        <f ca="1">O100/$O$102</f>
        <v>0</v>
      </c>
      <c r="U100" s="28"/>
      <c r="V100" s="77"/>
      <c r="W100" s="77"/>
      <c r="X100" s="77"/>
      <c r="Z100" s="126">
        <f ca="1">R100*T100</f>
        <v>0</v>
      </c>
      <c r="AA100" s="29">
        <f ca="1">S100*T100</f>
        <v>0</v>
      </c>
    </row>
    <row r="101" spans="1:27" ht="15" customHeight="1">
      <c r="A101" s="28"/>
      <c r="B101" s="28"/>
      <c r="C101" s="28"/>
      <c r="D101" s="28"/>
      <c r="E101" s="40"/>
      <c r="F101" s="28"/>
      <c r="G101" s="87"/>
      <c r="H101" s="21"/>
      <c r="I101" s="21"/>
      <c r="J101" s="21"/>
      <c r="K101" s="21"/>
      <c r="L101" s="21"/>
      <c r="M101" s="22"/>
      <c r="N101" s="22"/>
      <c r="O101" s="41"/>
      <c r="P101" s="41"/>
      <c r="Q101" s="57"/>
      <c r="R101" s="57"/>
      <c r="S101" s="43"/>
      <c r="T101" s="44"/>
      <c r="U101" s="28"/>
      <c r="V101" s="77"/>
      <c r="W101" s="77"/>
      <c r="X101" s="77"/>
    </row>
    <row r="102" spans="1:27" ht="15" customHeight="1">
      <c r="A102" s="58" t="s">
        <v>19</v>
      </c>
      <c r="B102" s="59"/>
      <c r="C102" s="59"/>
      <c r="D102" s="59"/>
      <c r="E102" s="59"/>
      <c r="F102" s="60"/>
      <c r="G102" s="60"/>
      <c r="H102" s="61"/>
      <c r="I102" s="61"/>
      <c r="J102" s="61"/>
      <c r="K102" s="61"/>
      <c r="L102" s="61"/>
      <c r="M102" s="62"/>
      <c r="N102" s="62"/>
      <c r="O102" s="63">
        <f ca="1">SUM(O5:O100)</f>
        <v>4240149679.8466721</v>
      </c>
      <c r="P102" s="63">
        <f ca="1">SUM(P5:P100)</f>
        <v>206843497.49100792</v>
      </c>
      <c r="Q102" s="64"/>
      <c r="R102" s="64">
        <f ca="1">SUMPRODUCT(R4:R101,T4:T101)</f>
        <v>0.24425012340908414</v>
      </c>
      <c r="S102" s="65">
        <f ca="1">SUMPRODUCT(S4:S101,T4:T101)</f>
        <v>1.0116305186369674</v>
      </c>
      <c r="T102" s="66">
        <v>1</v>
      </c>
      <c r="U102" s="67"/>
      <c r="V102" s="80"/>
      <c r="W102" s="80"/>
      <c r="X102" s="80"/>
    </row>
    <row r="103" spans="1:27" ht="15" customHeight="1">
      <c r="A103" s="28"/>
      <c r="B103" s="28"/>
      <c r="C103" s="28"/>
      <c r="D103" s="28"/>
      <c r="E103" s="28"/>
      <c r="F103" s="28"/>
      <c r="G103" s="87"/>
      <c r="H103" s="68"/>
      <c r="I103" s="68"/>
      <c r="J103" s="68"/>
      <c r="K103" s="68"/>
      <c r="L103" s="68"/>
      <c r="M103" s="22"/>
      <c r="N103" s="22"/>
      <c r="O103" s="30"/>
      <c r="P103" s="30"/>
      <c r="Q103" s="20"/>
      <c r="R103" s="20"/>
      <c r="S103" s="69"/>
      <c r="T103" s="12"/>
      <c r="U103" s="28"/>
      <c r="V103" s="77"/>
      <c r="W103" s="77"/>
      <c r="X103" s="77"/>
    </row>
    <row r="104" spans="1:27" ht="15" customHeight="1">
      <c r="A104" s="28"/>
      <c r="B104" s="28"/>
      <c r="C104" s="28"/>
      <c r="D104" s="28"/>
      <c r="E104" s="28"/>
      <c r="F104" s="28"/>
      <c r="G104" s="87"/>
      <c r="H104" s="68"/>
      <c r="I104" s="68"/>
      <c r="J104" s="68"/>
      <c r="K104" s="68"/>
      <c r="L104" s="68"/>
      <c r="M104" s="22"/>
      <c r="N104" s="22"/>
      <c r="O104" s="30"/>
      <c r="P104" s="30"/>
      <c r="Q104" s="20"/>
      <c r="R104" s="20"/>
      <c r="S104" s="69"/>
      <c r="T104" s="12"/>
      <c r="U104" s="28"/>
      <c r="V104" s="77"/>
      <c r="W104" s="77"/>
      <c r="X104" s="77"/>
    </row>
    <row r="105" spans="1:27" ht="15" customHeight="1">
      <c r="A105" s="28" t="s">
        <v>267</v>
      </c>
      <c r="B105" s="87"/>
      <c r="C105" s="28"/>
      <c r="D105" s="28"/>
      <c r="E105" s="28"/>
      <c r="F105" s="28"/>
      <c r="G105" s="87"/>
      <c r="H105" s="68"/>
      <c r="I105" s="68"/>
      <c r="J105" s="68"/>
      <c r="K105" s="68"/>
      <c r="L105" s="68"/>
      <c r="M105" s="22"/>
      <c r="N105" s="22"/>
      <c r="O105" s="30"/>
      <c r="P105" s="30"/>
      <c r="Q105" s="20"/>
      <c r="R105" s="20"/>
      <c r="S105" s="69"/>
      <c r="T105" s="12"/>
      <c r="U105" s="28"/>
      <c r="V105" s="77"/>
      <c r="W105" s="77"/>
      <c r="X105" s="77"/>
    </row>
    <row r="106" spans="1:27" ht="15" customHeight="1">
      <c r="A106" s="87" t="s">
        <v>264</v>
      </c>
      <c r="B106" s="87"/>
      <c r="C106" s="87"/>
      <c r="D106" s="100">
        <v>0.22812499999999999</v>
      </c>
      <c r="E106" s="87"/>
      <c r="F106" s="87"/>
      <c r="G106" s="87"/>
      <c r="H106" s="68"/>
      <c r="I106" s="68"/>
      <c r="J106" s="68"/>
      <c r="K106" s="68"/>
      <c r="L106" s="68"/>
      <c r="M106" s="22"/>
      <c r="N106" s="22"/>
      <c r="O106" s="30"/>
      <c r="P106" s="30"/>
      <c r="Q106" s="20"/>
      <c r="R106" s="20"/>
      <c r="S106" s="69"/>
      <c r="T106" s="12"/>
      <c r="U106" s="87"/>
      <c r="V106" s="77"/>
      <c r="W106" s="77"/>
      <c r="X106" s="77"/>
    </row>
    <row r="107" spans="1:27" ht="15" customHeight="1">
      <c r="A107" s="87" t="s">
        <v>299</v>
      </c>
      <c r="B107" s="87"/>
      <c r="C107" s="87"/>
      <c r="D107" s="100">
        <v>0.23375000000000001</v>
      </c>
      <c r="E107" s="87"/>
      <c r="F107" s="87"/>
      <c r="G107" s="87"/>
      <c r="H107" s="68"/>
      <c r="I107" s="68"/>
      <c r="J107" s="68"/>
      <c r="K107" s="68"/>
      <c r="L107" s="68"/>
      <c r="M107" s="22"/>
      <c r="N107" s="22"/>
      <c r="O107" s="30"/>
      <c r="P107" s="30"/>
      <c r="Q107" s="20"/>
      <c r="R107" s="20"/>
      <c r="S107" s="69"/>
      <c r="T107" s="12"/>
      <c r="U107" s="87"/>
      <c r="V107" s="77"/>
      <c r="W107" s="77"/>
      <c r="X107" s="77"/>
    </row>
    <row r="108" spans="1:27" ht="15" customHeight="1">
      <c r="A108" s="87" t="s">
        <v>265</v>
      </c>
      <c r="B108" s="87"/>
      <c r="C108" s="87"/>
      <c r="D108" s="100">
        <v>0.161</v>
      </c>
      <c r="E108" s="87"/>
      <c r="F108" s="87"/>
      <c r="G108" s="87"/>
      <c r="H108" s="21"/>
      <c r="I108" s="21"/>
      <c r="J108" s="21"/>
      <c r="K108" s="21"/>
      <c r="L108" s="21"/>
      <c r="M108" s="22"/>
      <c r="N108" s="22"/>
      <c r="O108" s="87"/>
      <c r="P108" s="87"/>
      <c r="Q108" s="20"/>
      <c r="R108" s="20"/>
      <c r="S108" s="69"/>
      <c r="T108" s="12"/>
      <c r="U108" s="87"/>
      <c r="V108" s="77"/>
      <c r="W108" s="77"/>
      <c r="X108" s="77"/>
    </row>
    <row r="109" spans="1:27" ht="15" customHeight="1">
      <c r="A109" s="87" t="s">
        <v>266</v>
      </c>
      <c r="B109" s="87"/>
      <c r="C109" s="87"/>
      <c r="D109" s="100">
        <v>0.13919999999999999</v>
      </c>
      <c r="E109" s="87"/>
      <c r="F109" s="87"/>
      <c r="G109" s="87"/>
      <c r="H109" s="21"/>
      <c r="I109" s="21"/>
      <c r="J109" s="21"/>
      <c r="K109" s="21"/>
      <c r="L109" s="21"/>
      <c r="M109" s="22"/>
      <c r="N109" s="22"/>
      <c r="O109" s="125"/>
      <c r="P109" s="87"/>
      <c r="Q109" s="20"/>
      <c r="R109" s="20"/>
      <c r="S109" s="69"/>
      <c r="T109" s="12"/>
      <c r="U109" s="87"/>
      <c r="V109" s="77"/>
      <c r="W109" s="77"/>
      <c r="X109" s="77"/>
    </row>
    <row r="110" spans="1:27" ht="15" customHeight="1">
      <c r="A110" s="87"/>
      <c r="B110" s="87"/>
      <c r="C110" s="87"/>
      <c r="D110" s="87"/>
      <c r="E110" s="87"/>
      <c r="F110" s="87"/>
      <c r="G110" s="87"/>
      <c r="H110" s="21"/>
      <c r="I110" s="21"/>
      <c r="J110" s="21"/>
      <c r="K110" s="21"/>
      <c r="L110" s="21"/>
      <c r="M110" s="22"/>
      <c r="N110" s="22"/>
      <c r="O110" s="87"/>
      <c r="P110" s="87"/>
      <c r="Q110" s="20"/>
      <c r="R110" s="20"/>
      <c r="S110" s="69"/>
      <c r="T110" s="12"/>
      <c r="U110" s="87"/>
      <c r="V110" s="77"/>
      <c r="W110" s="77"/>
      <c r="X110" s="77"/>
    </row>
  </sheetData>
  <mergeCells count="1">
    <mergeCell ref="Z2:AA2"/>
  </mergeCells>
  <conditionalFormatting sqref="E27 E32 E86 E11 E91 E89 E5:E9 E48:E49">
    <cfRule type="cellIs" dxfId="48" priority="61" operator="lessThan">
      <formula>#REF!</formula>
    </cfRule>
  </conditionalFormatting>
  <conditionalFormatting sqref="E28">
    <cfRule type="cellIs" dxfId="47" priority="59" operator="lessThanOrEqual">
      <formula>#REF!</formula>
    </cfRule>
  </conditionalFormatting>
  <conditionalFormatting sqref="E38:E39 E42">
    <cfRule type="cellIs" dxfId="46" priority="58" operator="lessThanOrEqual">
      <formula>#REF!</formula>
    </cfRule>
  </conditionalFormatting>
  <conditionalFormatting sqref="E13:E14 E54:E56 E18">
    <cfRule type="cellIs" dxfId="45" priority="57" operator="lessThan">
      <formula>#REF!</formula>
    </cfRule>
  </conditionalFormatting>
  <conditionalFormatting sqref="E30">
    <cfRule type="cellIs" dxfId="44" priority="55" operator="lessThanOrEqual">
      <formula>#REF!</formula>
    </cfRule>
  </conditionalFormatting>
  <conditionalFormatting sqref="E44">
    <cfRule type="cellIs" dxfId="43" priority="54" operator="lessThanOrEqual">
      <formula>#REF!</formula>
    </cfRule>
  </conditionalFormatting>
  <conditionalFormatting sqref="E59">
    <cfRule type="cellIs" dxfId="42" priority="53" operator="lessThan">
      <formula>#REF!</formula>
    </cfRule>
  </conditionalFormatting>
  <conditionalFormatting sqref="E46">
    <cfRule type="cellIs" dxfId="41" priority="52" operator="lessThanOrEqual">
      <formula>#REF!</formula>
    </cfRule>
  </conditionalFormatting>
  <conditionalFormatting sqref="E47">
    <cfRule type="cellIs" dxfId="40" priority="50" operator="lessThanOrEqual">
      <formula>#REF!</formula>
    </cfRule>
  </conditionalFormatting>
  <conditionalFormatting sqref="E31">
    <cfRule type="cellIs" dxfId="39" priority="49" operator="lessThanOrEqual">
      <formula>#REF!</formula>
    </cfRule>
  </conditionalFormatting>
  <conditionalFormatting sqref="E23">
    <cfRule type="cellIs" dxfId="38" priority="48" operator="lessThan">
      <formula>#REF!</formula>
    </cfRule>
  </conditionalFormatting>
  <conditionalFormatting sqref="E25:E26">
    <cfRule type="cellIs" dxfId="37" priority="47" operator="lessThanOrEqual">
      <formula>#REF!</formula>
    </cfRule>
  </conditionalFormatting>
  <conditionalFormatting sqref="E43">
    <cfRule type="cellIs" dxfId="36" priority="46" operator="lessThanOrEqual">
      <formula>#REF!</formula>
    </cfRule>
  </conditionalFormatting>
  <conditionalFormatting sqref="E56">
    <cfRule type="cellIs" dxfId="35" priority="44" operator="lessThan">
      <formula>#REF!</formula>
    </cfRule>
  </conditionalFormatting>
  <conditionalFormatting sqref="E45">
    <cfRule type="cellIs" dxfId="34" priority="43" operator="lessThanOrEqual">
      <formula>#REF!</formula>
    </cfRule>
  </conditionalFormatting>
  <conditionalFormatting sqref="E51">
    <cfRule type="cellIs" dxfId="33" priority="42" operator="lessThan">
      <formula>#REF!</formula>
    </cfRule>
  </conditionalFormatting>
  <conditionalFormatting sqref="E10">
    <cfRule type="cellIs" dxfId="32" priority="41" operator="lessThanOrEqual">
      <formula>#REF!</formula>
    </cfRule>
  </conditionalFormatting>
  <conditionalFormatting sqref="E34">
    <cfRule type="cellIs" dxfId="31" priority="40" operator="lessThan">
      <formula>#REF!</formula>
    </cfRule>
  </conditionalFormatting>
  <conditionalFormatting sqref="E18:E20">
    <cfRule type="cellIs" dxfId="30" priority="38" operator="lessThanOrEqual">
      <formula>#REF!</formula>
    </cfRule>
  </conditionalFormatting>
  <conditionalFormatting sqref="E58:E60">
    <cfRule type="cellIs" dxfId="29" priority="37" operator="lessThan">
      <formula>#REF!</formula>
    </cfRule>
  </conditionalFormatting>
  <conditionalFormatting sqref="E58">
    <cfRule type="cellIs" dxfId="28" priority="36" operator="lessThan">
      <formula>#REF!</formula>
    </cfRule>
  </conditionalFormatting>
  <conditionalFormatting sqref="E60">
    <cfRule type="cellIs" dxfId="27" priority="35" operator="lessThan">
      <formula>#REF!</formula>
    </cfRule>
  </conditionalFormatting>
  <conditionalFormatting sqref="E33">
    <cfRule type="cellIs" dxfId="26" priority="31" operator="lessThan">
      <formula>#REF!</formula>
    </cfRule>
  </conditionalFormatting>
  <conditionalFormatting sqref="E36">
    <cfRule type="cellIs" dxfId="25" priority="30" operator="lessThanOrEqual">
      <formula>#REF!</formula>
    </cfRule>
  </conditionalFormatting>
  <conditionalFormatting sqref="E15">
    <cfRule type="cellIs" dxfId="24" priority="29" operator="lessThan">
      <formula>#REF!</formula>
    </cfRule>
  </conditionalFormatting>
  <conditionalFormatting sqref="E66 E68:E70">
    <cfRule type="cellIs" dxfId="23" priority="25" operator="lessThan">
      <formula>#REF!</formula>
    </cfRule>
  </conditionalFormatting>
  <conditionalFormatting sqref="E66 E68:E70">
    <cfRule type="cellIs" dxfId="22" priority="24" operator="lessThan">
      <formula>#REF!</formula>
    </cfRule>
  </conditionalFormatting>
  <conditionalFormatting sqref="E61:E62">
    <cfRule type="cellIs" dxfId="21" priority="23" operator="lessThan">
      <formula>#REF!</formula>
    </cfRule>
  </conditionalFormatting>
  <conditionalFormatting sqref="E61:E62">
    <cfRule type="cellIs" dxfId="20" priority="22" operator="lessThan">
      <formula>#REF!</formula>
    </cfRule>
  </conditionalFormatting>
  <conditionalFormatting sqref="E41">
    <cfRule type="cellIs" dxfId="19" priority="21" operator="lessThanOrEqual">
      <formula>#REF!</formula>
    </cfRule>
  </conditionalFormatting>
  <conditionalFormatting sqref="E24">
    <cfRule type="cellIs" dxfId="18" priority="20" operator="lessThanOrEqual">
      <formula>#REF!</formula>
    </cfRule>
  </conditionalFormatting>
  <conditionalFormatting sqref="E50">
    <cfRule type="cellIs" dxfId="17" priority="19" operator="lessThan">
      <formula>#REF!</formula>
    </cfRule>
  </conditionalFormatting>
  <conditionalFormatting sqref="E12">
    <cfRule type="cellIs" dxfId="16" priority="18" operator="lessThan">
      <formula>#REF!</formula>
    </cfRule>
  </conditionalFormatting>
  <conditionalFormatting sqref="E37">
    <cfRule type="cellIs" dxfId="15" priority="17" operator="lessThanOrEqual">
      <formula>#REF!</formula>
    </cfRule>
  </conditionalFormatting>
  <conditionalFormatting sqref="E53">
    <cfRule type="cellIs" dxfId="14" priority="16" operator="lessThan">
      <formula>#REF!</formula>
    </cfRule>
  </conditionalFormatting>
  <conditionalFormatting sqref="E53">
    <cfRule type="cellIs" dxfId="13" priority="15" operator="lessThan">
      <formula>#REF!</formula>
    </cfRule>
  </conditionalFormatting>
  <conditionalFormatting sqref="E63">
    <cfRule type="cellIs" dxfId="12" priority="14" operator="lessThan">
      <formula>#REF!</formula>
    </cfRule>
  </conditionalFormatting>
  <conditionalFormatting sqref="E63">
    <cfRule type="cellIs" dxfId="11" priority="13" operator="lessThan">
      <formula>#REF!</formula>
    </cfRule>
  </conditionalFormatting>
  <conditionalFormatting sqref="E64">
    <cfRule type="cellIs" dxfId="10" priority="12" operator="lessThan">
      <formula>#REF!</formula>
    </cfRule>
  </conditionalFormatting>
  <conditionalFormatting sqref="E64">
    <cfRule type="cellIs" dxfId="9" priority="11" operator="lessThan">
      <formula>#REF!</formula>
    </cfRule>
  </conditionalFormatting>
  <conditionalFormatting sqref="E65">
    <cfRule type="cellIs" dxfId="8" priority="10" operator="lessThan">
      <formula>#REF!</formula>
    </cfRule>
  </conditionalFormatting>
  <conditionalFormatting sqref="E65">
    <cfRule type="cellIs" dxfId="7" priority="9" operator="lessThan">
      <formula>#REF!</formula>
    </cfRule>
  </conditionalFormatting>
  <conditionalFormatting sqref="E67">
    <cfRule type="cellIs" dxfId="6" priority="8" operator="lessThan">
      <formula>#REF!</formula>
    </cfRule>
  </conditionalFormatting>
  <conditionalFormatting sqref="E67">
    <cfRule type="cellIs" dxfId="5" priority="7" operator="lessThan">
      <formula>#REF!</formula>
    </cfRule>
  </conditionalFormatting>
  <conditionalFormatting sqref="E29">
    <cfRule type="cellIs" dxfId="4" priority="5" operator="lessThanOrEqual">
      <formula>#REF!</formula>
    </cfRule>
  </conditionalFormatting>
  <conditionalFormatting sqref="E35">
    <cfRule type="cellIs" dxfId="3" priority="4" operator="lessThan">
      <formula>#REF!</formula>
    </cfRule>
  </conditionalFormatting>
  <conditionalFormatting sqref="E40">
    <cfRule type="cellIs" dxfId="2" priority="3" operator="lessThanOrEqual">
      <formula>#REF!</formula>
    </cfRule>
  </conditionalFormatting>
  <conditionalFormatting sqref="E57">
    <cfRule type="cellIs" dxfId="1" priority="2" operator="lessThan">
      <formula>#REF!</formula>
    </cfRule>
  </conditionalFormatting>
  <conditionalFormatting sqref="E57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03"/>
  <sheetViews>
    <sheetView workbookViewId="0">
      <selection activeCell="B12" sqref="B12"/>
    </sheetView>
  </sheetViews>
  <sheetFormatPr baseColWidth="10" defaultRowHeight="15"/>
  <sheetData>
    <row r="1" spans="1:20">
      <c r="B1" s="86" t="s">
        <v>74</v>
      </c>
      <c r="C1" s="86" t="s">
        <v>43</v>
      </c>
      <c r="D1" s="86" t="s">
        <v>25</v>
      </c>
      <c r="E1" s="86" t="s">
        <v>83</v>
      </c>
      <c r="F1" s="85" t="s">
        <v>84</v>
      </c>
      <c r="G1" s="85" t="s">
        <v>38</v>
      </c>
      <c r="H1" s="85" t="s">
        <v>85</v>
      </c>
      <c r="I1" s="85" t="s">
        <v>340</v>
      </c>
      <c r="J1" s="85" t="s">
        <v>61</v>
      </c>
      <c r="K1" t="s">
        <v>69</v>
      </c>
      <c r="L1" t="s">
        <v>81</v>
      </c>
      <c r="M1" t="s">
        <v>341</v>
      </c>
      <c r="R1" s="94" t="s">
        <v>207</v>
      </c>
      <c r="S1" s="94"/>
      <c r="T1" s="94"/>
    </row>
    <row r="2" spans="1:20">
      <c r="A2" t="s">
        <v>272</v>
      </c>
    </row>
    <row r="3" spans="1:20">
      <c r="A3" t="s">
        <v>184</v>
      </c>
      <c r="B3" t="s">
        <v>185</v>
      </c>
      <c r="C3" t="s">
        <v>185</v>
      </c>
      <c r="D3" t="s">
        <v>185</v>
      </c>
      <c r="E3" t="s">
        <v>185</v>
      </c>
      <c r="F3" t="s">
        <v>185</v>
      </c>
      <c r="G3" t="s">
        <v>185</v>
      </c>
      <c r="H3" t="s">
        <v>185</v>
      </c>
      <c r="I3" t="s">
        <v>185</v>
      </c>
      <c r="J3" t="s">
        <v>185</v>
      </c>
      <c r="K3" t="s">
        <v>185</v>
      </c>
      <c r="L3" t="s">
        <v>185</v>
      </c>
      <c r="M3" t="s">
        <v>185</v>
      </c>
    </row>
    <row r="4" spans="1:20">
      <c r="A4" s="82">
        <v>43231</v>
      </c>
      <c r="B4">
        <v>8.1208460000000002</v>
      </c>
      <c r="C4">
        <v>1.038211</v>
      </c>
      <c r="D4">
        <v>7.2313900000000002</v>
      </c>
      <c r="E4">
        <v>7.0697700000000001</v>
      </c>
      <c r="F4">
        <v>4.364001</v>
      </c>
      <c r="G4">
        <v>6.3540010000000002</v>
      </c>
      <c r="H4">
        <v>4.2623069999999998</v>
      </c>
      <c r="I4">
        <v>0.71298799999999996</v>
      </c>
      <c r="J4">
        <v>3.5727890000000002</v>
      </c>
      <c r="K4">
        <v>3.3048129999999998</v>
      </c>
      <c r="L4">
        <v>3.4741360000000001</v>
      </c>
      <c r="M4">
        <v>0.35872700000000002</v>
      </c>
    </row>
    <row r="5" spans="1:20">
      <c r="A5" s="82">
        <v>43230</v>
      </c>
      <c r="B5">
        <v>8.1151710000000001</v>
      </c>
      <c r="C5">
        <v>1.038133</v>
      </c>
      <c r="D5">
        <v>7.1975110000000004</v>
      </c>
      <c r="E5">
        <v>7.059787</v>
      </c>
      <c r="F5">
        <v>4.3485779999999998</v>
      </c>
      <c r="G5">
        <v>6.3342700000000001</v>
      </c>
      <c r="H5">
        <v>4.2509920000000001</v>
      </c>
      <c r="I5">
        <v>0.70867199999999997</v>
      </c>
      <c r="J5">
        <v>3.571278</v>
      </c>
      <c r="K5">
        <v>3.3011210000000002</v>
      </c>
      <c r="L5">
        <v>3.4787210000000002</v>
      </c>
      <c r="M5">
        <v>0.35929299999999997</v>
      </c>
    </row>
    <row r="6" spans="1:20">
      <c r="A6" s="82">
        <v>43229</v>
      </c>
      <c r="B6">
        <v>8.1092689999999994</v>
      </c>
      <c r="C6">
        <v>1.038087</v>
      </c>
      <c r="D6">
        <v>7.1992159999999998</v>
      </c>
      <c r="E6">
        <v>7.0598109999999998</v>
      </c>
      <c r="F6">
        <v>4.3465020000000001</v>
      </c>
      <c r="G6">
        <v>6.3323850000000004</v>
      </c>
      <c r="H6">
        <v>4.2505009999999999</v>
      </c>
      <c r="I6">
        <v>0.70964799999999995</v>
      </c>
      <c r="J6">
        <v>3.5673189999999999</v>
      </c>
      <c r="K6">
        <v>3.2974589999999999</v>
      </c>
      <c r="L6">
        <v>3.4737019999999998</v>
      </c>
      <c r="M6">
        <v>0.35909799999999997</v>
      </c>
    </row>
    <row r="7" spans="1:20">
      <c r="A7" s="82">
        <v>43228</v>
      </c>
      <c r="B7">
        <v>8.1032600000000006</v>
      </c>
      <c r="C7">
        <v>1.043361</v>
      </c>
      <c r="D7">
        <v>7.1975480000000003</v>
      </c>
      <c r="E7">
        <v>7.0599290000000003</v>
      </c>
      <c r="F7">
        <v>4.3429270000000004</v>
      </c>
      <c r="G7">
        <v>6.3295219999999999</v>
      </c>
      <c r="H7">
        <v>4.2510659999999998</v>
      </c>
      <c r="I7">
        <v>0.70216400000000001</v>
      </c>
      <c r="J7">
        <v>3.5620699999999998</v>
      </c>
      <c r="K7">
        <v>3.294162</v>
      </c>
      <c r="L7">
        <v>3.4684020000000002</v>
      </c>
      <c r="M7">
        <v>0.35808600000000002</v>
      </c>
    </row>
    <row r="8" spans="1:20">
      <c r="A8" s="82">
        <v>43227</v>
      </c>
      <c r="B8">
        <v>8.0973760000000006</v>
      </c>
      <c r="C8">
        <v>1.043949</v>
      </c>
      <c r="D8">
        <v>7.2303930000000003</v>
      </c>
      <c r="E8">
        <v>7.0804939999999998</v>
      </c>
      <c r="F8">
        <v>4.3543419999999999</v>
      </c>
      <c r="G8">
        <v>6.3654789999999997</v>
      </c>
      <c r="H8">
        <v>4.2632989999999999</v>
      </c>
      <c r="I8">
        <v>0.69484199999999996</v>
      </c>
      <c r="J8">
        <v>3.5646580000000001</v>
      </c>
      <c r="K8">
        <v>3.3081749999999999</v>
      </c>
      <c r="L8">
        <v>3.4732370000000001</v>
      </c>
      <c r="M8">
        <v>0.35795500000000002</v>
      </c>
    </row>
    <row r="9" spans="1:20">
      <c r="A9" s="82">
        <v>43224</v>
      </c>
      <c r="B9">
        <v>8.0798780000000008</v>
      </c>
      <c r="C9">
        <v>1.044127</v>
      </c>
      <c r="D9">
        <v>7.2416600000000004</v>
      </c>
      <c r="E9">
        <v>7.0854809999999997</v>
      </c>
      <c r="F9">
        <v>4.3581560000000001</v>
      </c>
      <c r="G9">
        <v>6.3652749999999996</v>
      </c>
      <c r="H9">
        <v>4.2656010000000002</v>
      </c>
      <c r="I9">
        <v>0.691805</v>
      </c>
      <c r="J9">
        <v>3.5725189999999998</v>
      </c>
      <c r="K9">
        <v>3.3005620000000002</v>
      </c>
      <c r="L9">
        <v>3.4699529999999998</v>
      </c>
      <c r="M9">
        <v>0.35741699999999998</v>
      </c>
    </row>
    <row r="10" spans="1:20">
      <c r="A10" s="82">
        <v>43223</v>
      </c>
      <c r="B10">
        <v>8.0741230000000002</v>
      </c>
      <c r="C10">
        <v>1.0440910000000001</v>
      </c>
      <c r="D10">
        <v>7.1946950000000003</v>
      </c>
      <c r="E10">
        <v>7.0714499999999996</v>
      </c>
      <c r="F10">
        <v>4.3523889999999996</v>
      </c>
      <c r="G10">
        <v>6.343934</v>
      </c>
      <c r="H10">
        <v>4.2488640000000002</v>
      </c>
      <c r="I10">
        <v>0.712947</v>
      </c>
      <c r="J10">
        <v>3.552378</v>
      </c>
      <c r="K10">
        <v>3.3013020000000002</v>
      </c>
      <c r="L10">
        <v>3.4777040000000001</v>
      </c>
      <c r="M10">
        <v>0.357873</v>
      </c>
    </row>
    <row r="11" spans="1:20">
      <c r="A11" s="82">
        <v>43222</v>
      </c>
      <c r="B11">
        <v>8.0688040000000001</v>
      </c>
      <c r="C11">
        <v>1.0441119999999999</v>
      </c>
      <c r="D11">
        <v>7.2313000000000001</v>
      </c>
      <c r="E11">
        <v>7.0783639999999997</v>
      </c>
      <c r="F11">
        <v>4.352373</v>
      </c>
      <c r="G11">
        <v>6.3597489999999999</v>
      </c>
      <c r="H11">
        <v>4.2646810000000004</v>
      </c>
      <c r="I11">
        <v>0.689836</v>
      </c>
      <c r="J11">
        <v>3.547275</v>
      </c>
      <c r="K11">
        <v>3.3075079999999999</v>
      </c>
      <c r="L11">
        <v>3.4756140000000002</v>
      </c>
      <c r="M11">
        <v>0.35805199999999998</v>
      </c>
    </row>
    <row r="12" spans="1:20">
      <c r="A12" s="82">
        <v>43217</v>
      </c>
      <c r="B12">
        <v>8.0433760000000003</v>
      </c>
      <c r="C12">
        <v>1.044109</v>
      </c>
      <c r="D12">
        <v>7.2389929999999998</v>
      </c>
      <c r="E12">
        <v>7.0748239999999996</v>
      </c>
      <c r="F12">
        <v>4.3505529999999997</v>
      </c>
      <c r="G12">
        <v>6.3594359999999996</v>
      </c>
      <c r="H12">
        <v>4.2624430000000002</v>
      </c>
      <c r="I12">
        <v>0.67918800000000001</v>
      </c>
      <c r="J12">
        <v>3.5369769999999998</v>
      </c>
      <c r="K12">
        <v>3.3010980000000001</v>
      </c>
      <c r="L12">
        <v>3.464928</v>
      </c>
      <c r="M12">
        <v>0.35750100000000001</v>
      </c>
    </row>
    <row r="13" spans="1:20">
      <c r="A13" s="82">
        <v>43216</v>
      </c>
      <c r="B13">
        <v>8.0384360000000008</v>
      </c>
      <c r="C13">
        <v>1.0438989999999999</v>
      </c>
      <c r="D13">
        <v>7.2381849999999996</v>
      </c>
      <c r="E13">
        <v>7.0752550000000003</v>
      </c>
      <c r="F13">
        <v>4.3505320000000003</v>
      </c>
      <c r="G13">
        <v>6.359216</v>
      </c>
      <c r="H13">
        <v>4.2602679999999999</v>
      </c>
      <c r="I13">
        <v>0.67799299999999996</v>
      </c>
      <c r="J13">
        <v>3.5334970000000001</v>
      </c>
      <c r="K13">
        <v>3.3031160000000002</v>
      </c>
      <c r="L13">
        <v>3.4629180000000002</v>
      </c>
      <c r="M13">
        <v>0.35706399999999999</v>
      </c>
    </row>
    <row r="14" spans="1:20">
      <c r="A14" s="82">
        <v>43215</v>
      </c>
      <c r="B14">
        <v>8.0343339999999994</v>
      </c>
      <c r="C14">
        <v>1.04373</v>
      </c>
      <c r="D14">
        <v>7.2412320000000001</v>
      </c>
      <c r="E14">
        <v>7.0757659999999998</v>
      </c>
      <c r="F14">
        <v>4.3505120000000002</v>
      </c>
      <c r="G14">
        <v>6.3591930000000003</v>
      </c>
      <c r="H14">
        <v>4.2638069999999999</v>
      </c>
      <c r="I14">
        <v>0.67671000000000003</v>
      </c>
      <c r="J14">
        <v>3.5314809999999999</v>
      </c>
      <c r="K14">
        <v>3.3052959999999998</v>
      </c>
      <c r="L14">
        <v>3.4608189999999999</v>
      </c>
      <c r="M14">
        <v>0.35766599999999998</v>
      </c>
    </row>
    <row r="15" spans="1:20">
      <c r="A15" s="82">
        <v>43214</v>
      </c>
      <c r="B15">
        <v>8.0292929999999991</v>
      </c>
      <c r="C15">
        <v>1.0436510000000001</v>
      </c>
      <c r="D15">
        <v>7.2368059999999996</v>
      </c>
      <c r="E15">
        <v>7.0715149999999998</v>
      </c>
      <c r="F15">
        <v>4.3476790000000003</v>
      </c>
      <c r="G15">
        <v>6.3552210000000002</v>
      </c>
      <c r="H15">
        <v>4.2612519999999998</v>
      </c>
      <c r="I15">
        <v>0.67637700000000001</v>
      </c>
      <c r="J15">
        <v>3.529433</v>
      </c>
      <c r="K15">
        <v>3.3039399999999999</v>
      </c>
      <c r="L15">
        <v>3.4587119999999998</v>
      </c>
      <c r="M15">
        <v>0.35753400000000002</v>
      </c>
    </row>
    <row r="16" spans="1:20">
      <c r="A16" s="82">
        <v>43213</v>
      </c>
      <c r="B16">
        <v>8.0242349999999991</v>
      </c>
      <c r="C16">
        <v>1.0435540000000001</v>
      </c>
      <c r="D16">
        <v>7.2316599999999998</v>
      </c>
      <c r="E16">
        <v>7.0667359999999997</v>
      </c>
      <c r="F16">
        <v>4.3448729999999998</v>
      </c>
      <c r="G16">
        <v>6.350956</v>
      </c>
      <c r="H16">
        <v>4.2584169999999997</v>
      </c>
      <c r="I16">
        <v>0.67627599999999999</v>
      </c>
      <c r="J16">
        <v>3.527066</v>
      </c>
      <c r="K16">
        <v>3.3023129999999998</v>
      </c>
      <c r="L16">
        <v>3.456731</v>
      </c>
      <c r="M16">
        <v>0.35743999999999998</v>
      </c>
    </row>
    <row r="17" spans="1:13">
      <c r="A17" s="82">
        <v>43210</v>
      </c>
      <c r="B17">
        <v>8.0089249999999996</v>
      </c>
      <c r="C17">
        <v>1.043447</v>
      </c>
      <c r="D17">
        <v>7.2260759999999999</v>
      </c>
      <c r="E17">
        <v>7.0597110000000001</v>
      </c>
      <c r="F17">
        <v>4.3418929999999998</v>
      </c>
      <c r="G17">
        <v>6.3455899999999996</v>
      </c>
      <c r="H17">
        <v>4.2547420000000002</v>
      </c>
      <c r="I17">
        <v>0.67483000000000004</v>
      </c>
      <c r="J17">
        <v>3.5207540000000002</v>
      </c>
      <c r="K17">
        <v>3.2972730000000001</v>
      </c>
      <c r="L17">
        <v>3.4506239999999999</v>
      </c>
      <c r="M17">
        <v>0.35684900000000003</v>
      </c>
    </row>
    <row r="18" spans="1:13">
      <c r="A18" s="82">
        <v>43209</v>
      </c>
      <c r="B18">
        <v>8.0040440000000004</v>
      </c>
      <c r="C18">
        <v>1.0432790000000001</v>
      </c>
      <c r="D18">
        <v>7.2125919999999999</v>
      </c>
      <c r="E18">
        <v>7.0476580000000002</v>
      </c>
      <c r="F18">
        <v>4.333628</v>
      </c>
      <c r="G18">
        <v>6.3341339999999997</v>
      </c>
      <c r="H18">
        <v>4.2474639999999999</v>
      </c>
      <c r="I18">
        <v>0.67478000000000005</v>
      </c>
      <c r="J18">
        <v>3.5185770000000001</v>
      </c>
      <c r="K18">
        <v>3.2956780000000001</v>
      </c>
      <c r="L18">
        <v>3.448143</v>
      </c>
      <c r="M18">
        <v>0.35665000000000002</v>
      </c>
    </row>
    <row r="19" spans="1:13">
      <c r="A19" s="82">
        <v>43208</v>
      </c>
      <c r="B19">
        <v>7.9991529999999997</v>
      </c>
      <c r="C19">
        <v>1.043145</v>
      </c>
      <c r="D19">
        <v>7.2076510000000003</v>
      </c>
      <c r="E19">
        <v>7.042891</v>
      </c>
      <c r="F19">
        <v>4.3307919999999998</v>
      </c>
      <c r="G19">
        <v>6.3297239999999997</v>
      </c>
      <c r="H19">
        <v>4.2446539999999997</v>
      </c>
      <c r="I19">
        <v>0.67378800000000005</v>
      </c>
      <c r="J19">
        <v>3.5167459999999999</v>
      </c>
      <c r="K19">
        <v>3.2931119999999998</v>
      </c>
      <c r="L19">
        <v>3.4463509999999999</v>
      </c>
      <c r="M19">
        <v>0.35647000000000001</v>
      </c>
    </row>
    <row r="20" spans="1:13">
      <c r="A20" s="82">
        <v>43207</v>
      </c>
      <c r="B20">
        <v>7.9941680000000002</v>
      </c>
      <c r="C20">
        <v>1.0430600000000001</v>
      </c>
      <c r="D20">
        <v>7.2032800000000003</v>
      </c>
      <c r="E20">
        <v>7.0382930000000004</v>
      </c>
      <c r="F20">
        <v>4.3280510000000003</v>
      </c>
      <c r="G20">
        <v>6.325285</v>
      </c>
      <c r="H20">
        <v>4.2424010000000001</v>
      </c>
      <c r="I20">
        <v>0.67444199999999999</v>
      </c>
      <c r="J20">
        <v>3.5148999999999999</v>
      </c>
      <c r="K20">
        <v>3.2912430000000001</v>
      </c>
      <c r="L20">
        <v>3.4442149999999998</v>
      </c>
      <c r="M20">
        <v>0.35622300000000001</v>
      </c>
    </row>
    <row r="21" spans="1:13">
      <c r="A21" s="82">
        <v>43206</v>
      </c>
      <c r="B21">
        <v>7.9891800000000002</v>
      </c>
      <c r="C21">
        <v>1.042969</v>
      </c>
      <c r="D21">
        <v>7.1983930000000003</v>
      </c>
      <c r="E21">
        <v>7.0334019999999997</v>
      </c>
      <c r="F21">
        <v>4.325145</v>
      </c>
      <c r="G21">
        <v>6.3210800000000003</v>
      </c>
      <c r="H21">
        <v>4.2391040000000002</v>
      </c>
      <c r="I21">
        <v>0.67461700000000002</v>
      </c>
      <c r="J21">
        <v>3.5124369999999998</v>
      </c>
      <c r="K21">
        <v>3.2890410000000001</v>
      </c>
      <c r="L21">
        <v>3.4413399999999998</v>
      </c>
      <c r="M21">
        <v>0.356045</v>
      </c>
    </row>
    <row r="22" spans="1:13">
      <c r="A22" s="82">
        <v>43203</v>
      </c>
      <c r="B22">
        <v>7.9736380000000002</v>
      </c>
      <c r="C22">
        <v>1.042681</v>
      </c>
      <c r="D22">
        <v>7.1896890000000004</v>
      </c>
      <c r="E22">
        <v>7.0268509999999997</v>
      </c>
      <c r="F22">
        <v>4.3220599999999996</v>
      </c>
      <c r="G22">
        <v>6.3146040000000001</v>
      </c>
      <c r="H22">
        <v>4.2357100000000001</v>
      </c>
      <c r="I22">
        <v>0.67414499999999999</v>
      </c>
      <c r="J22">
        <v>3.5066670000000002</v>
      </c>
      <c r="K22">
        <v>3.28362</v>
      </c>
      <c r="L22">
        <v>3.4358390000000001</v>
      </c>
      <c r="M22">
        <v>0.35551500000000003</v>
      </c>
    </row>
    <row r="23" spans="1:13">
      <c r="A23" s="82">
        <v>43202</v>
      </c>
      <c r="B23">
        <v>7.9686009999999996</v>
      </c>
      <c r="C23">
        <v>1.0425070000000001</v>
      </c>
      <c r="D23">
        <v>7.1785920000000001</v>
      </c>
      <c r="E23">
        <v>7.0148700000000002</v>
      </c>
      <c r="F23">
        <v>4.3133660000000003</v>
      </c>
      <c r="G23">
        <v>6.3032069999999996</v>
      </c>
      <c r="H23">
        <v>4.2281880000000003</v>
      </c>
      <c r="I23">
        <v>0.67374500000000004</v>
      </c>
      <c r="J23">
        <v>3.504416</v>
      </c>
      <c r="K23">
        <v>3.2811409999999999</v>
      </c>
      <c r="L23">
        <v>3.434126</v>
      </c>
      <c r="M23">
        <v>0.35520200000000002</v>
      </c>
    </row>
    <row r="24" spans="1:13">
      <c r="A24" s="82">
        <v>43201</v>
      </c>
      <c r="B24">
        <v>7.9636110000000002</v>
      </c>
      <c r="C24">
        <v>1.0423210000000001</v>
      </c>
      <c r="D24">
        <v>7.1729820000000002</v>
      </c>
      <c r="E24">
        <v>7.0098209999999996</v>
      </c>
      <c r="F24">
        <v>4.3103160000000003</v>
      </c>
      <c r="G24">
        <v>6.2986019999999998</v>
      </c>
      <c r="H24">
        <v>4.2241140000000001</v>
      </c>
      <c r="I24">
        <v>0.67217099999999996</v>
      </c>
      <c r="J24">
        <v>3.5023240000000002</v>
      </c>
      <c r="K24">
        <v>3.2802519999999999</v>
      </c>
      <c r="L24">
        <v>3.4320080000000002</v>
      </c>
      <c r="M24">
        <v>0.35487400000000002</v>
      </c>
    </row>
    <row r="25" spans="1:13">
      <c r="A25" s="82">
        <v>43200</v>
      </c>
      <c r="B25">
        <v>7.9585689999999998</v>
      </c>
      <c r="C25">
        <v>1.042227</v>
      </c>
      <c r="D25">
        <v>7.168031</v>
      </c>
      <c r="E25">
        <v>7.0050220000000003</v>
      </c>
      <c r="F25">
        <v>4.3073639999999997</v>
      </c>
      <c r="G25">
        <v>6.2942</v>
      </c>
      <c r="H25">
        <v>4.2213229999999999</v>
      </c>
      <c r="I25">
        <v>0.67177900000000002</v>
      </c>
      <c r="J25">
        <v>3.5004189999999999</v>
      </c>
      <c r="K25">
        <v>3.2783169999999999</v>
      </c>
      <c r="L25">
        <v>3.429989</v>
      </c>
      <c r="M25">
        <v>0.35460900000000001</v>
      </c>
    </row>
    <row r="26" spans="1:13">
      <c r="A26" s="82">
        <v>43199</v>
      </c>
      <c r="B26">
        <v>7.9536030000000002</v>
      </c>
      <c r="C26">
        <v>1.042136</v>
      </c>
      <c r="D26">
        <v>7.1630459999999996</v>
      </c>
      <c r="E26">
        <v>7.0002230000000001</v>
      </c>
      <c r="F26">
        <v>4.3045249999999999</v>
      </c>
      <c r="G26">
        <v>6.2900780000000003</v>
      </c>
      <c r="H26">
        <v>4.2179840000000004</v>
      </c>
      <c r="I26">
        <v>0.67135</v>
      </c>
      <c r="J26">
        <v>3.4979019999999998</v>
      </c>
      <c r="K26">
        <v>3.2762699999999998</v>
      </c>
      <c r="L26">
        <v>3.4278919999999999</v>
      </c>
      <c r="M26">
        <v>0.35442899999999999</v>
      </c>
    </row>
    <row r="27" spans="1:13">
      <c r="A27" s="82">
        <v>43196</v>
      </c>
      <c r="B27">
        <v>7.938377</v>
      </c>
      <c r="C27">
        <v>1.041863</v>
      </c>
      <c r="D27">
        <v>7.157464</v>
      </c>
      <c r="E27">
        <v>6.9939489999999997</v>
      </c>
      <c r="F27">
        <v>4.3017820000000002</v>
      </c>
      <c r="G27">
        <v>6.2850789999999996</v>
      </c>
      <c r="H27">
        <v>4.2146359999999996</v>
      </c>
      <c r="I27">
        <v>0.67103500000000005</v>
      </c>
      <c r="J27">
        <v>3.4922900000000001</v>
      </c>
      <c r="K27">
        <v>3.2719990000000001</v>
      </c>
      <c r="L27">
        <v>3.4222489999999999</v>
      </c>
      <c r="M27">
        <v>0.35398099999999999</v>
      </c>
    </row>
    <row r="28" spans="1:13">
      <c r="A28" s="82">
        <v>43195</v>
      </c>
      <c r="B28">
        <v>7.9333619999999998</v>
      </c>
      <c r="C28">
        <v>1.0416909999999999</v>
      </c>
      <c r="D28">
        <v>7.1438430000000004</v>
      </c>
      <c r="E28">
        <v>6.9815160000000001</v>
      </c>
      <c r="F28">
        <v>4.2932370000000004</v>
      </c>
      <c r="G28">
        <v>6.2734639999999997</v>
      </c>
      <c r="H28">
        <v>4.2070410000000003</v>
      </c>
      <c r="I28">
        <v>0.67094200000000004</v>
      </c>
      <c r="J28">
        <v>3.4902310000000001</v>
      </c>
      <c r="K28">
        <v>3.2719710000000002</v>
      </c>
      <c r="L28">
        <v>3.4194610000000001</v>
      </c>
      <c r="M28">
        <v>0.35384199999999999</v>
      </c>
    </row>
    <row r="29" spans="1:13">
      <c r="A29" s="82">
        <v>43194</v>
      </c>
      <c r="B29">
        <v>7.9283590000000004</v>
      </c>
      <c r="C29">
        <v>1.0414950000000001</v>
      </c>
      <c r="D29">
        <v>7.1388800000000003</v>
      </c>
      <c r="E29">
        <v>6.9765579999999998</v>
      </c>
      <c r="F29">
        <v>4.2902889999999996</v>
      </c>
      <c r="G29">
        <v>6.2688309999999996</v>
      </c>
      <c r="H29">
        <v>4.2042250000000001</v>
      </c>
      <c r="I29">
        <v>0.670014</v>
      </c>
      <c r="J29">
        <v>3.4882529999999998</v>
      </c>
      <c r="K29">
        <v>3.270241</v>
      </c>
      <c r="L29">
        <v>3.417414</v>
      </c>
      <c r="M29">
        <v>0.35356799999999999</v>
      </c>
    </row>
    <row r="30" spans="1:13">
      <c r="A30" s="82">
        <v>43193</v>
      </c>
      <c r="B30">
        <v>7.923362</v>
      </c>
      <c r="C30">
        <v>1.041398</v>
      </c>
      <c r="D30">
        <v>7.1342369999999997</v>
      </c>
      <c r="E30">
        <v>6.971597</v>
      </c>
      <c r="F30">
        <v>4.2874189999999999</v>
      </c>
      <c r="G30">
        <v>6.264818</v>
      </c>
      <c r="H30">
        <v>4.2015979999999997</v>
      </c>
      <c r="I30">
        <v>0.66983199999999998</v>
      </c>
      <c r="J30">
        <v>3.4861249999999999</v>
      </c>
      <c r="K30">
        <v>3.2684799999999998</v>
      </c>
      <c r="L30">
        <v>3.4153500000000001</v>
      </c>
      <c r="M30">
        <v>0.353404</v>
      </c>
    </row>
    <row r="31" spans="1:13">
      <c r="A31" s="82">
        <v>43187</v>
      </c>
      <c r="B31">
        <v>7.896306</v>
      </c>
      <c r="C31">
        <v>1.041191</v>
      </c>
      <c r="D31">
        <v>7.1263569999999996</v>
      </c>
      <c r="E31">
        <v>6.9614229999999999</v>
      </c>
      <c r="F31">
        <v>4.2840619999999996</v>
      </c>
      <c r="G31">
        <v>6.2566560000000004</v>
      </c>
      <c r="H31">
        <v>4.1965510000000004</v>
      </c>
      <c r="I31">
        <v>0.668906</v>
      </c>
      <c r="J31">
        <v>3.4739659999999999</v>
      </c>
      <c r="K31">
        <v>3.2580499999999999</v>
      </c>
      <c r="L31">
        <v>3.4032719999999999</v>
      </c>
      <c r="M31">
        <v>0.35231600000000002</v>
      </c>
    </row>
    <row r="32" spans="1:13">
      <c r="A32" s="82">
        <v>43186</v>
      </c>
      <c r="B32">
        <v>7.8913070000000003</v>
      </c>
      <c r="C32">
        <v>1.0408550000000001</v>
      </c>
      <c r="D32">
        <v>7.100428</v>
      </c>
      <c r="E32">
        <v>6.9377760000000004</v>
      </c>
      <c r="F32">
        <v>4.2597930000000002</v>
      </c>
      <c r="G32">
        <v>6.234369</v>
      </c>
      <c r="H32">
        <v>4.1819059999999997</v>
      </c>
      <c r="I32">
        <v>0.66899799999999998</v>
      </c>
      <c r="J32">
        <v>3.4720170000000001</v>
      </c>
      <c r="K32">
        <v>3.2554319999999999</v>
      </c>
      <c r="L32">
        <v>3.4012799999999999</v>
      </c>
      <c r="M32">
        <v>0.351995</v>
      </c>
    </row>
    <row r="33" spans="1:13">
      <c r="A33" s="82">
        <v>43185</v>
      </c>
      <c r="B33">
        <v>7.8865850000000002</v>
      </c>
      <c r="C33">
        <v>1.0406260000000001</v>
      </c>
      <c r="D33">
        <v>7.0955899999999996</v>
      </c>
      <c r="E33">
        <v>6.933789</v>
      </c>
      <c r="F33">
        <v>4.2572099999999997</v>
      </c>
      <c r="G33">
        <v>6.2301570000000002</v>
      </c>
      <c r="H33">
        <v>4.1789849999999999</v>
      </c>
      <c r="I33">
        <v>0.66820000000000002</v>
      </c>
      <c r="J33">
        <v>3.4699559999999998</v>
      </c>
      <c r="K33">
        <v>3.2516620000000001</v>
      </c>
      <c r="L33">
        <v>3.3990529999999999</v>
      </c>
      <c r="M33">
        <v>0.351576</v>
      </c>
    </row>
    <row r="34" spans="1:13">
      <c r="A34" s="82">
        <v>43182</v>
      </c>
      <c r="B34">
        <v>7.8713930000000003</v>
      </c>
      <c r="C34">
        <v>1.040505</v>
      </c>
      <c r="D34">
        <v>7.0904179999999997</v>
      </c>
      <c r="E34">
        <v>6.9271799999999999</v>
      </c>
      <c r="F34">
        <v>4.2546210000000002</v>
      </c>
      <c r="G34">
        <v>6.2251240000000001</v>
      </c>
      <c r="H34">
        <v>4.1756880000000001</v>
      </c>
      <c r="I34">
        <v>0.66689799999999999</v>
      </c>
      <c r="J34">
        <v>3.463873</v>
      </c>
      <c r="K34">
        <v>3.2449669999999999</v>
      </c>
      <c r="L34">
        <v>3.393078</v>
      </c>
      <c r="M34">
        <v>0.350962</v>
      </c>
    </row>
    <row r="35" spans="1:13">
      <c r="A35" s="82">
        <v>43181</v>
      </c>
      <c r="B35">
        <v>7.8665250000000002</v>
      </c>
      <c r="C35">
        <v>1.040351</v>
      </c>
      <c r="D35">
        <v>7.0771730000000002</v>
      </c>
      <c r="E35">
        <v>6.915527</v>
      </c>
      <c r="F35">
        <v>4.2463680000000004</v>
      </c>
      <c r="G35">
        <v>6.2142090000000003</v>
      </c>
      <c r="H35">
        <v>4.1682759999999996</v>
      </c>
      <c r="I35">
        <v>0.666771</v>
      </c>
      <c r="J35">
        <v>3.4620320000000002</v>
      </c>
      <c r="K35">
        <v>3.2430870000000001</v>
      </c>
      <c r="L35">
        <v>3.3910040000000001</v>
      </c>
      <c r="M35">
        <v>0.35065499999999999</v>
      </c>
    </row>
    <row r="36" spans="1:13">
      <c r="A36" s="82">
        <v>43180</v>
      </c>
      <c r="B36">
        <v>7.8616979999999996</v>
      </c>
      <c r="C36">
        <v>1.04023</v>
      </c>
      <c r="D36">
        <v>7.0736230000000004</v>
      </c>
      <c r="E36">
        <v>6.9123089999999996</v>
      </c>
      <c r="F36">
        <v>4.2433540000000001</v>
      </c>
      <c r="G36">
        <v>6.2111799999999997</v>
      </c>
      <c r="H36">
        <v>4.1652300000000002</v>
      </c>
      <c r="I36">
        <v>0.66700400000000004</v>
      </c>
      <c r="J36">
        <v>3.459946</v>
      </c>
      <c r="K36">
        <v>3.2413669999999999</v>
      </c>
      <c r="L36">
        <v>3.3886940000000001</v>
      </c>
      <c r="M36">
        <v>0.35042400000000001</v>
      </c>
    </row>
    <row r="37" spans="1:13">
      <c r="A37" s="82">
        <v>43179</v>
      </c>
      <c r="B37">
        <v>7.8568389999999999</v>
      </c>
      <c r="C37">
        <v>1.040157</v>
      </c>
      <c r="D37">
        <v>7.0678380000000001</v>
      </c>
      <c r="E37">
        <v>6.908455</v>
      </c>
      <c r="F37">
        <v>4.2405169999999996</v>
      </c>
      <c r="G37">
        <v>6.2053609999999999</v>
      </c>
      <c r="H37">
        <v>4.1628160000000003</v>
      </c>
      <c r="I37">
        <v>0.66673099999999996</v>
      </c>
      <c r="J37">
        <v>3.4575550000000002</v>
      </c>
      <c r="K37">
        <v>3.2385220000000001</v>
      </c>
      <c r="L37">
        <v>3.3865729999999998</v>
      </c>
      <c r="M37">
        <v>0.35002299999999997</v>
      </c>
    </row>
    <row r="38" spans="1:13">
      <c r="A38" s="82">
        <v>43178</v>
      </c>
      <c r="B38">
        <v>7.85189</v>
      </c>
      <c r="C38">
        <v>1.0400780000000001</v>
      </c>
      <c r="D38">
        <v>7.0622889999999998</v>
      </c>
      <c r="E38">
        <v>6.9010619999999996</v>
      </c>
      <c r="F38">
        <v>4.2374609999999997</v>
      </c>
      <c r="G38">
        <v>6.2009689999999997</v>
      </c>
      <c r="H38">
        <v>4.1596260000000003</v>
      </c>
      <c r="I38">
        <v>0.66507099999999997</v>
      </c>
      <c r="J38">
        <v>3.4554619999999998</v>
      </c>
      <c r="K38">
        <v>3.2367089999999998</v>
      </c>
      <c r="L38">
        <v>3.383184</v>
      </c>
      <c r="M38">
        <v>0.349775</v>
      </c>
    </row>
    <row r="39" spans="1:13">
      <c r="A39" s="82">
        <v>43175</v>
      </c>
      <c r="B39">
        <v>7.8366769999999999</v>
      </c>
      <c r="C39">
        <v>1.040049</v>
      </c>
      <c r="D39">
        <v>7.0558909999999999</v>
      </c>
      <c r="E39">
        <v>6.8946870000000002</v>
      </c>
      <c r="F39">
        <v>4.2346529999999998</v>
      </c>
      <c r="G39">
        <v>6.1956429999999996</v>
      </c>
      <c r="H39">
        <v>4.1562289999999997</v>
      </c>
      <c r="I39">
        <v>0.66491400000000001</v>
      </c>
      <c r="J39">
        <v>3.450132</v>
      </c>
      <c r="K39">
        <v>3.2310989999999999</v>
      </c>
      <c r="L39">
        <v>3.375712</v>
      </c>
      <c r="M39">
        <v>0.34925200000000001</v>
      </c>
    </row>
    <row r="40" spans="1:13">
      <c r="A40" s="82">
        <v>43174</v>
      </c>
      <c r="B40">
        <v>7.831747</v>
      </c>
      <c r="C40">
        <v>1.0399290000000001</v>
      </c>
      <c r="D40">
        <v>7.0428139999999999</v>
      </c>
      <c r="E40">
        <v>6.88246</v>
      </c>
      <c r="F40">
        <v>4.2260799999999996</v>
      </c>
      <c r="G40">
        <v>6.1840970000000004</v>
      </c>
      <c r="H40">
        <v>4.1485599999999998</v>
      </c>
      <c r="I40">
        <v>0.66655399999999998</v>
      </c>
      <c r="J40">
        <v>3.447565</v>
      </c>
      <c r="K40">
        <v>3.2292139999999998</v>
      </c>
      <c r="L40">
        <v>3.3736410000000001</v>
      </c>
      <c r="M40">
        <v>0.34909400000000002</v>
      </c>
    </row>
    <row r="41" spans="1:13">
      <c r="A41" s="82">
        <v>43173</v>
      </c>
      <c r="B41">
        <v>7.8268069999999996</v>
      </c>
      <c r="C41">
        <v>1.0398259999999999</v>
      </c>
      <c r="D41">
        <v>7.0383209999999998</v>
      </c>
      <c r="E41">
        <v>6.8779000000000003</v>
      </c>
      <c r="F41">
        <v>4.2233000000000001</v>
      </c>
      <c r="G41">
        <v>6.18011</v>
      </c>
      <c r="H41">
        <v>4.1459799999999998</v>
      </c>
      <c r="I41">
        <v>0.66433299999999995</v>
      </c>
      <c r="J41">
        <v>3.4454910000000001</v>
      </c>
      <c r="K41">
        <v>3.2273170000000002</v>
      </c>
      <c r="L41">
        <v>3.3720469999999998</v>
      </c>
      <c r="M41">
        <v>0.348798</v>
      </c>
    </row>
    <row r="42" spans="1:13">
      <c r="A42" s="82">
        <v>43172</v>
      </c>
      <c r="B42">
        <v>7.8217970000000001</v>
      </c>
      <c r="C42">
        <v>1.039739</v>
      </c>
      <c r="D42">
        <v>7.0331619999999999</v>
      </c>
      <c r="E42">
        <v>6.872903</v>
      </c>
      <c r="F42">
        <v>4.2202929999999999</v>
      </c>
      <c r="G42">
        <v>6.1756419999999999</v>
      </c>
      <c r="H42">
        <v>4.1428950000000002</v>
      </c>
      <c r="I42">
        <v>0.66366000000000003</v>
      </c>
      <c r="J42">
        <v>3.4433660000000001</v>
      </c>
      <c r="K42">
        <v>3.2252610000000002</v>
      </c>
      <c r="L42">
        <v>3.3699810000000001</v>
      </c>
      <c r="M42">
        <v>0.34857300000000002</v>
      </c>
    </row>
    <row r="43" spans="1:13">
      <c r="A43" s="82">
        <v>43171</v>
      </c>
      <c r="B43">
        <v>7.8168749999999996</v>
      </c>
      <c r="C43">
        <v>1.0396510000000001</v>
      </c>
      <c r="D43">
        <v>7.0283290000000003</v>
      </c>
      <c r="E43">
        <v>6.8680729999999999</v>
      </c>
      <c r="F43">
        <v>4.2174050000000003</v>
      </c>
      <c r="G43">
        <v>6.1713149999999999</v>
      </c>
      <c r="H43">
        <v>4.1401070000000004</v>
      </c>
      <c r="I43">
        <v>0.66330100000000003</v>
      </c>
      <c r="J43">
        <v>3.4415749999999998</v>
      </c>
      <c r="K43">
        <v>3.223363</v>
      </c>
      <c r="L43">
        <v>3.3679830000000002</v>
      </c>
      <c r="M43">
        <v>0.34836800000000001</v>
      </c>
    </row>
    <row r="44" spans="1:13">
      <c r="A44" s="82">
        <v>43168</v>
      </c>
      <c r="B44">
        <v>7.8018929999999997</v>
      </c>
      <c r="C44">
        <v>1.039334</v>
      </c>
      <c r="D44">
        <v>7.021846</v>
      </c>
      <c r="E44">
        <v>6.8618069999999998</v>
      </c>
      <c r="F44">
        <v>4.2143490000000003</v>
      </c>
      <c r="G44">
        <v>6.165826</v>
      </c>
      <c r="H44">
        <v>4.1365239999999996</v>
      </c>
      <c r="I44">
        <v>0.66378000000000004</v>
      </c>
      <c r="J44">
        <v>3.4360110000000001</v>
      </c>
      <c r="K44">
        <v>3.217787</v>
      </c>
      <c r="L44">
        <v>3.362365</v>
      </c>
      <c r="M44">
        <v>0.34776200000000002</v>
      </c>
    </row>
    <row r="45" spans="1:13">
      <c r="A45" s="82">
        <v>43167</v>
      </c>
      <c r="B45">
        <v>7.7969530000000002</v>
      </c>
      <c r="C45">
        <v>1.0392479999999999</v>
      </c>
      <c r="D45">
        <v>7.0094859999999999</v>
      </c>
      <c r="E45">
        <v>6.8495840000000001</v>
      </c>
      <c r="F45">
        <v>4.2059670000000002</v>
      </c>
      <c r="G45">
        <v>6.1547580000000002</v>
      </c>
      <c r="H45">
        <v>4.1289949999999997</v>
      </c>
      <c r="I45">
        <v>0.66427800000000004</v>
      </c>
      <c r="J45">
        <v>3.4342220000000001</v>
      </c>
      <c r="K45">
        <v>3.2157360000000001</v>
      </c>
      <c r="L45">
        <v>3.3601749999999999</v>
      </c>
      <c r="M45">
        <v>0.34761900000000001</v>
      </c>
    </row>
    <row r="46" spans="1:13">
      <c r="A46" s="82">
        <v>43166</v>
      </c>
      <c r="B46">
        <v>7.7920870000000004</v>
      </c>
      <c r="C46">
        <v>1.039142</v>
      </c>
      <c r="D46">
        <v>7.0045489999999999</v>
      </c>
      <c r="E46">
        <v>6.8447079999999998</v>
      </c>
      <c r="F46">
        <v>4.2030609999999999</v>
      </c>
      <c r="G46">
        <v>6.150525</v>
      </c>
      <c r="H46">
        <v>4.125972</v>
      </c>
      <c r="I46">
        <v>0.66477799999999998</v>
      </c>
      <c r="J46">
        <v>3.4318569999999999</v>
      </c>
      <c r="K46">
        <v>3.2139519999999999</v>
      </c>
      <c r="L46">
        <v>3.3579059999999998</v>
      </c>
      <c r="M46">
        <v>0.34747099999999997</v>
      </c>
    </row>
    <row r="47" spans="1:13">
      <c r="A47" s="82">
        <v>43165</v>
      </c>
      <c r="B47">
        <v>7.7871519999999999</v>
      </c>
      <c r="C47">
        <v>1.0391090000000001</v>
      </c>
      <c r="D47">
        <v>6.9993650000000001</v>
      </c>
      <c r="E47">
        <v>6.839995</v>
      </c>
      <c r="F47">
        <v>4.2001020000000002</v>
      </c>
      <c r="G47">
        <v>6.1462430000000001</v>
      </c>
      <c r="H47">
        <v>4.1232069999999998</v>
      </c>
      <c r="I47">
        <v>0.66901999999999995</v>
      </c>
      <c r="J47">
        <v>3.4292340000000001</v>
      </c>
      <c r="K47">
        <v>3.2125059999999999</v>
      </c>
      <c r="L47">
        <v>3.355537</v>
      </c>
      <c r="M47">
        <v>0.34710999999999997</v>
      </c>
    </row>
    <row r="48" spans="1:13">
      <c r="A48" s="82">
        <v>43164</v>
      </c>
      <c r="B48">
        <v>7.7822810000000002</v>
      </c>
      <c r="C48">
        <v>1.0390809999999999</v>
      </c>
      <c r="D48">
        <v>6.9944220000000001</v>
      </c>
      <c r="E48">
        <v>6.8354900000000001</v>
      </c>
      <c r="F48">
        <v>4.1973440000000002</v>
      </c>
      <c r="G48">
        <v>6.1419769999999998</v>
      </c>
      <c r="H48">
        <v>4.1204359999999998</v>
      </c>
      <c r="I48">
        <v>0.66618299999999997</v>
      </c>
      <c r="J48">
        <v>3.4274830000000001</v>
      </c>
      <c r="K48">
        <v>3.2108020000000002</v>
      </c>
      <c r="L48">
        <v>3.3510490000000002</v>
      </c>
      <c r="M48">
        <v>0.34680800000000001</v>
      </c>
    </row>
    <row r="49" spans="1:13">
      <c r="A49" s="82">
        <v>43161</v>
      </c>
      <c r="B49">
        <v>7.7673819999999996</v>
      </c>
      <c r="C49">
        <v>1.039075</v>
      </c>
      <c r="D49">
        <v>6.986713</v>
      </c>
      <c r="E49">
        <v>6.8286980000000002</v>
      </c>
      <c r="F49">
        <v>4.1945249999999996</v>
      </c>
      <c r="G49">
        <v>6.1367510000000003</v>
      </c>
      <c r="H49">
        <v>4.1168940000000003</v>
      </c>
      <c r="I49">
        <v>0.66719499999999998</v>
      </c>
      <c r="J49">
        <v>3.4208129999999999</v>
      </c>
      <c r="K49">
        <v>3.2055349999999998</v>
      </c>
      <c r="L49">
        <v>3.3450479999999998</v>
      </c>
      <c r="M49">
        <v>0.34628199999999998</v>
      </c>
    </row>
    <row r="50" spans="1:13">
      <c r="A50" s="82">
        <v>43160</v>
      </c>
      <c r="B50">
        <v>7.7625820000000001</v>
      </c>
      <c r="C50">
        <v>1.038975</v>
      </c>
      <c r="D50">
        <v>6.9743259999999996</v>
      </c>
      <c r="E50">
        <v>6.8163600000000004</v>
      </c>
      <c r="F50">
        <v>4.1857389999999999</v>
      </c>
      <c r="G50">
        <v>6.1251139999999999</v>
      </c>
      <c r="H50">
        <v>4.1090609999999996</v>
      </c>
      <c r="I50">
        <v>0.66514300000000004</v>
      </c>
      <c r="J50">
        <v>3.4185859999999999</v>
      </c>
      <c r="K50">
        <v>3.203252</v>
      </c>
      <c r="L50">
        <v>3.3430270000000002</v>
      </c>
      <c r="M50">
        <v>0.34602500000000003</v>
      </c>
    </row>
    <row r="51" spans="1:13">
      <c r="A51" s="82">
        <v>43159</v>
      </c>
      <c r="B51">
        <v>7.757924</v>
      </c>
      <c r="C51">
        <v>1.038875</v>
      </c>
      <c r="D51">
        <v>6.9696470000000001</v>
      </c>
      <c r="E51">
        <v>6.8114249999999998</v>
      </c>
      <c r="F51">
        <v>4.1829499999999999</v>
      </c>
      <c r="G51">
        <v>6.1210170000000002</v>
      </c>
      <c r="H51">
        <v>4.1061709999999998</v>
      </c>
      <c r="I51">
        <v>0.66378999999999999</v>
      </c>
      <c r="J51">
        <v>3.4169890000000001</v>
      </c>
      <c r="K51">
        <v>3.2014520000000002</v>
      </c>
      <c r="L51">
        <v>3.341011</v>
      </c>
      <c r="M51">
        <v>0.345725</v>
      </c>
    </row>
    <row r="52" spans="1:13">
      <c r="A52" s="82">
        <v>43158</v>
      </c>
      <c r="B52">
        <v>7.7530539999999997</v>
      </c>
      <c r="C52">
        <v>1.03881</v>
      </c>
      <c r="D52">
        <v>6.9652019999999997</v>
      </c>
      <c r="E52">
        <v>6.8067849999999996</v>
      </c>
      <c r="F52">
        <v>4.1802510000000002</v>
      </c>
      <c r="G52">
        <v>6.1170179999999998</v>
      </c>
      <c r="H52">
        <v>4.1036520000000003</v>
      </c>
      <c r="I52">
        <v>0.66466800000000004</v>
      </c>
      <c r="J52">
        <v>3.4150299999999998</v>
      </c>
      <c r="K52">
        <v>3.1997559999999998</v>
      </c>
      <c r="L52">
        <v>3.3389829999999998</v>
      </c>
      <c r="M52">
        <v>0.34533700000000001</v>
      </c>
    </row>
    <row r="53" spans="1:13">
      <c r="A53" s="82">
        <v>43157</v>
      </c>
      <c r="B53">
        <v>7.7482110000000004</v>
      </c>
      <c r="C53">
        <v>1.0387109999999999</v>
      </c>
      <c r="D53">
        <v>6.9603789999999996</v>
      </c>
      <c r="E53">
        <v>6.8014219999999996</v>
      </c>
      <c r="F53">
        <v>4.1774240000000002</v>
      </c>
      <c r="G53">
        <v>6.1127739999999999</v>
      </c>
      <c r="H53">
        <v>4.1007600000000002</v>
      </c>
      <c r="I53">
        <v>0.67045500000000002</v>
      </c>
      <c r="J53">
        <v>3.411988</v>
      </c>
      <c r="K53">
        <v>3.197962</v>
      </c>
      <c r="L53">
        <v>3.3369239999999998</v>
      </c>
      <c r="M53">
        <v>0.345387</v>
      </c>
    </row>
    <row r="54" spans="1:13">
      <c r="A54" s="82">
        <v>43154</v>
      </c>
      <c r="B54">
        <v>7.7334449999999997</v>
      </c>
      <c r="C54">
        <v>1.0386089999999999</v>
      </c>
      <c r="D54">
        <v>6.9549519999999996</v>
      </c>
      <c r="E54">
        <v>6.794543</v>
      </c>
      <c r="F54">
        <v>4.1746949999999998</v>
      </c>
      <c r="G54">
        <v>6.1078239999999999</v>
      </c>
      <c r="H54">
        <v>4.097378</v>
      </c>
      <c r="I54">
        <v>0.66618999999999995</v>
      </c>
      <c r="J54">
        <v>3.4056139999999999</v>
      </c>
      <c r="K54">
        <v>3.1924860000000002</v>
      </c>
      <c r="L54">
        <v>3.330749</v>
      </c>
      <c r="M54">
        <v>0.34471099999999999</v>
      </c>
    </row>
    <row r="55" spans="1:13">
      <c r="A55" s="82">
        <v>43153</v>
      </c>
      <c r="B55">
        <v>7.7286599999999996</v>
      </c>
      <c r="C55">
        <v>1.0385340000000001</v>
      </c>
      <c r="D55">
        <v>6.9412500000000001</v>
      </c>
      <c r="E55">
        <v>6.7824059999999999</v>
      </c>
      <c r="F55">
        <v>4.1664909999999997</v>
      </c>
      <c r="G55">
        <v>6.0964410000000004</v>
      </c>
      <c r="H55">
        <v>4.0901620000000003</v>
      </c>
      <c r="I55">
        <v>0.66554599999999997</v>
      </c>
      <c r="J55">
        <v>3.403616</v>
      </c>
      <c r="K55">
        <v>3.1908150000000002</v>
      </c>
      <c r="L55">
        <v>3.328783</v>
      </c>
      <c r="M55">
        <v>0.34435700000000002</v>
      </c>
    </row>
    <row r="56" spans="1:13">
      <c r="A56" s="82">
        <v>43152</v>
      </c>
      <c r="B56">
        <v>7.723808</v>
      </c>
      <c r="C56">
        <v>1.038443</v>
      </c>
      <c r="D56">
        <v>6.9359710000000003</v>
      </c>
      <c r="E56">
        <v>6.7772880000000004</v>
      </c>
      <c r="F56">
        <v>4.163373</v>
      </c>
      <c r="G56">
        <v>6.0917779999999997</v>
      </c>
      <c r="H56">
        <v>4.0865</v>
      </c>
      <c r="I56">
        <v>0.66463399999999995</v>
      </c>
      <c r="J56">
        <v>3.4013620000000002</v>
      </c>
      <c r="K56">
        <v>3.1890390000000002</v>
      </c>
      <c r="L56">
        <v>3.3269359999999999</v>
      </c>
      <c r="M56">
        <v>0.344192</v>
      </c>
    </row>
    <row r="57" spans="1:13">
      <c r="A57" s="82">
        <v>43151</v>
      </c>
      <c r="B57">
        <v>7.718998</v>
      </c>
      <c r="C57">
        <v>1.0383709999999999</v>
      </c>
      <c r="D57">
        <v>6.9320190000000004</v>
      </c>
      <c r="E57">
        <v>6.7733429999999997</v>
      </c>
      <c r="F57">
        <v>4.1609569999999998</v>
      </c>
      <c r="G57">
        <v>6.0871599999999999</v>
      </c>
      <c r="H57">
        <v>4.0840389999999998</v>
      </c>
      <c r="I57">
        <v>0.66262699999999997</v>
      </c>
      <c r="J57">
        <v>3.3997489999999999</v>
      </c>
      <c r="K57">
        <v>3.1871269999999998</v>
      </c>
      <c r="L57">
        <v>3.324821</v>
      </c>
      <c r="M57">
        <v>0.34385100000000002</v>
      </c>
    </row>
    <row r="58" spans="1:13">
      <c r="A58" s="82">
        <v>43150</v>
      </c>
      <c r="B58">
        <v>7.7139179999999996</v>
      </c>
      <c r="C58">
        <v>1.038279</v>
      </c>
      <c r="D58">
        <v>6.9251820000000004</v>
      </c>
      <c r="E58">
        <v>6.7680689999999997</v>
      </c>
      <c r="F58">
        <v>4.1577380000000002</v>
      </c>
      <c r="G58">
        <v>6.0827299999999997</v>
      </c>
      <c r="H58">
        <v>4.0802050000000003</v>
      </c>
      <c r="I58">
        <v>0.66316299999999995</v>
      </c>
      <c r="J58">
        <v>3.3973550000000001</v>
      </c>
      <c r="K58">
        <v>3.1856589999999998</v>
      </c>
      <c r="L58">
        <v>3.322835</v>
      </c>
      <c r="M58">
        <v>0.34370200000000001</v>
      </c>
    </row>
    <row r="59" spans="1:13">
      <c r="A59" s="82">
        <v>43147</v>
      </c>
      <c r="B59">
        <v>7.6987059999999996</v>
      </c>
      <c r="C59">
        <v>1.0382</v>
      </c>
      <c r="D59">
        <v>6.9107430000000001</v>
      </c>
      <c r="E59">
        <v>6.7605750000000002</v>
      </c>
      <c r="F59">
        <v>4.1542240000000001</v>
      </c>
      <c r="G59">
        <v>6.0770949999999999</v>
      </c>
      <c r="H59">
        <v>4.0761539999999998</v>
      </c>
      <c r="I59">
        <v>0.660103</v>
      </c>
      <c r="J59">
        <v>3.3911549999999999</v>
      </c>
      <c r="K59">
        <v>3.1804749999999999</v>
      </c>
      <c r="L59">
        <v>3.3168980000000001</v>
      </c>
      <c r="M59">
        <v>0.343028</v>
      </c>
    </row>
    <row r="60" spans="1:13">
      <c r="A60" s="82">
        <v>43146</v>
      </c>
      <c r="B60">
        <v>7.6935929999999999</v>
      </c>
      <c r="C60">
        <v>1.0380309999999999</v>
      </c>
      <c r="D60">
        <v>6.9056470000000001</v>
      </c>
      <c r="E60">
        <v>6.748176</v>
      </c>
      <c r="F60">
        <v>4.1454620000000002</v>
      </c>
      <c r="G60">
        <v>6.065137</v>
      </c>
      <c r="H60">
        <v>4.0683509999999998</v>
      </c>
      <c r="I60">
        <v>0.65792099999999998</v>
      </c>
      <c r="J60">
        <v>3.3904380000000001</v>
      </c>
      <c r="K60">
        <v>3.178957</v>
      </c>
      <c r="L60">
        <v>3.3144070000000001</v>
      </c>
      <c r="M60">
        <v>0.34275600000000001</v>
      </c>
    </row>
    <row r="61" spans="1:13">
      <c r="A61" s="82">
        <v>43145</v>
      </c>
      <c r="B61">
        <v>7.6886979999999996</v>
      </c>
      <c r="C61">
        <v>1.037933</v>
      </c>
      <c r="D61">
        <v>6.9018309999999996</v>
      </c>
      <c r="E61">
        <v>6.7438219999999998</v>
      </c>
      <c r="F61">
        <v>4.1428510000000003</v>
      </c>
      <c r="G61">
        <v>6.0613539999999997</v>
      </c>
      <c r="H61">
        <v>4.0656670000000004</v>
      </c>
      <c r="I61">
        <v>0.66227499999999995</v>
      </c>
      <c r="J61">
        <v>3.3889109999999998</v>
      </c>
      <c r="K61">
        <v>3.1772279999999999</v>
      </c>
      <c r="L61">
        <v>3.3123969999999998</v>
      </c>
      <c r="M61">
        <v>0.34244599999999997</v>
      </c>
    </row>
    <row r="62" spans="1:13">
      <c r="A62" s="82">
        <v>43140</v>
      </c>
      <c r="B62">
        <v>7.6633969999999998</v>
      </c>
      <c r="C62">
        <v>1.0379290000000001</v>
      </c>
      <c r="D62">
        <v>6.8938309999999996</v>
      </c>
      <c r="E62">
        <v>6.7356860000000003</v>
      </c>
      <c r="F62">
        <v>4.1404129999999997</v>
      </c>
      <c r="G62">
        <v>6.0553100000000004</v>
      </c>
      <c r="H62">
        <v>4.062138</v>
      </c>
      <c r="I62">
        <v>0.66270600000000002</v>
      </c>
      <c r="J62">
        <v>3.3791630000000001</v>
      </c>
      <c r="K62">
        <v>3.168831</v>
      </c>
      <c r="L62">
        <v>3.3023220000000002</v>
      </c>
      <c r="M62">
        <v>0.34119300000000002</v>
      </c>
    </row>
    <row r="63" spans="1:13">
      <c r="A63" s="82">
        <v>43139</v>
      </c>
      <c r="B63">
        <v>7.6584519999999996</v>
      </c>
      <c r="C63">
        <v>1.037841</v>
      </c>
      <c r="D63">
        <v>6.8757580000000003</v>
      </c>
      <c r="E63">
        <v>6.7182300000000001</v>
      </c>
      <c r="F63">
        <v>4.1266639999999999</v>
      </c>
      <c r="G63">
        <v>6.0375189999999996</v>
      </c>
      <c r="H63">
        <v>4.0503359999999997</v>
      </c>
      <c r="I63">
        <v>0.66166199999999997</v>
      </c>
      <c r="J63">
        <v>3.3758629999999998</v>
      </c>
      <c r="K63">
        <v>3.1669640000000001</v>
      </c>
      <c r="L63">
        <v>3.3001809999999998</v>
      </c>
      <c r="M63">
        <v>0.34099699999999999</v>
      </c>
    </row>
    <row r="64" spans="1:13">
      <c r="A64" s="82">
        <v>43138</v>
      </c>
      <c r="B64">
        <v>7.653505</v>
      </c>
      <c r="C64">
        <v>1.0378350000000001</v>
      </c>
      <c r="D64">
        <v>6.8712169999999997</v>
      </c>
      <c r="E64">
        <v>6.7137469999999997</v>
      </c>
      <c r="F64">
        <v>4.1238400000000004</v>
      </c>
      <c r="G64">
        <v>6.0333779999999999</v>
      </c>
      <c r="H64">
        <v>4.0476510000000001</v>
      </c>
      <c r="I64">
        <v>0.65652200000000005</v>
      </c>
      <c r="J64">
        <v>3.373259</v>
      </c>
      <c r="K64">
        <v>3.1652239999999998</v>
      </c>
      <c r="L64">
        <v>3.2982649999999998</v>
      </c>
      <c r="M64">
        <v>0.34099299999999999</v>
      </c>
    </row>
    <row r="65" spans="1:13">
      <c r="A65" s="82">
        <v>43137</v>
      </c>
      <c r="B65">
        <v>7.6486499999999999</v>
      </c>
      <c r="C65">
        <v>1.037744</v>
      </c>
      <c r="D65">
        <v>6.8665989999999999</v>
      </c>
      <c r="E65">
        <v>6.7092710000000002</v>
      </c>
      <c r="F65">
        <v>4.1210380000000004</v>
      </c>
      <c r="G65">
        <v>6.0290460000000001</v>
      </c>
      <c r="H65">
        <v>4.044905</v>
      </c>
      <c r="I65">
        <v>0.65342100000000003</v>
      </c>
      <c r="J65">
        <v>3.3709220000000002</v>
      </c>
      <c r="K65">
        <v>3.1636489999999999</v>
      </c>
      <c r="L65">
        <v>3.296262</v>
      </c>
      <c r="M65">
        <v>0.34072400000000003</v>
      </c>
    </row>
    <row r="66" spans="1:13">
      <c r="A66" s="82">
        <v>43136</v>
      </c>
      <c r="B66">
        <v>7.6438940000000004</v>
      </c>
      <c r="C66">
        <v>1.0377190000000001</v>
      </c>
      <c r="D66">
        <v>6.8621629999999998</v>
      </c>
      <c r="E66">
        <v>6.7043569999999999</v>
      </c>
      <c r="F66">
        <v>4.1181239999999999</v>
      </c>
      <c r="G66">
        <v>6.0246579999999996</v>
      </c>
      <c r="H66">
        <v>4.0420740000000004</v>
      </c>
      <c r="I66">
        <v>0.65225999999999995</v>
      </c>
      <c r="J66">
        <v>3.3690340000000001</v>
      </c>
      <c r="K66">
        <v>3.1619410000000001</v>
      </c>
      <c r="L66">
        <v>3.2941590000000001</v>
      </c>
      <c r="M66">
        <v>0.34051700000000001</v>
      </c>
    </row>
    <row r="67" spans="1:13">
      <c r="A67" s="82">
        <v>43133</v>
      </c>
      <c r="B67">
        <v>7.6291919999999998</v>
      </c>
      <c r="C67">
        <v>1.0377149999999999</v>
      </c>
      <c r="D67">
        <v>6.8543950000000002</v>
      </c>
      <c r="E67">
        <v>6.6979930000000003</v>
      </c>
      <c r="F67">
        <v>4.1153029999999999</v>
      </c>
      <c r="G67">
        <v>6.0193399999999997</v>
      </c>
      <c r="H67">
        <v>4.038475</v>
      </c>
      <c r="I67">
        <v>0.65249699999999999</v>
      </c>
      <c r="J67">
        <v>3.3626659999999999</v>
      </c>
      <c r="K67">
        <v>3.1568520000000002</v>
      </c>
      <c r="L67">
        <v>3.2881749999999998</v>
      </c>
      <c r="M67">
        <v>0.33996599999999999</v>
      </c>
    </row>
    <row r="68" spans="1:13">
      <c r="A68" s="82">
        <v>43132</v>
      </c>
      <c r="B68">
        <v>7.6242780000000003</v>
      </c>
      <c r="C68">
        <v>1.0375449999999999</v>
      </c>
      <c r="D68">
        <v>6.843483</v>
      </c>
      <c r="E68">
        <v>6.6858899999999997</v>
      </c>
      <c r="F68">
        <v>4.1062969999999996</v>
      </c>
      <c r="G68">
        <v>6.0078250000000004</v>
      </c>
      <c r="H68">
        <v>4.0309600000000003</v>
      </c>
      <c r="I68">
        <v>0.65004099999999998</v>
      </c>
      <c r="J68">
        <v>3.361761</v>
      </c>
      <c r="K68">
        <v>3.1550379999999998</v>
      </c>
      <c r="L68">
        <v>3.286241</v>
      </c>
      <c r="M68">
        <v>0.33969700000000003</v>
      </c>
    </row>
    <row r="69" spans="1:13">
      <c r="A69" s="82">
        <v>43131</v>
      </c>
      <c r="B69">
        <v>7.6197509999999999</v>
      </c>
      <c r="C69">
        <v>1.037461</v>
      </c>
      <c r="D69">
        <v>6.8388879999999999</v>
      </c>
      <c r="E69">
        <v>6.6811509999999998</v>
      </c>
      <c r="F69">
        <v>4.1032349999999997</v>
      </c>
      <c r="G69">
        <v>6.003717</v>
      </c>
      <c r="H69">
        <v>4.0281289999999998</v>
      </c>
      <c r="I69">
        <v>0.65503400000000001</v>
      </c>
      <c r="J69">
        <v>3.3601429999999999</v>
      </c>
      <c r="K69">
        <v>3.1533069999999999</v>
      </c>
      <c r="L69">
        <v>3.2842690000000001</v>
      </c>
      <c r="M69">
        <v>0.339777</v>
      </c>
    </row>
    <row r="70" spans="1:13">
      <c r="A70" s="82">
        <v>43130</v>
      </c>
      <c r="B70">
        <v>7.6151400000000002</v>
      </c>
      <c r="C70">
        <v>1.0374019999999999</v>
      </c>
      <c r="D70">
        <v>6.8346099999999996</v>
      </c>
      <c r="E70">
        <v>6.6766079999999999</v>
      </c>
      <c r="F70">
        <v>4.0996160000000001</v>
      </c>
      <c r="G70">
        <v>5.9998100000000001</v>
      </c>
      <c r="H70">
        <v>4.0255960000000002</v>
      </c>
      <c r="I70">
        <v>0.65363400000000005</v>
      </c>
      <c r="J70">
        <v>3.3578899999999998</v>
      </c>
      <c r="K70">
        <v>3.1517930000000001</v>
      </c>
      <c r="L70">
        <v>3.2822659999999999</v>
      </c>
      <c r="M70">
        <v>0.33937299999999998</v>
      </c>
    </row>
    <row r="71" spans="1:13">
      <c r="A71" s="82">
        <v>43129</v>
      </c>
      <c r="B71">
        <v>7.610309</v>
      </c>
      <c r="C71">
        <v>1.03738</v>
      </c>
      <c r="D71">
        <v>6.8298589999999999</v>
      </c>
      <c r="E71">
        <v>6.6718440000000001</v>
      </c>
      <c r="F71">
        <v>4.0968090000000004</v>
      </c>
      <c r="G71">
        <v>5.9956209999999999</v>
      </c>
      <c r="H71">
        <v>4.0216880000000002</v>
      </c>
      <c r="I71">
        <v>0.65896999999999994</v>
      </c>
      <c r="J71">
        <v>3.355861</v>
      </c>
      <c r="K71">
        <v>3.1502699999999999</v>
      </c>
      <c r="L71">
        <v>3.280303</v>
      </c>
      <c r="M71">
        <v>0.33920499999999998</v>
      </c>
    </row>
    <row r="72" spans="1:13">
      <c r="A72" s="82">
        <v>43126</v>
      </c>
      <c r="B72">
        <v>7.5956960000000002</v>
      </c>
      <c r="C72">
        <v>1.0372790000000001</v>
      </c>
      <c r="D72">
        <v>6.8246779999999996</v>
      </c>
      <c r="E72">
        <v>6.6659470000000001</v>
      </c>
      <c r="F72">
        <v>4.094061</v>
      </c>
      <c r="G72">
        <v>5.9904390000000003</v>
      </c>
      <c r="H72">
        <v>4.0182789999999997</v>
      </c>
      <c r="I72">
        <v>0.65901799999999999</v>
      </c>
      <c r="J72">
        <v>3.3503470000000002</v>
      </c>
      <c r="K72">
        <v>3.1456680000000001</v>
      </c>
      <c r="L72">
        <v>3.27433</v>
      </c>
      <c r="M72">
        <v>0.33865400000000001</v>
      </c>
    </row>
    <row r="73" spans="1:13">
      <c r="A73" s="82">
        <v>43125</v>
      </c>
      <c r="B73">
        <v>7.5908920000000002</v>
      </c>
      <c r="C73">
        <v>1.0371109999999999</v>
      </c>
      <c r="D73">
        <v>6.8116250000000003</v>
      </c>
      <c r="E73">
        <v>6.6531229999999999</v>
      </c>
      <c r="F73">
        <v>4.0857640000000002</v>
      </c>
      <c r="G73">
        <v>5.9792129999999997</v>
      </c>
      <c r="H73">
        <v>4.010961</v>
      </c>
      <c r="I73">
        <v>0.65833600000000003</v>
      </c>
      <c r="J73">
        <v>3.3483510000000001</v>
      </c>
      <c r="K73">
        <v>3.1441270000000001</v>
      </c>
      <c r="L73">
        <v>3.272335</v>
      </c>
      <c r="M73">
        <v>0.33839999999999998</v>
      </c>
    </row>
    <row r="74" spans="1:13">
      <c r="A74" s="82">
        <v>43124</v>
      </c>
      <c r="B74">
        <v>7.5859230000000002</v>
      </c>
      <c r="C74">
        <v>1.0369440000000001</v>
      </c>
      <c r="D74">
        <v>6.8070599999999999</v>
      </c>
      <c r="E74">
        <v>6.6478260000000002</v>
      </c>
      <c r="F74">
        <v>4.0831720000000002</v>
      </c>
      <c r="G74">
        <v>5.9751659999999998</v>
      </c>
      <c r="H74">
        <v>4.0082789999999999</v>
      </c>
      <c r="I74">
        <v>0.66085300000000002</v>
      </c>
      <c r="J74">
        <v>3.344716</v>
      </c>
      <c r="K74">
        <v>3.1425700000000001</v>
      </c>
      <c r="L74">
        <v>3.2703220000000002</v>
      </c>
      <c r="M74">
        <v>0.33832299999999998</v>
      </c>
    </row>
    <row r="75" spans="1:13">
      <c r="A75" s="82">
        <v>43123</v>
      </c>
      <c r="B75">
        <v>7.5811289999999998</v>
      </c>
      <c r="C75">
        <v>1.036853</v>
      </c>
      <c r="D75">
        <v>6.8029029999999997</v>
      </c>
      <c r="E75">
        <v>6.6438560000000004</v>
      </c>
      <c r="F75">
        <v>4.080298</v>
      </c>
      <c r="G75">
        <v>5.9714749999999999</v>
      </c>
      <c r="H75">
        <v>4.0059319999999996</v>
      </c>
      <c r="I75">
        <v>0.65475399999999995</v>
      </c>
      <c r="J75">
        <v>3.3418519999999998</v>
      </c>
      <c r="K75">
        <v>3.141041</v>
      </c>
      <c r="L75">
        <v>3.268386</v>
      </c>
      <c r="M75">
        <v>0.33782299999999998</v>
      </c>
    </row>
    <row r="76" spans="1:13">
      <c r="A76" s="82">
        <v>43122</v>
      </c>
      <c r="B76">
        <v>7.5765690000000001</v>
      </c>
      <c r="C76">
        <v>1.0367649999999999</v>
      </c>
      <c r="D76">
        <v>6.7972970000000004</v>
      </c>
      <c r="E76">
        <v>6.6380549999999996</v>
      </c>
      <c r="F76">
        <v>4.0770860000000004</v>
      </c>
      <c r="G76">
        <v>5.9665100000000004</v>
      </c>
      <c r="H76">
        <v>4.0026419999999998</v>
      </c>
      <c r="I76">
        <v>0.65028399999999997</v>
      </c>
      <c r="J76">
        <v>3.339181</v>
      </c>
      <c r="K76">
        <v>3.1395040000000001</v>
      </c>
      <c r="L76">
        <v>3.2660300000000002</v>
      </c>
      <c r="M76">
        <v>0.33742299999999997</v>
      </c>
    </row>
    <row r="77" spans="1:13">
      <c r="A77" s="82">
        <v>43119</v>
      </c>
      <c r="B77">
        <v>7.5620380000000003</v>
      </c>
      <c r="C77">
        <v>1.036513</v>
      </c>
      <c r="D77">
        <v>6.7910250000000003</v>
      </c>
      <c r="E77">
        <v>6.6310229999999999</v>
      </c>
      <c r="F77">
        <v>4.0742510000000003</v>
      </c>
      <c r="G77">
        <v>5.9614339999999997</v>
      </c>
      <c r="H77">
        <v>3.999301</v>
      </c>
      <c r="I77">
        <v>0.64715400000000001</v>
      </c>
      <c r="J77">
        <v>3.332865</v>
      </c>
      <c r="K77">
        <v>3.134862</v>
      </c>
      <c r="L77">
        <v>3.2600310000000001</v>
      </c>
      <c r="M77">
        <v>0.33671099999999998</v>
      </c>
    </row>
    <row r="78" spans="1:13">
      <c r="A78" s="82">
        <v>43118</v>
      </c>
      <c r="B78">
        <v>7.5574300000000001</v>
      </c>
      <c r="C78">
        <v>1.0363439999999999</v>
      </c>
      <c r="D78">
        <v>6.7785399999999996</v>
      </c>
      <c r="E78">
        <v>6.6199579999999996</v>
      </c>
      <c r="F78">
        <v>4.0662440000000002</v>
      </c>
      <c r="G78">
        <v>5.9502680000000003</v>
      </c>
      <c r="H78">
        <v>3.9918900000000002</v>
      </c>
      <c r="I78">
        <v>0.644092</v>
      </c>
      <c r="J78">
        <v>3.3308879999999998</v>
      </c>
      <c r="K78">
        <v>3.1332629999999999</v>
      </c>
      <c r="L78">
        <v>3.258057</v>
      </c>
      <c r="M78">
        <v>0.33637499999999998</v>
      </c>
    </row>
    <row r="79" spans="1:13">
      <c r="A79" s="82">
        <v>43117</v>
      </c>
      <c r="B79">
        <v>7.5527160000000002</v>
      </c>
      <c r="C79">
        <v>1.036171</v>
      </c>
      <c r="D79">
        <v>6.7737420000000004</v>
      </c>
      <c r="E79">
        <v>6.6152769999999999</v>
      </c>
      <c r="F79">
        <v>4.0632380000000001</v>
      </c>
      <c r="G79">
        <v>5.9460329999999999</v>
      </c>
      <c r="H79">
        <v>3.9889999999999999</v>
      </c>
      <c r="I79">
        <v>0.64310199999999995</v>
      </c>
      <c r="J79">
        <v>3.329285</v>
      </c>
      <c r="K79">
        <v>3.1316199999999998</v>
      </c>
      <c r="L79">
        <v>3.256094</v>
      </c>
      <c r="M79">
        <v>0.336175</v>
      </c>
    </row>
    <row r="80" spans="1:13">
      <c r="A80" s="82">
        <v>43116</v>
      </c>
      <c r="B80">
        <v>7.5479310000000002</v>
      </c>
      <c r="C80">
        <v>1.0360799999999999</v>
      </c>
      <c r="D80">
        <v>6.7692059999999996</v>
      </c>
      <c r="E80">
        <v>6.6113039999999996</v>
      </c>
      <c r="F80">
        <v>4.0604449999999996</v>
      </c>
      <c r="G80">
        <v>5.9422709999999999</v>
      </c>
      <c r="H80">
        <v>3.985544</v>
      </c>
      <c r="I80">
        <v>0.64459699999999998</v>
      </c>
      <c r="J80">
        <v>3.3267530000000001</v>
      </c>
      <c r="K80">
        <v>3.1300249999999998</v>
      </c>
      <c r="L80">
        <v>3.254124</v>
      </c>
      <c r="M80">
        <v>0.33607599999999999</v>
      </c>
    </row>
    <row r="81" spans="1:13">
      <c r="A81" s="82">
        <v>43115</v>
      </c>
      <c r="B81">
        <v>7.542948</v>
      </c>
      <c r="C81">
        <v>1.035989</v>
      </c>
      <c r="D81">
        <v>6.7636370000000001</v>
      </c>
      <c r="E81">
        <v>6.6054959999999996</v>
      </c>
      <c r="F81">
        <v>4.057474</v>
      </c>
      <c r="G81">
        <v>5.9373509999999996</v>
      </c>
      <c r="H81">
        <v>3.9833069999999999</v>
      </c>
      <c r="I81">
        <v>0.64115900000000003</v>
      </c>
      <c r="J81">
        <v>3.324484</v>
      </c>
      <c r="K81">
        <v>3.1285210000000001</v>
      </c>
      <c r="L81">
        <v>3.2521409999999999</v>
      </c>
      <c r="M81">
        <v>0.33562399999999998</v>
      </c>
    </row>
    <row r="82" spans="1:13">
      <c r="A82" s="82">
        <v>43112</v>
      </c>
      <c r="B82">
        <v>7.5278710000000002</v>
      </c>
      <c r="C82">
        <v>1.0357400000000001</v>
      </c>
      <c r="D82">
        <v>6.7564039999999999</v>
      </c>
      <c r="E82">
        <v>6.5993209999999998</v>
      </c>
      <c r="F82">
        <v>4.0546730000000002</v>
      </c>
      <c r="G82">
        <v>5.9317929999999999</v>
      </c>
      <c r="H82">
        <v>3.9796109999999998</v>
      </c>
      <c r="I82">
        <v>0.63891900000000001</v>
      </c>
      <c r="J82">
        <v>3.3171970000000002</v>
      </c>
      <c r="K82">
        <v>3.1239330000000001</v>
      </c>
      <c r="L82">
        <v>3.246184</v>
      </c>
      <c r="M82">
        <v>0.33494800000000002</v>
      </c>
    </row>
    <row r="83" spans="1:13">
      <c r="A83" s="82">
        <v>43111</v>
      </c>
      <c r="B83">
        <v>7.522926</v>
      </c>
      <c r="C83">
        <v>1.0355529999999999</v>
      </c>
      <c r="D83">
        <v>6.7445000000000004</v>
      </c>
      <c r="E83">
        <v>6.5878610000000002</v>
      </c>
      <c r="F83">
        <v>4.0463149999999999</v>
      </c>
      <c r="G83">
        <v>5.9203979999999996</v>
      </c>
      <c r="H83">
        <v>3.9721880000000001</v>
      </c>
      <c r="I83">
        <v>0.63863899999999996</v>
      </c>
      <c r="J83">
        <v>3.3155860000000001</v>
      </c>
      <c r="K83">
        <v>3.1223939999999999</v>
      </c>
      <c r="L83">
        <v>3.244192</v>
      </c>
      <c r="M83">
        <v>0.33471699999999999</v>
      </c>
    </row>
    <row r="84" spans="1:13">
      <c r="A84" s="82">
        <v>43110</v>
      </c>
      <c r="B84">
        <v>7.5180090000000002</v>
      </c>
      <c r="C84">
        <v>1.0353870000000001</v>
      </c>
      <c r="D84">
        <v>6.7405109999999997</v>
      </c>
      <c r="E84">
        <v>6.584104</v>
      </c>
      <c r="F84">
        <v>4.0438419999999997</v>
      </c>
      <c r="G84">
        <v>5.9168289999999999</v>
      </c>
      <c r="H84">
        <v>3.9698069999999999</v>
      </c>
      <c r="I84">
        <v>0.637015</v>
      </c>
      <c r="J84">
        <v>3.314578</v>
      </c>
      <c r="K84">
        <v>3.1208490000000002</v>
      </c>
      <c r="L84">
        <v>3.242197</v>
      </c>
      <c r="M84">
        <v>0.33428600000000003</v>
      </c>
    </row>
    <row r="85" spans="1:13">
      <c r="A85" s="82">
        <v>43109</v>
      </c>
      <c r="B85">
        <v>7.5131600000000001</v>
      </c>
      <c r="C85">
        <v>1.0353079999999999</v>
      </c>
      <c r="D85">
        <v>6.7357909999999999</v>
      </c>
      <c r="E85">
        <v>6.5794860000000002</v>
      </c>
      <c r="F85">
        <v>4.0409709999999999</v>
      </c>
      <c r="G85">
        <v>5.9124470000000002</v>
      </c>
      <c r="H85">
        <v>3.9669249999999998</v>
      </c>
      <c r="I85">
        <v>0.64339999999999997</v>
      </c>
      <c r="J85">
        <v>3.3139660000000002</v>
      </c>
      <c r="K85">
        <v>3.1193219999999999</v>
      </c>
      <c r="L85">
        <v>3.2401949999999999</v>
      </c>
      <c r="M85">
        <v>0.33454800000000001</v>
      </c>
    </row>
    <row r="86" spans="1:13">
      <c r="A86" s="82">
        <v>43108</v>
      </c>
      <c r="B86">
        <v>7.5082440000000004</v>
      </c>
      <c r="C86">
        <v>1.035223</v>
      </c>
      <c r="D86">
        <v>6.7309650000000003</v>
      </c>
      <c r="E86">
        <v>6.5750289999999998</v>
      </c>
      <c r="F86">
        <v>4.038335</v>
      </c>
      <c r="G86">
        <v>5.9080649999999997</v>
      </c>
      <c r="H86">
        <v>3.9640300000000002</v>
      </c>
      <c r="I86">
        <v>0.64537500000000003</v>
      </c>
      <c r="J86">
        <v>3.311353</v>
      </c>
      <c r="K86">
        <v>3.117766</v>
      </c>
      <c r="L86">
        <v>3.2382049999999998</v>
      </c>
      <c r="M86">
        <v>0.33448</v>
      </c>
    </row>
    <row r="87" spans="1:13">
      <c r="A87" s="82">
        <v>43105</v>
      </c>
      <c r="B87">
        <v>7.4937250000000004</v>
      </c>
      <c r="C87">
        <v>1.034961</v>
      </c>
      <c r="D87">
        <v>6.7273639999999997</v>
      </c>
      <c r="E87">
        <v>6.5690179999999998</v>
      </c>
      <c r="F87">
        <v>4.0355809999999996</v>
      </c>
      <c r="G87">
        <v>5.9028099999999997</v>
      </c>
      <c r="H87">
        <v>3.960194</v>
      </c>
      <c r="I87">
        <v>0.64134599999999997</v>
      </c>
      <c r="J87">
        <v>3.305482</v>
      </c>
      <c r="K87">
        <v>3.1131039999999999</v>
      </c>
      <c r="L87">
        <v>3.2323590000000002</v>
      </c>
      <c r="M87">
        <v>0.33354800000000001</v>
      </c>
    </row>
    <row r="88" spans="1:13">
      <c r="A88" s="82">
        <v>43104</v>
      </c>
      <c r="B88">
        <v>7.4889830000000002</v>
      </c>
      <c r="C88">
        <v>1.034845</v>
      </c>
      <c r="D88">
        <v>6.7119739999999997</v>
      </c>
      <c r="E88">
        <v>6.5564359999999997</v>
      </c>
      <c r="F88">
        <v>4.0267090000000003</v>
      </c>
      <c r="G88">
        <v>5.8917549999999999</v>
      </c>
      <c r="H88">
        <v>3.9529070000000002</v>
      </c>
      <c r="I88">
        <v>0.63643300000000003</v>
      </c>
      <c r="J88">
        <v>3.301946</v>
      </c>
      <c r="K88">
        <v>3.1122299999999998</v>
      </c>
      <c r="L88">
        <v>3.23034</v>
      </c>
      <c r="M88">
        <v>0.33300000000000002</v>
      </c>
    </row>
    <row r="89" spans="1:13">
      <c r="A89" s="82">
        <v>43103</v>
      </c>
      <c r="B89">
        <v>7.4842510000000004</v>
      </c>
      <c r="C89">
        <v>1.03467</v>
      </c>
      <c r="D89">
        <v>6.7076229999999999</v>
      </c>
      <c r="E89">
        <v>6.5522429999999998</v>
      </c>
      <c r="F89">
        <v>4.024057</v>
      </c>
      <c r="G89">
        <v>5.8879390000000003</v>
      </c>
      <c r="H89">
        <v>3.9503430000000002</v>
      </c>
      <c r="I89">
        <v>0.63186500000000001</v>
      </c>
      <c r="J89">
        <v>3.3003010000000002</v>
      </c>
      <c r="K89">
        <v>3.1105160000000001</v>
      </c>
      <c r="L89">
        <v>3.2284359999999999</v>
      </c>
      <c r="M89">
        <v>0.33254699999999998</v>
      </c>
    </row>
    <row r="90" spans="1:13">
      <c r="A90" s="82">
        <v>43102</v>
      </c>
      <c r="B90">
        <v>7.4794799999999997</v>
      </c>
      <c r="C90">
        <v>1.0346200000000001</v>
      </c>
      <c r="D90">
        <v>6.7025899999999998</v>
      </c>
      <c r="E90">
        <v>6.547644</v>
      </c>
      <c r="F90">
        <v>4.0213489999999998</v>
      </c>
      <c r="G90">
        <v>5.8838480000000004</v>
      </c>
      <c r="H90">
        <v>3.9475340000000001</v>
      </c>
      <c r="I90">
        <v>0.631969</v>
      </c>
      <c r="J90">
        <v>3.2984049999999998</v>
      </c>
      <c r="K90">
        <v>3.1087959999999999</v>
      </c>
      <c r="L90">
        <v>3.2264729999999999</v>
      </c>
      <c r="M90">
        <v>0.33229399999999998</v>
      </c>
    </row>
    <row r="91" spans="1:13">
      <c r="A91" s="82">
        <v>43098</v>
      </c>
      <c r="B91">
        <v>7.4615919999999996</v>
      </c>
      <c r="C91">
        <v>1.0344120000000001</v>
      </c>
      <c r="D91">
        <v>6.6987860000000001</v>
      </c>
      <c r="E91">
        <v>6.5394959999999998</v>
      </c>
      <c r="F91">
        <v>4.0181120000000004</v>
      </c>
      <c r="G91">
        <v>5.8788970000000003</v>
      </c>
      <c r="H91">
        <v>3.9447890000000001</v>
      </c>
      <c r="I91">
        <v>0.63544999999999996</v>
      </c>
      <c r="J91">
        <v>3.2946270000000002</v>
      </c>
      <c r="K91">
        <v>3.1022530000000001</v>
      </c>
      <c r="L91">
        <v>3.2196579999999999</v>
      </c>
      <c r="M91">
        <v>0.332036</v>
      </c>
    </row>
    <row r="92" spans="1:13">
      <c r="A92" s="82">
        <v>43097</v>
      </c>
      <c r="B92">
        <v>7.4568469999999998</v>
      </c>
      <c r="C92">
        <v>1.0342789999999999</v>
      </c>
      <c r="D92">
        <v>6.6656550000000001</v>
      </c>
      <c r="E92">
        <v>6.5227279999999999</v>
      </c>
      <c r="F92">
        <v>4.0036589999999999</v>
      </c>
      <c r="G92">
        <v>5.861726</v>
      </c>
      <c r="H92">
        <v>3.9338950000000001</v>
      </c>
      <c r="I92">
        <v>0.64171299999999998</v>
      </c>
      <c r="J92">
        <v>3.2886099999999998</v>
      </c>
      <c r="K92">
        <v>3.100536</v>
      </c>
      <c r="L92">
        <v>3.2163360000000001</v>
      </c>
      <c r="M92">
        <v>0.33238400000000001</v>
      </c>
    </row>
    <row r="93" spans="1:13">
      <c r="A93" s="82">
        <v>43096</v>
      </c>
      <c r="B93">
        <v>7.452064</v>
      </c>
      <c r="C93">
        <v>1.0340849999999999</v>
      </c>
      <c r="D93">
        <v>6.6530250000000004</v>
      </c>
      <c r="E93">
        <v>6.5086060000000003</v>
      </c>
      <c r="F93">
        <v>3.9979469999999999</v>
      </c>
      <c r="G93">
        <v>5.8469569999999997</v>
      </c>
      <c r="H93">
        <v>3.9223590000000002</v>
      </c>
      <c r="I93">
        <v>0.63012800000000002</v>
      </c>
      <c r="J93">
        <v>3.282626</v>
      </c>
      <c r="K93">
        <v>3.0987990000000001</v>
      </c>
      <c r="L93">
        <v>3.214137</v>
      </c>
      <c r="M93">
        <v>0.33178999999999997</v>
      </c>
    </row>
    <row r="94" spans="1:13">
      <c r="A94" s="82">
        <v>43095</v>
      </c>
      <c r="B94">
        <v>7.4473130000000003</v>
      </c>
      <c r="C94">
        <v>1.033995</v>
      </c>
      <c r="D94">
        <v>6.6506910000000001</v>
      </c>
      <c r="E94">
        <v>6.5042489999999997</v>
      </c>
      <c r="F94">
        <v>3.995317</v>
      </c>
      <c r="G94">
        <v>5.842886</v>
      </c>
      <c r="H94">
        <v>3.9198620000000002</v>
      </c>
      <c r="I94">
        <v>0.62707599999999997</v>
      </c>
      <c r="J94">
        <v>3.2799019999999999</v>
      </c>
      <c r="K94">
        <v>3.0970960000000001</v>
      </c>
      <c r="L94">
        <v>3.2121029999999999</v>
      </c>
      <c r="M94">
        <v>0.33130500000000002</v>
      </c>
    </row>
    <row r="95" spans="1:13">
      <c r="A95" s="82">
        <v>43091</v>
      </c>
      <c r="B95">
        <v>7.4277430000000004</v>
      </c>
      <c r="C95">
        <v>1.033655</v>
      </c>
      <c r="D95">
        <v>6.6424269999999996</v>
      </c>
      <c r="E95">
        <v>6.4954390000000002</v>
      </c>
      <c r="F95">
        <v>3.9924339999999998</v>
      </c>
      <c r="G95">
        <v>5.8369020000000003</v>
      </c>
      <c r="H95">
        <v>3.9156689999999998</v>
      </c>
      <c r="I95">
        <v>0.62222900000000003</v>
      </c>
      <c r="J95">
        <v>3.2711359999999998</v>
      </c>
      <c r="K95">
        <v>3.0902289999999999</v>
      </c>
      <c r="L95">
        <v>3.2049910000000001</v>
      </c>
      <c r="M95">
        <v>0.33075500000000002</v>
      </c>
    </row>
    <row r="96" spans="1:13">
      <c r="A96" s="82">
        <v>43090</v>
      </c>
      <c r="B96">
        <v>7.422714</v>
      </c>
      <c r="C96">
        <v>1.0334950000000001</v>
      </c>
      <c r="D96">
        <v>6.6246049999999999</v>
      </c>
      <c r="E96">
        <v>6.4810290000000004</v>
      </c>
      <c r="F96">
        <v>3.981468</v>
      </c>
      <c r="G96">
        <v>5.8217049999999997</v>
      </c>
      <c r="H96">
        <v>3.9059940000000002</v>
      </c>
      <c r="I96">
        <v>0.619672</v>
      </c>
      <c r="J96">
        <v>3.2670780000000001</v>
      </c>
      <c r="K96">
        <v>3.088508</v>
      </c>
      <c r="L96">
        <v>3.2020430000000002</v>
      </c>
      <c r="M96">
        <v>0.33044299999999999</v>
      </c>
    </row>
    <row r="97" spans="1:13">
      <c r="A97" s="82">
        <v>43089</v>
      </c>
      <c r="B97">
        <v>7.4179490000000001</v>
      </c>
      <c r="C97">
        <v>1.033282</v>
      </c>
      <c r="D97">
        <v>6.6193030000000004</v>
      </c>
      <c r="E97">
        <v>6.476267</v>
      </c>
      <c r="F97">
        <v>3.9787340000000002</v>
      </c>
      <c r="G97">
        <v>5.8174279999999996</v>
      </c>
      <c r="H97">
        <v>3.9027630000000002</v>
      </c>
      <c r="I97">
        <v>0.61541100000000004</v>
      </c>
      <c r="J97">
        <v>3.2648739999999998</v>
      </c>
      <c r="K97">
        <v>3.0868139999999999</v>
      </c>
      <c r="L97">
        <v>3.2000980000000001</v>
      </c>
      <c r="M97">
        <v>0.33008300000000002</v>
      </c>
    </row>
    <row r="98" spans="1:13">
      <c r="A98" s="82">
        <v>43088</v>
      </c>
      <c r="B98">
        <v>7.4128160000000003</v>
      </c>
      <c r="C98">
        <v>1.0331969999999999</v>
      </c>
      <c r="D98">
        <v>6.6133649999999999</v>
      </c>
      <c r="E98">
        <v>6.4710580000000002</v>
      </c>
      <c r="F98">
        <v>3.9754320000000001</v>
      </c>
      <c r="G98">
        <v>5.8113169999999998</v>
      </c>
      <c r="H98">
        <v>3.9000759999999999</v>
      </c>
      <c r="I98">
        <v>0.61385599999999996</v>
      </c>
      <c r="J98">
        <v>3.2625199999999999</v>
      </c>
      <c r="K98">
        <v>3.085099</v>
      </c>
      <c r="L98">
        <v>3.1981009999999999</v>
      </c>
      <c r="M98">
        <v>0.329845</v>
      </c>
    </row>
    <row r="99" spans="1:13">
      <c r="A99" s="82">
        <v>43087</v>
      </c>
      <c r="B99">
        <v>7.4077830000000002</v>
      </c>
      <c r="C99">
        <v>1.033112</v>
      </c>
      <c r="D99">
        <v>6.6045369999999997</v>
      </c>
      <c r="E99">
        <v>6.4641669999999998</v>
      </c>
      <c r="F99">
        <v>3.9718019999999998</v>
      </c>
      <c r="G99">
        <v>5.8066820000000003</v>
      </c>
      <c r="H99">
        <v>3.895184</v>
      </c>
      <c r="I99">
        <v>0.61150499999999997</v>
      </c>
      <c r="J99">
        <v>3.263007</v>
      </c>
      <c r="K99">
        <v>3.0831469999999999</v>
      </c>
      <c r="L99">
        <v>3.1960540000000002</v>
      </c>
      <c r="M99">
        <v>0.329598</v>
      </c>
    </row>
    <row r="100" spans="1:13">
      <c r="A100" s="82">
        <v>43084</v>
      </c>
      <c r="B100">
        <v>7.3922819999999998</v>
      </c>
      <c r="C100">
        <v>1.032891</v>
      </c>
      <c r="D100">
        <v>6.5996300000000003</v>
      </c>
      <c r="E100">
        <v>6.4574590000000001</v>
      </c>
      <c r="F100">
        <v>3.9683860000000002</v>
      </c>
      <c r="G100">
        <v>5.8009500000000003</v>
      </c>
      <c r="H100">
        <v>3.8916140000000001</v>
      </c>
      <c r="I100">
        <v>0.61010500000000001</v>
      </c>
      <c r="J100">
        <v>3.257158</v>
      </c>
      <c r="K100">
        <v>3.0778729999999999</v>
      </c>
      <c r="L100">
        <v>3.1907009999999998</v>
      </c>
      <c r="M100">
        <v>0.32904600000000001</v>
      </c>
    </row>
    <row r="101" spans="1:13">
      <c r="A101" s="82">
        <v>43083</v>
      </c>
      <c r="B101">
        <v>7.3871779999999996</v>
      </c>
      <c r="C101">
        <v>1.032775</v>
      </c>
      <c r="D101">
        <v>6.5837640000000004</v>
      </c>
      <c r="E101">
        <v>6.4453889999999996</v>
      </c>
      <c r="F101">
        <v>3.9591470000000002</v>
      </c>
      <c r="G101">
        <v>5.7894769999999998</v>
      </c>
      <c r="H101">
        <v>3.8839250000000001</v>
      </c>
      <c r="I101">
        <v>0.60793900000000001</v>
      </c>
      <c r="J101">
        <v>3.2534779999999999</v>
      </c>
      <c r="K101">
        <v>3.0761620000000001</v>
      </c>
      <c r="L101">
        <v>3.1869010000000002</v>
      </c>
      <c r="M101">
        <v>0.32841599999999999</v>
      </c>
    </row>
    <row r="102" spans="1:13">
      <c r="A102" s="82">
        <v>43082</v>
      </c>
      <c r="B102">
        <v>7.3820600000000001</v>
      </c>
      <c r="C102">
        <v>1.03261</v>
      </c>
      <c r="D102">
        <v>6.5789989999999996</v>
      </c>
      <c r="E102">
        <v>6.4413590000000003</v>
      </c>
      <c r="F102">
        <v>3.9562710000000001</v>
      </c>
      <c r="G102">
        <v>5.7852680000000003</v>
      </c>
      <c r="H102">
        <v>3.8811640000000001</v>
      </c>
      <c r="I102">
        <v>0.60589800000000005</v>
      </c>
      <c r="J102">
        <v>3.251471</v>
      </c>
      <c r="K102">
        <v>3.0744470000000002</v>
      </c>
      <c r="L102">
        <v>3.1849090000000002</v>
      </c>
      <c r="M102">
        <v>0.32831199999999999</v>
      </c>
    </row>
    <row r="103" spans="1:13">
      <c r="A103" s="82">
        <v>43081</v>
      </c>
      <c r="B103">
        <v>7.3769460000000002</v>
      </c>
      <c r="C103">
        <v>1.032527</v>
      </c>
      <c r="D103">
        <v>6.574058</v>
      </c>
      <c r="E103">
        <v>6.4371479999999996</v>
      </c>
      <c r="F103">
        <v>3.953303</v>
      </c>
      <c r="G103">
        <v>5.7809720000000002</v>
      </c>
      <c r="H103">
        <v>3.878374</v>
      </c>
      <c r="I103">
        <v>0.60641599999999996</v>
      </c>
      <c r="J103">
        <v>3.2492030000000001</v>
      </c>
      <c r="K103">
        <v>3.0727310000000001</v>
      </c>
      <c r="L103">
        <v>3.1827740000000002</v>
      </c>
      <c r="M103">
        <v>0.32813100000000001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104</v>
      </c>
      <c r="B1" s="85">
        <v>5327</v>
      </c>
      <c r="C1" s="85" t="s">
        <v>188</v>
      </c>
      <c r="D1" s="90">
        <v>170000000</v>
      </c>
      <c r="E1" s="95">
        <v>170000000</v>
      </c>
      <c r="G1" s="92"/>
    </row>
    <row r="2" spans="1:7">
      <c r="A2" s="85" t="s">
        <v>105</v>
      </c>
      <c r="B2" s="85">
        <v>52584</v>
      </c>
      <c r="C2" s="85" t="s">
        <v>106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189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190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191</v>
      </c>
      <c r="D5" s="90">
        <v>220000000</v>
      </c>
      <c r="E5" s="95">
        <v>220000000</v>
      </c>
      <c r="F5" s="85"/>
      <c r="G5" s="92"/>
    </row>
    <row r="6" spans="1:7">
      <c r="A6" s="85" t="s">
        <v>192</v>
      </c>
      <c r="B6" s="85">
        <v>52897</v>
      </c>
      <c r="C6" s="85" t="s">
        <v>193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194</v>
      </c>
      <c r="D7" s="90">
        <v>210000000</v>
      </c>
      <c r="E7" s="95">
        <v>210000000</v>
      </c>
      <c r="F7" s="85"/>
      <c r="G7" s="92"/>
    </row>
    <row r="8" spans="1:7">
      <c r="A8" s="85" t="s">
        <v>195</v>
      </c>
      <c r="B8" s="85">
        <v>53068</v>
      </c>
      <c r="C8" s="85" t="s">
        <v>196</v>
      </c>
      <c r="D8" s="91">
        <v>50000000</v>
      </c>
      <c r="E8" s="95">
        <v>50000000</v>
      </c>
      <c r="F8" s="85"/>
      <c r="G8" s="92"/>
    </row>
    <row r="9" spans="1:7">
      <c r="A9" s="85" t="s">
        <v>107</v>
      </c>
      <c r="B9" s="85">
        <v>2571</v>
      </c>
      <c r="C9" s="85" t="s">
        <v>197</v>
      </c>
      <c r="D9" s="90">
        <v>50000000</v>
      </c>
      <c r="E9" s="95">
        <v>50000000</v>
      </c>
      <c r="F9" s="85"/>
      <c r="G9" s="92"/>
    </row>
    <row r="10" spans="1:7">
      <c r="A10" s="85" t="s">
        <v>108</v>
      </c>
      <c r="B10" s="85">
        <v>2405</v>
      </c>
      <c r="C10" s="85" t="s">
        <v>109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110</v>
      </c>
      <c r="B11" s="85">
        <v>38678</v>
      </c>
      <c r="C11" s="85" t="s">
        <v>111</v>
      </c>
      <c r="D11" s="90">
        <v>19000000</v>
      </c>
      <c r="E11" s="95">
        <v>19000000</v>
      </c>
      <c r="F11" s="85"/>
      <c r="G11" s="92"/>
    </row>
    <row r="12" spans="1:7">
      <c r="A12" s="85" t="s">
        <v>112</v>
      </c>
      <c r="B12" s="85">
        <v>38679</v>
      </c>
      <c r="C12" s="85" t="s">
        <v>113</v>
      </c>
      <c r="D12" s="90">
        <v>3700000</v>
      </c>
      <c r="E12" s="95">
        <v>3700000</v>
      </c>
      <c r="F12" s="85"/>
      <c r="G12" s="92"/>
    </row>
    <row r="13" spans="1:7">
      <c r="A13" s="85" t="s">
        <v>114</v>
      </c>
      <c r="B13" s="85">
        <v>5454</v>
      </c>
      <c r="C13" s="85" t="s">
        <v>198</v>
      </c>
      <c r="D13" s="90">
        <v>175742532</v>
      </c>
      <c r="E13" s="95">
        <v>175742532</v>
      </c>
      <c r="F13" s="85"/>
      <c r="G13" s="92"/>
    </row>
    <row r="14" spans="1:7">
      <c r="A14" s="85" t="s">
        <v>115</v>
      </c>
      <c r="B14" s="85">
        <v>90154</v>
      </c>
      <c r="C14" s="85" t="s">
        <v>116</v>
      </c>
      <c r="D14" s="90">
        <v>1507000</v>
      </c>
      <c r="E14" s="95">
        <v>1507000</v>
      </c>
      <c r="F14" s="85"/>
      <c r="G14" s="92"/>
    </row>
    <row r="15" spans="1:7">
      <c r="A15" s="85" t="s">
        <v>117</v>
      </c>
      <c r="B15" s="85">
        <v>5462</v>
      </c>
      <c r="C15" s="85" t="s">
        <v>199</v>
      </c>
      <c r="D15" s="90">
        <v>1766398</v>
      </c>
      <c r="E15" s="95">
        <v>1766398</v>
      </c>
      <c r="F15" s="85"/>
      <c r="G15" s="92"/>
    </row>
    <row r="16" spans="1:7">
      <c r="A16" s="85" t="s">
        <v>118</v>
      </c>
      <c r="B16" s="85">
        <v>50108</v>
      </c>
      <c r="C16" s="85" t="s">
        <v>119</v>
      </c>
      <c r="D16" s="90">
        <v>29755000</v>
      </c>
      <c r="E16" s="95">
        <v>29755000</v>
      </c>
      <c r="F16" s="85"/>
      <c r="G16" s="92"/>
    </row>
    <row r="17" spans="1:7">
      <c r="A17" s="85" t="s">
        <v>120</v>
      </c>
      <c r="B17" s="85">
        <v>50879</v>
      </c>
      <c r="C17" s="85" t="s">
        <v>121</v>
      </c>
      <c r="D17" s="90">
        <v>5803165</v>
      </c>
      <c r="E17" s="95">
        <v>5803165</v>
      </c>
      <c r="F17" s="85"/>
      <c r="G17" s="92"/>
    </row>
    <row r="18" spans="1:7">
      <c r="A18" s="85" t="s">
        <v>123</v>
      </c>
      <c r="B18" s="85">
        <v>51035</v>
      </c>
      <c r="C18" s="85" t="s">
        <v>124</v>
      </c>
      <c r="D18" s="90">
        <v>7344309</v>
      </c>
      <c r="E18" s="95">
        <v>7344309</v>
      </c>
      <c r="F18" s="85"/>
      <c r="G18" s="92"/>
    </row>
    <row r="19" spans="1:7">
      <c r="A19" s="85" t="s">
        <v>125</v>
      </c>
      <c r="B19" s="85">
        <v>51097</v>
      </c>
      <c r="C19" s="85" t="s">
        <v>126</v>
      </c>
      <c r="D19" s="90">
        <v>13763244</v>
      </c>
      <c r="E19" s="95">
        <v>13763244</v>
      </c>
      <c r="F19" s="85"/>
      <c r="G19" s="92"/>
    </row>
    <row r="20" spans="1:7">
      <c r="A20" s="85" t="s">
        <v>127</v>
      </c>
      <c r="B20" s="85">
        <v>51296</v>
      </c>
      <c r="C20" s="85" t="s">
        <v>128</v>
      </c>
      <c r="D20" s="90">
        <v>4800000</v>
      </c>
      <c r="E20" s="95">
        <v>1600320</v>
      </c>
      <c r="F20" s="85"/>
      <c r="G20" s="92"/>
    </row>
    <row r="21" spans="1:7">
      <c r="A21" s="85" t="s">
        <v>129</v>
      </c>
      <c r="B21" s="85">
        <v>5475</v>
      </c>
      <c r="C21" s="85" t="s">
        <v>130</v>
      </c>
      <c r="D21" s="90">
        <v>15000000</v>
      </c>
      <c r="E21" s="95">
        <v>15000000</v>
      </c>
      <c r="F21" s="85"/>
      <c r="G21" s="92"/>
    </row>
    <row r="22" spans="1:7">
      <c r="A22" s="85" t="s">
        <v>131</v>
      </c>
      <c r="B22" s="85">
        <v>5476</v>
      </c>
      <c r="C22" s="85" t="s">
        <v>132</v>
      </c>
      <c r="D22" s="90">
        <v>120000000</v>
      </c>
      <c r="E22" s="95">
        <v>120000000</v>
      </c>
      <c r="F22" s="85"/>
      <c r="G22" s="92"/>
    </row>
    <row r="23" spans="1:7">
      <c r="A23" s="85" t="s">
        <v>133</v>
      </c>
      <c r="B23" s="85">
        <v>51350</v>
      </c>
      <c r="C23" s="85" t="s">
        <v>134</v>
      </c>
      <c r="D23" s="90">
        <v>5084982</v>
      </c>
      <c r="E23" s="95">
        <v>5084982</v>
      </c>
      <c r="F23" s="85"/>
      <c r="G23" s="92"/>
    </row>
    <row r="24" spans="1:7">
      <c r="A24" s="85" t="s">
        <v>135</v>
      </c>
      <c r="B24" s="85">
        <v>51579</v>
      </c>
      <c r="C24" s="85" t="s">
        <v>200</v>
      </c>
      <c r="D24" s="90">
        <v>15000000</v>
      </c>
      <c r="E24" s="95">
        <v>15000000</v>
      </c>
      <c r="F24" s="85"/>
      <c r="G24" s="92"/>
    </row>
    <row r="25" spans="1:7">
      <c r="A25" s="85" t="s">
        <v>136</v>
      </c>
      <c r="B25" s="85">
        <v>51630</v>
      </c>
      <c r="C25" s="85" t="s">
        <v>137</v>
      </c>
      <c r="D25" s="90">
        <v>15888888</v>
      </c>
      <c r="E25" s="95">
        <v>15888888</v>
      </c>
      <c r="F25" s="85"/>
      <c r="G25" s="92"/>
    </row>
    <row r="26" spans="1:7">
      <c r="A26" s="85" t="s">
        <v>138</v>
      </c>
      <c r="B26" s="85">
        <v>5315</v>
      </c>
      <c r="C26" s="85" t="s">
        <v>201</v>
      </c>
      <c r="D26" s="90">
        <v>261600000</v>
      </c>
      <c r="E26" s="95">
        <v>261600000</v>
      </c>
      <c r="F26" s="85"/>
      <c r="G26" s="92"/>
    </row>
    <row r="27" spans="1:7">
      <c r="A27" s="85" t="s">
        <v>139</v>
      </c>
      <c r="B27" s="85">
        <v>51685</v>
      </c>
      <c r="C27" s="85" t="s">
        <v>140</v>
      </c>
      <c r="D27" s="90">
        <v>21900000</v>
      </c>
      <c r="E27" s="95">
        <v>21900000</v>
      </c>
      <c r="F27" s="85"/>
      <c r="G27" s="92"/>
    </row>
    <row r="28" spans="1:7">
      <c r="A28" s="85" t="s">
        <v>141</v>
      </c>
      <c r="B28" s="85">
        <v>51730</v>
      </c>
      <c r="C28" s="85" t="s">
        <v>142</v>
      </c>
      <c r="D28" s="90">
        <v>11546000</v>
      </c>
      <c r="E28" s="95">
        <v>11546000</v>
      </c>
      <c r="F28" s="85"/>
      <c r="G28" s="92"/>
    </row>
    <row r="29" spans="1:7">
      <c r="A29" s="85" t="s">
        <v>143</v>
      </c>
      <c r="B29" s="85">
        <v>51734</v>
      </c>
      <c r="C29" s="85" t="s">
        <v>144</v>
      </c>
      <c r="D29" s="90">
        <v>8000000</v>
      </c>
      <c r="E29" s="95">
        <v>8000000</v>
      </c>
      <c r="F29" s="85"/>
      <c r="G29" s="92"/>
    </row>
    <row r="30" spans="1:7">
      <c r="A30" s="85" t="s">
        <v>145</v>
      </c>
      <c r="B30" s="85">
        <v>51769</v>
      </c>
      <c r="C30" s="85" t="s">
        <v>146</v>
      </c>
      <c r="D30" s="90">
        <v>10821428</v>
      </c>
      <c r="E30" s="95">
        <v>10821428</v>
      </c>
      <c r="F30" s="85"/>
      <c r="G30" s="92"/>
    </row>
    <row r="31" spans="1:7">
      <c r="A31" s="85" t="s">
        <v>147</v>
      </c>
      <c r="B31" s="85">
        <v>51856</v>
      </c>
      <c r="C31" s="85" t="s">
        <v>148</v>
      </c>
      <c r="D31" s="90">
        <v>46463333</v>
      </c>
      <c r="E31" s="95">
        <v>46463333</v>
      </c>
      <c r="F31" s="85"/>
      <c r="G31" s="92"/>
    </row>
    <row r="32" spans="1:7">
      <c r="A32" s="85" t="s">
        <v>149</v>
      </c>
      <c r="B32" s="85">
        <v>51863</v>
      </c>
      <c r="C32" s="85" t="s">
        <v>150</v>
      </c>
      <c r="D32" s="90">
        <v>8500000</v>
      </c>
      <c r="E32" s="95">
        <v>8500000</v>
      </c>
      <c r="F32" s="85"/>
      <c r="G32" s="92"/>
    </row>
    <row r="33" spans="1:7">
      <c r="A33" s="85" t="s">
        <v>151</v>
      </c>
      <c r="B33" s="85">
        <v>51916</v>
      </c>
      <c r="C33" s="85" t="s">
        <v>152</v>
      </c>
      <c r="D33" s="90">
        <v>35023666</v>
      </c>
      <c r="E33" s="95">
        <v>35023666</v>
      </c>
      <c r="F33" s="85"/>
      <c r="G33" s="92"/>
    </row>
    <row r="34" spans="1:7">
      <c r="A34" s="85" t="s">
        <v>153</v>
      </c>
      <c r="B34" s="85">
        <v>51938</v>
      </c>
      <c r="C34" s="85" t="s">
        <v>154</v>
      </c>
      <c r="D34" s="90">
        <v>26277777</v>
      </c>
      <c r="E34" s="95">
        <v>26277777</v>
      </c>
      <c r="F34" s="85"/>
      <c r="G34" s="92"/>
    </row>
    <row r="35" spans="1:7">
      <c r="A35" s="85" t="s">
        <v>155</v>
      </c>
      <c r="B35" s="85">
        <v>51988</v>
      </c>
      <c r="C35" s="85" t="s">
        <v>156</v>
      </c>
      <c r="D35" s="90">
        <v>36000000</v>
      </c>
      <c r="E35" s="95">
        <v>36000000</v>
      </c>
      <c r="F35" s="85"/>
      <c r="G35" s="92"/>
    </row>
    <row r="36" spans="1:7">
      <c r="A36" s="85" t="s">
        <v>157</v>
      </c>
      <c r="B36" s="85">
        <v>52167</v>
      </c>
      <c r="C36" s="85" t="s">
        <v>158</v>
      </c>
      <c r="D36" s="90">
        <v>5285714</v>
      </c>
      <c r="E36" s="95">
        <v>5285714</v>
      </c>
      <c r="F36" s="85"/>
      <c r="G36" s="92"/>
    </row>
    <row r="37" spans="1:7">
      <c r="A37" s="85" t="s">
        <v>159</v>
      </c>
      <c r="B37" s="85">
        <v>52186</v>
      </c>
      <c r="C37" s="85" t="s">
        <v>160</v>
      </c>
      <c r="D37" s="90">
        <v>4900000</v>
      </c>
      <c r="E37" s="95">
        <v>4900000</v>
      </c>
      <c r="F37" s="85"/>
      <c r="G37" s="92"/>
    </row>
    <row r="38" spans="1:7">
      <c r="A38" s="85" t="s">
        <v>161</v>
      </c>
      <c r="B38" s="85">
        <v>52259</v>
      </c>
      <c r="C38" s="85" t="s">
        <v>162</v>
      </c>
      <c r="D38" s="90">
        <v>51500000</v>
      </c>
      <c r="E38" s="95">
        <v>51500000</v>
      </c>
      <c r="F38" s="85"/>
      <c r="G38" s="92"/>
    </row>
    <row r="39" spans="1:7">
      <c r="A39" s="85" t="s">
        <v>163</v>
      </c>
      <c r="B39" s="85">
        <v>52261</v>
      </c>
      <c r="C39" s="85" t="s">
        <v>164</v>
      </c>
      <c r="D39" s="90">
        <v>50000000</v>
      </c>
      <c r="E39" s="95">
        <v>50000000</v>
      </c>
      <c r="F39" s="85"/>
      <c r="G39" s="92"/>
    </row>
    <row r="40" spans="1:7">
      <c r="A40" s="85" t="s">
        <v>165</v>
      </c>
      <c r="B40" s="85">
        <v>52320</v>
      </c>
      <c r="C40" s="85" t="s">
        <v>166</v>
      </c>
      <c r="D40" s="90">
        <v>80000000</v>
      </c>
      <c r="E40" s="95">
        <v>80000000</v>
      </c>
      <c r="F40" s="85"/>
      <c r="G40" s="92"/>
    </row>
    <row r="41" spans="1:7">
      <c r="A41" s="85" t="s">
        <v>167</v>
      </c>
      <c r="B41" s="85">
        <v>5480</v>
      </c>
      <c r="C41" s="85" t="s">
        <v>202</v>
      </c>
      <c r="D41" s="90">
        <v>70000000</v>
      </c>
      <c r="E41" s="95">
        <v>70000000</v>
      </c>
      <c r="F41" s="85"/>
      <c r="G41" s="92"/>
    </row>
    <row r="42" spans="1:7">
      <c r="A42" s="85" t="s">
        <v>168</v>
      </c>
      <c r="B42" s="85">
        <v>92583</v>
      </c>
      <c r="C42" s="85" t="s">
        <v>169</v>
      </c>
      <c r="D42" s="90">
        <v>3000000</v>
      </c>
      <c r="E42" s="95">
        <v>3000000</v>
      </c>
      <c r="F42" s="85"/>
      <c r="G42" s="92"/>
    </row>
    <row r="43" spans="1:7">
      <c r="A43" s="85" t="s">
        <v>170</v>
      </c>
      <c r="B43" s="85">
        <v>52407</v>
      </c>
      <c r="C43" s="85" t="s">
        <v>171</v>
      </c>
      <c r="D43" s="90">
        <v>82000000</v>
      </c>
      <c r="E43" s="95">
        <v>82000000</v>
      </c>
      <c r="F43" s="85"/>
      <c r="G43" s="92"/>
    </row>
    <row r="44" spans="1:7">
      <c r="A44" s="85" t="s">
        <v>172</v>
      </c>
      <c r="B44" s="85">
        <v>52435</v>
      </c>
      <c r="C44" s="85" t="s">
        <v>173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177</v>
      </c>
      <c r="C1" s="83" t="s">
        <v>178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177</v>
      </c>
      <c r="C2" s="83" t="s">
        <v>179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177</v>
      </c>
      <c r="C3" s="83" t="s">
        <v>180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177</v>
      </c>
      <c r="C4" s="83" t="s">
        <v>181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177</v>
      </c>
      <c r="C5" s="83" t="s">
        <v>181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177</v>
      </c>
      <c r="C6" s="83" t="s">
        <v>181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177</v>
      </c>
      <c r="C7" s="83" t="s">
        <v>180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177</v>
      </c>
      <c r="C8" s="83" t="s">
        <v>180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177</v>
      </c>
      <c r="C9" s="83" t="s">
        <v>181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177</v>
      </c>
      <c r="C10" s="83" t="s">
        <v>182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56"/>
  <sheetViews>
    <sheetView topLeftCell="A24" workbookViewId="0">
      <selection activeCell="A58" sqref="A58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26</v>
      </c>
      <c r="B1" t="s">
        <v>104</v>
      </c>
      <c r="C1">
        <v>5327</v>
      </c>
    </row>
    <row r="2" spans="1:7">
      <c r="A2" t="s">
        <v>57</v>
      </c>
      <c r="B2" t="s">
        <v>105</v>
      </c>
      <c r="C2">
        <v>52584</v>
      </c>
      <c r="E2" s="85"/>
      <c r="F2" s="85"/>
      <c r="G2" s="85"/>
    </row>
    <row r="3" spans="1:7">
      <c r="A3" t="s">
        <v>281</v>
      </c>
      <c r="B3" t="s">
        <v>336</v>
      </c>
      <c r="C3">
        <v>46824</v>
      </c>
      <c r="E3" s="85"/>
      <c r="F3" s="85"/>
      <c r="G3" s="85"/>
    </row>
    <row r="4" spans="1:7">
      <c r="A4" t="s">
        <v>277</v>
      </c>
      <c r="B4" t="s">
        <v>337</v>
      </c>
      <c r="C4">
        <v>46825</v>
      </c>
      <c r="E4" s="85"/>
      <c r="F4" s="85"/>
      <c r="G4" s="85"/>
    </row>
    <row r="5" spans="1:7">
      <c r="A5" t="s">
        <v>279</v>
      </c>
      <c r="B5" t="s">
        <v>338</v>
      </c>
      <c r="C5">
        <v>46827</v>
      </c>
      <c r="E5" s="85"/>
      <c r="F5" s="85"/>
      <c r="G5" s="85"/>
    </row>
    <row r="6" spans="1:7" s="85" customFormat="1">
      <c r="A6" s="85" t="s">
        <v>280</v>
      </c>
      <c r="B6" s="85" t="s">
        <v>339</v>
      </c>
      <c r="C6" s="85">
        <v>46828</v>
      </c>
    </row>
    <row r="7" spans="1:7">
      <c r="A7" t="s">
        <v>22</v>
      </c>
      <c r="B7" t="s">
        <v>107</v>
      </c>
      <c r="C7">
        <v>2571</v>
      </c>
      <c r="E7" s="85"/>
      <c r="F7" s="85"/>
      <c r="G7" s="85"/>
    </row>
    <row r="8" spans="1:7">
      <c r="A8" t="s">
        <v>32</v>
      </c>
      <c r="B8" t="s">
        <v>108</v>
      </c>
      <c r="C8">
        <v>2405</v>
      </c>
      <c r="E8" s="85"/>
      <c r="F8" s="85"/>
      <c r="G8" s="85"/>
    </row>
    <row r="9" spans="1:7">
      <c r="A9" t="s">
        <v>89</v>
      </c>
      <c r="B9" t="s">
        <v>110</v>
      </c>
      <c r="C9">
        <v>38678</v>
      </c>
      <c r="E9" s="85"/>
      <c r="F9" s="85"/>
      <c r="G9" s="85"/>
    </row>
    <row r="10" spans="1:7">
      <c r="A10" t="str">
        <f>+Valuacion!A85</f>
        <v>IMPSA - OMPE11</v>
      </c>
      <c r="B10" t="s">
        <v>112</v>
      </c>
      <c r="C10">
        <v>38679</v>
      </c>
      <c r="E10" s="85"/>
      <c r="F10" s="85"/>
      <c r="G10" s="85"/>
    </row>
    <row r="11" spans="1:7">
      <c r="A11" t="s">
        <v>15</v>
      </c>
      <c r="B11" t="s">
        <v>114</v>
      </c>
      <c r="C11">
        <v>5454</v>
      </c>
      <c r="E11" s="85"/>
      <c r="F11" s="85"/>
      <c r="G11" s="85"/>
    </row>
    <row r="12" spans="1:7">
      <c r="A12" t="s">
        <v>77</v>
      </c>
      <c r="B12" t="s">
        <v>115</v>
      </c>
      <c r="C12">
        <v>90154</v>
      </c>
      <c r="E12" s="85"/>
      <c r="F12" s="85"/>
      <c r="G12" s="85"/>
    </row>
    <row r="13" spans="1:7">
      <c r="A13" t="s">
        <v>35</v>
      </c>
      <c r="B13" t="s">
        <v>117</v>
      </c>
      <c r="C13">
        <v>5462</v>
      </c>
      <c r="E13" s="85"/>
      <c r="F13" s="85"/>
      <c r="G13" s="85"/>
    </row>
    <row r="14" spans="1:7">
      <c r="A14" s="87" t="s">
        <v>295</v>
      </c>
      <c r="B14" t="s">
        <v>118</v>
      </c>
      <c r="C14">
        <v>50108</v>
      </c>
      <c r="E14" s="85"/>
      <c r="F14" s="85"/>
      <c r="G14" s="85"/>
    </row>
    <row r="15" spans="1:7">
      <c r="A15" t="s">
        <v>87</v>
      </c>
      <c r="B15" t="s">
        <v>120</v>
      </c>
      <c r="C15">
        <v>50879</v>
      </c>
      <c r="E15" s="85"/>
      <c r="F15" s="85"/>
      <c r="G15" s="85"/>
    </row>
    <row r="16" spans="1:7">
      <c r="A16" t="s">
        <v>12</v>
      </c>
      <c r="B16" t="s">
        <v>122</v>
      </c>
      <c r="C16">
        <v>5467</v>
      </c>
      <c r="E16" s="85"/>
      <c r="F16" s="85"/>
      <c r="G16" s="85"/>
    </row>
    <row r="17" spans="1:7">
      <c r="A17" t="s">
        <v>296</v>
      </c>
      <c r="B17" t="s">
        <v>123</v>
      </c>
      <c r="C17">
        <v>51035</v>
      </c>
      <c r="E17" s="85"/>
      <c r="F17" s="85"/>
      <c r="G17" s="85"/>
    </row>
    <row r="18" spans="1:7">
      <c r="A18" t="s">
        <v>297</v>
      </c>
      <c r="B18" t="s">
        <v>125</v>
      </c>
      <c r="C18">
        <v>51097</v>
      </c>
      <c r="E18" s="85"/>
      <c r="F18" s="85"/>
      <c r="G18" s="85"/>
    </row>
    <row r="19" spans="1:7">
      <c r="A19" t="s">
        <v>187</v>
      </c>
      <c r="B19" t="s">
        <v>127</v>
      </c>
      <c r="C19">
        <v>51296</v>
      </c>
      <c r="E19" s="85"/>
      <c r="F19" s="85"/>
      <c r="G19" s="85"/>
    </row>
    <row r="20" spans="1:7">
      <c r="A20" t="s">
        <v>14</v>
      </c>
      <c r="B20" t="s">
        <v>129</v>
      </c>
      <c r="C20">
        <v>5475</v>
      </c>
      <c r="E20" s="85"/>
      <c r="F20" s="85"/>
      <c r="G20" s="85"/>
    </row>
    <row r="21" spans="1:7">
      <c r="A21" t="s">
        <v>17</v>
      </c>
      <c r="B21" t="s">
        <v>131</v>
      </c>
      <c r="C21">
        <v>5476</v>
      </c>
      <c r="E21" s="85"/>
      <c r="F21" s="85"/>
      <c r="G21" s="85"/>
    </row>
    <row r="22" spans="1:7">
      <c r="A22" t="s">
        <v>186</v>
      </c>
      <c r="B22" t="s">
        <v>133</v>
      </c>
      <c r="C22">
        <v>51350</v>
      </c>
      <c r="E22" s="85"/>
      <c r="F22" s="85"/>
      <c r="G22" s="85"/>
    </row>
    <row r="23" spans="1:7">
      <c r="A23" t="s">
        <v>55</v>
      </c>
      <c r="B23" t="s">
        <v>135</v>
      </c>
      <c r="C23">
        <v>51579</v>
      </c>
      <c r="E23" s="85"/>
      <c r="F23" s="85"/>
      <c r="G23" s="85"/>
    </row>
    <row r="24" spans="1:7">
      <c r="A24" t="s">
        <v>48</v>
      </c>
      <c r="B24" t="s">
        <v>136</v>
      </c>
      <c r="C24">
        <v>51630</v>
      </c>
      <c r="E24" s="85"/>
      <c r="F24" s="85"/>
      <c r="G24" s="85"/>
    </row>
    <row r="25" spans="1:7">
      <c r="A25" t="s">
        <v>29</v>
      </c>
      <c r="B25" t="s">
        <v>138</v>
      </c>
      <c r="C25">
        <v>5315</v>
      </c>
      <c r="E25" s="85"/>
      <c r="F25" s="85"/>
      <c r="G25" s="85"/>
    </row>
    <row r="26" spans="1:7">
      <c r="A26" t="s">
        <v>59</v>
      </c>
      <c r="B26" t="s">
        <v>139</v>
      </c>
      <c r="C26">
        <v>51685</v>
      </c>
      <c r="E26" s="85"/>
      <c r="F26" s="85"/>
      <c r="G26" s="85"/>
    </row>
    <row r="27" spans="1:7">
      <c r="A27" t="s">
        <v>50</v>
      </c>
      <c r="B27" t="s">
        <v>141</v>
      </c>
      <c r="C27">
        <v>51730</v>
      </c>
      <c r="E27" s="85"/>
      <c r="F27" s="85"/>
      <c r="G27" s="85"/>
    </row>
    <row r="28" spans="1:7">
      <c r="A28" t="s">
        <v>284</v>
      </c>
      <c r="B28" t="s">
        <v>143</v>
      </c>
      <c r="C28">
        <v>51734</v>
      </c>
      <c r="E28" s="85"/>
      <c r="F28" s="85"/>
      <c r="G28" s="85"/>
    </row>
    <row r="29" spans="1:7">
      <c r="A29" t="s">
        <v>68</v>
      </c>
      <c r="B29" t="s">
        <v>145</v>
      </c>
      <c r="C29">
        <v>51769</v>
      </c>
      <c r="E29" s="85"/>
      <c r="F29" s="85"/>
      <c r="G29" s="85"/>
    </row>
    <row r="30" spans="1:7">
      <c r="A30" t="s">
        <v>62</v>
      </c>
      <c r="B30" t="s">
        <v>147</v>
      </c>
      <c r="C30">
        <v>51856</v>
      </c>
      <c r="E30" s="85"/>
      <c r="F30" s="85"/>
      <c r="G30" s="85"/>
    </row>
    <row r="31" spans="1:7">
      <c r="A31" t="s">
        <v>75</v>
      </c>
      <c r="B31" t="s">
        <v>149</v>
      </c>
      <c r="C31">
        <v>51863</v>
      </c>
      <c r="E31" s="85"/>
      <c r="F31" s="85"/>
      <c r="G31" s="85"/>
    </row>
    <row r="32" spans="1:7">
      <c r="A32" t="s">
        <v>71</v>
      </c>
      <c r="B32" t="s">
        <v>151</v>
      </c>
      <c r="C32">
        <v>51916</v>
      </c>
      <c r="E32" s="85"/>
      <c r="F32" s="85"/>
      <c r="G32" s="85"/>
    </row>
    <row r="33" spans="1:7">
      <c r="A33" t="s">
        <v>291</v>
      </c>
      <c r="B33" t="s">
        <v>153</v>
      </c>
      <c r="C33">
        <v>51938</v>
      </c>
      <c r="E33" s="85"/>
      <c r="F33" s="85"/>
      <c r="G33" s="85"/>
    </row>
    <row r="34" spans="1:7">
      <c r="A34" t="s">
        <v>67</v>
      </c>
      <c r="B34" t="s">
        <v>155</v>
      </c>
      <c r="C34">
        <v>51988</v>
      </c>
      <c r="E34" s="85"/>
      <c r="F34" s="85"/>
      <c r="G34" s="85"/>
    </row>
    <row r="35" spans="1:7">
      <c r="A35" t="s">
        <v>53</v>
      </c>
      <c r="B35" t="s">
        <v>157</v>
      </c>
      <c r="C35">
        <v>52167</v>
      </c>
      <c r="E35" s="85"/>
      <c r="F35" s="85"/>
      <c r="G35" s="85"/>
    </row>
    <row r="36" spans="1:7">
      <c r="A36" t="s">
        <v>65</v>
      </c>
      <c r="B36" t="s">
        <v>159</v>
      </c>
      <c r="C36">
        <v>52186</v>
      </c>
      <c r="E36" s="85"/>
      <c r="F36" s="85"/>
      <c r="G36" s="85"/>
    </row>
    <row r="37" spans="1:7">
      <c r="A37" t="s">
        <v>41</v>
      </c>
      <c r="B37" t="s">
        <v>161</v>
      </c>
      <c r="C37">
        <v>52259</v>
      </c>
      <c r="E37" s="85"/>
      <c r="F37" s="85"/>
      <c r="G37" s="85"/>
    </row>
    <row r="38" spans="1:7">
      <c r="A38" t="s">
        <v>44</v>
      </c>
      <c r="B38" t="s">
        <v>163</v>
      </c>
      <c r="C38">
        <v>52261</v>
      </c>
      <c r="E38" s="85"/>
      <c r="F38" s="85"/>
      <c r="G38" s="85"/>
    </row>
    <row r="39" spans="1:7">
      <c r="A39" t="s">
        <v>40</v>
      </c>
      <c r="B39" t="s">
        <v>165</v>
      </c>
      <c r="C39">
        <v>52320</v>
      </c>
      <c r="E39" s="85"/>
      <c r="F39" s="85"/>
      <c r="G39" s="85"/>
    </row>
    <row r="40" spans="1:7">
      <c r="A40" t="s">
        <v>20</v>
      </c>
      <c r="B40" t="s">
        <v>167</v>
      </c>
      <c r="C40">
        <v>5480</v>
      </c>
      <c r="E40" s="85"/>
      <c r="F40" s="85"/>
      <c r="G40" s="85"/>
    </row>
    <row r="41" spans="1:7">
      <c r="A41" t="s">
        <v>37</v>
      </c>
      <c r="B41" t="s">
        <v>168</v>
      </c>
      <c r="C41">
        <v>92583</v>
      </c>
      <c r="E41" s="85"/>
      <c r="F41" s="85"/>
      <c r="G41" s="85"/>
    </row>
    <row r="42" spans="1:7">
      <c r="A42" t="s">
        <v>292</v>
      </c>
      <c r="B42" t="s">
        <v>170</v>
      </c>
      <c r="C42">
        <v>52407</v>
      </c>
      <c r="E42" s="85"/>
      <c r="F42" s="85"/>
      <c r="G42" s="85"/>
    </row>
    <row r="43" spans="1:7">
      <c r="A43" t="s">
        <v>46</v>
      </c>
      <c r="B43" t="s">
        <v>172</v>
      </c>
      <c r="C43">
        <v>52435</v>
      </c>
      <c r="E43" s="85"/>
      <c r="F43" s="85"/>
      <c r="G43" s="85"/>
    </row>
    <row r="44" spans="1:7">
      <c r="A44" t="s">
        <v>101</v>
      </c>
      <c r="B44" t="s">
        <v>176</v>
      </c>
      <c r="C44">
        <v>5458</v>
      </c>
      <c r="E44" s="85"/>
      <c r="F44" s="85"/>
      <c r="G44" s="85"/>
    </row>
    <row r="45" spans="1:7">
      <c r="A45" t="s">
        <v>286</v>
      </c>
      <c r="B45" t="s">
        <v>192</v>
      </c>
      <c r="C45">
        <v>52897</v>
      </c>
    </row>
    <row r="46" spans="1:7">
      <c r="A46" t="s">
        <v>288</v>
      </c>
      <c r="B46" t="s">
        <v>195</v>
      </c>
      <c r="C46">
        <v>53068</v>
      </c>
    </row>
    <row r="47" spans="1:7">
      <c r="A47" s="85" t="s">
        <v>204</v>
      </c>
      <c r="B47" s="85" t="s">
        <v>203</v>
      </c>
      <c r="C47" s="85">
        <v>99924</v>
      </c>
    </row>
    <row r="48" spans="1:7">
      <c r="A48" s="85" t="s">
        <v>206</v>
      </c>
      <c r="B48" s="85" t="s">
        <v>205</v>
      </c>
      <c r="C48" s="85">
        <v>89545</v>
      </c>
    </row>
    <row r="49" spans="1:3">
      <c r="A49" t="s">
        <v>290</v>
      </c>
      <c r="B49" t="s">
        <v>298</v>
      </c>
      <c r="C49">
        <v>11111</v>
      </c>
    </row>
    <row r="50" spans="1:3">
      <c r="A50" t="s">
        <v>283</v>
      </c>
      <c r="B50" t="s">
        <v>303</v>
      </c>
      <c r="C50" s="102">
        <v>11111</v>
      </c>
    </row>
    <row r="51" spans="1:3">
      <c r="A51" t="s">
        <v>289</v>
      </c>
      <c r="B51" t="s">
        <v>307</v>
      </c>
      <c r="C51" s="102">
        <v>11111</v>
      </c>
    </row>
    <row r="52" spans="1:3" s="124" customFormat="1">
      <c r="A52" s="124" t="s">
        <v>312</v>
      </c>
      <c r="B52" s="124" t="s">
        <v>314</v>
      </c>
      <c r="C52" s="124">
        <v>11111</v>
      </c>
    </row>
    <row r="53" spans="1:3">
      <c r="A53" t="s">
        <v>342</v>
      </c>
      <c r="B53" t="s">
        <v>343</v>
      </c>
      <c r="C53" s="124">
        <v>11111</v>
      </c>
    </row>
    <row r="54" spans="1:3">
      <c r="A54" t="s">
        <v>317</v>
      </c>
      <c r="B54" t="s">
        <v>344</v>
      </c>
      <c r="C54" s="124">
        <v>11111</v>
      </c>
    </row>
    <row r="55" spans="1:3">
      <c r="A55" t="s">
        <v>345</v>
      </c>
      <c r="B55" t="s">
        <v>346</v>
      </c>
      <c r="C55" s="124">
        <v>11111</v>
      </c>
    </row>
    <row r="56" spans="1:3">
      <c r="A56" t="s">
        <v>62</v>
      </c>
      <c r="B56" t="s">
        <v>348</v>
      </c>
      <c r="C56" s="124">
        <v>11111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49"/>
  <sheetViews>
    <sheetView topLeftCell="C7" zoomScale="90" zoomScaleNormal="90" workbookViewId="0">
      <selection activeCell="C46" sqref="C46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05"/>
      <c r="B2" s="105"/>
      <c r="C2" s="107"/>
      <c r="D2" s="105"/>
      <c r="E2" s="105"/>
      <c r="F2" s="105"/>
      <c r="G2" s="105"/>
      <c r="H2" s="105"/>
      <c r="I2" s="107"/>
      <c r="J2" s="122"/>
      <c r="K2" s="105"/>
      <c r="L2" s="105"/>
    </row>
    <row r="3" spans="1:12">
      <c r="A3" s="105"/>
      <c r="B3" s="105"/>
      <c r="C3" s="108" t="s">
        <v>208</v>
      </c>
      <c r="D3" s="112" t="s">
        <v>209</v>
      </c>
      <c r="E3" s="112" t="s">
        <v>208</v>
      </c>
      <c r="F3" s="105"/>
      <c r="G3" s="112" t="s">
        <v>210</v>
      </c>
      <c r="H3" s="112"/>
      <c r="I3" s="108"/>
      <c r="J3" s="108"/>
      <c r="K3" s="108"/>
      <c r="L3" s="105"/>
    </row>
    <row r="4" spans="1:12" ht="15.75" thickBot="1">
      <c r="A4" s="106" t="s">
        <v>211</v>
      </c>
      <c r="B4" s="106" t="s">
        <v>212</v>
      </c>
      <c r="C4" s="110" t="s">
        <v>213</v>
      </c>
      <c r="D4" s="113"/>
      <c r="E4" s="113"/>
      <c r="F4" s="105"/>
      <c r="G4" s="113" t="s">
        <v>214</v>
      </c>
      <c r="H4" s="113" t="s">
        <v>215</v>
      </c>
      <c r="I4" s="110"/>
      <c r="J4" s="110"/>
      <c r="K4" s="110" t="s">
        <v>263</v>
      </c>
      <c r="L4" s="105"/>
    </row>
    <row r="5" spans="1:12">
      <c r="A5" s="106" t="s">
        <v>216</v>
      </c>
      <c r="B5" s="106" t="s">
        <v>220</v>
      </c>
      <c r="C5" s="106" t="s">
        <v>15</v>
      </c>
      <c r="D5" s="111">
        <v>104.75</v>
      </c>
      <c r="E5" s="111">
        <v>105.28143683888435</v>
      </c>
      <c r="F5" s="114"/>
      <c r="G5" s="116">
        <v>104.75</v>
      </c>
      <c r="H5" s="117">
        <v>1.0519248081088867E-2</v>
      </c>
      <c r="I5" s="106" t="s">
        <v>218</v>
      </c>
      <c r="J5" s="106" t="s">
        <v>221</v>
      </c>
      <c r="K5" s="116">
        <v>0.69931145118558979</v>
      </c>
      <c r="L5" s="105"/>
    </row>
    <row r="6" spans="1:12">
      <c r="A6" s="106" t="s">
        <v>216</v>
      </c>
      <c r="B6" s="106" t="s">
        <v>222</v>
      </c>
      <c r="C6" s="106" t="s">
        <v>17</v>
      </c>
      <c r="D6" s="111">
        <v>109</v>
      </c>
      <c r="E6" s="111">
        <v>108.19101542856174</v>
      </c>
      <c r="F6" s="105"/>
      <c r="G6" s="116">
        <v>109</v>
      </c>
      <c r="H6" s="117">
        <v>1.7136762278870121E-3</v>
      </c>
      <c r="I6" s="106" t="s">
        <v>218</v>
      </c>
      <c r="J6" s="106" t="s">
        <v>221</v>
      </c>
      <c r="K6" s="116">
        <v>1.2851531233922362</v>
      </c>
      <c r="L6" s="106"/>
    </row>
    <row r="7" spans="1:12">
      <c r="A7" s="106" t="s">
        <v>216</v>
      </c>
      <c r="B7" s="106" t="s">
        <v>223</v>
      </c>
      <c r="C7" s="106" t="s">
        <v>20</v>
      </c>
      <c r="D7" s="111">
        <v>101.5</v>
      </c>
      <c r="E7" s="111">
        <v>98.777043756645284</v>
      </c>
      <c r="F7" s="105"/>
      <c r="G7" s="116">
        <v>101.5</v>
      </c>
      <c r="H7" s="117">
        <v>2.2282844468412583E-2</v>
      </c>
      <c r="I7" s="106" t="s">
        <v>218</v>
      </c>
      <c r="J7" s="106" t="s">
        <v>221</v>
      </c>
      <c r="K7" s="116">
        <v>2.2303153625754271</v>
      </c>
      <c r="L7" s="106"/>
    </row>
    <row r="8" spans="1:12">
      <c r="A8" s="106" t="s">
        <v>224</v>
      </c>
      <c r="B8" s="106" t="s">
        <v>225</v>
      </c>
      <c r="C8" s="106" t="s">
        <v>22</v>
      </c>
      <c r="D8" s="111">
        <v>166.75</v>
      </c>
      <c r="E8" s="111">
        <v>166.81795905274794</v>
      </c>
      <c r="F8" s="114"/>
      <c r="G8" s="116">
        <v>166.75</v>
      </c>
      <c r="H8" s="117">
        <v>6.0423631699359076E-2</v>
      </c>
      <c r="I8" s="106" t="s">
        <v>218</v>
      </c>
      <c r="J8" s="106" t="s">
        <v>221</v>
      </c>
      <c r="K8" s="116">
        <v>1.8604129265859288</v>
      </c>
      <c r="L8" s="106"/>
    </row>
    <row r="9" spans="1:12">
      <c r="A9" s="106" t="s">
        <v>216</v>
      </c>
      <c r="B9" s="106" t="s">
        <v>226</v>
      </c>
      <c r="C9" s="106" t="s">
        <v>26</v>
      </c>
      <c r="D9" s="111">
        <v>109</v>
      </c>
      <c r="E9" s="111">
        <v>0</v>
      </c>
      <c r="F9" s="105"/>
      <c r="G9" s="116">
        <v>109</v>
      </c>
      <c r="H9" s="117">
        <v>0.26346028127169241</v>
      </c>
      <c r="I9" s="106"/>
      <c r="J9" s="106" t="s">
        <v>221</v>
      </c>
      <c r="K9" s="116">
        <v>1.3994787173391019</v>
      </c>
      <c r="L9" s="106"/>
    </row>
    <row r="10" spans="1:12">
      <c r="A10" s="106" t="s">
        <v>228</v>
      </c>
      <c r="B10" s="106" t="s">
        <v>313</v>
      </c>
      <c r="C10" s="106" t="s">
        <v>312</v>
      </c>
      <c r="D10" s="111">
        <v>103.65</v>
      </c>
      <c r="E10" s="111">
        <v>103.76490162728996</v>
      </c>
      <c r="F10" s="105" t="s">
        <v>217</v>
      </c>
      <c r="G10" s="116">
        <v>103.76490162728996</v>
      </c>
      <c r="H10" s="117">
        <v>4.5341184735298246E-2</v>
      </c>
      <c r="I10" s="105" t="s">
        <v>227</v>
      </c>
      <c r="J10" s="106" t="s">
        <v>219</v>
      </c>
      <c r="K10" s="116">
        <v>1.4861273226985234</v>
      </c>
      <c r="L10" s="106"/>
    </row>
    <row r="11" spans="1:12">
      <c r="A11" s="106" t="s">
        <v>228</v>
      </c>
      <c r="B11" s="106" t="s">
        <v>229</v>
      </c>
      <c r="C11" s="106" t="s">
        <v>29</v>
      </c>
      <c r="D11" s="111">
        <v>136.01</v>
      </c>
      <c r="E11" s="111">
        <v>143.92857590944959</v>
      </c>
      <c r="F11" s="105"/>
      <c r="G11" s="116">
        <v>136.01</v>
      </c>
      <c r="H11" s="117">
        <v>5.4529085615814932E-2</v>
      </c>
      <c r="I11" s="106" t="s">
        <v>227</v>
      </c>
      <c r="J11" s="106" t="s">
        <v>221</v>
      </c>
      <c r="K11" s="116">
        <v>2.9751816950413335</v>
      </c>
      <c r="L11" s="106"/>
    </row>
    <row r="12" spans="1:12">
      <c r="A12" s="106" t="s">
        <v>216</v>
      </c>
      <c r="B12" s="106" t="s">
        <v>231</v>
      </c>
      <c r="C12" s="106" t="s">
        <v>37</v>
      </c>
      <c r="D12" s="111">
        <v>2128</v>
      </c>
      <c r="E12" s="111">
        <v>2114.5924209723516</v>
      </c>
      <c r="F12" s="114"/>
      <c r="G12" s="116">
        <v>2128</v>
      </c>
      <c r="H12" s="117">
        <v>5.0380468534146683E-2</v>
      </c>
      <c r="I12" s="106" t="s">
        <v>230</v>
      </c>
      <c r="J12" s="106" t="s">
        <v>221</v>
      </c>
      <c r="K12" s="116">
        <v>3.2466990387583539</v>
      </c>
      <c r="L12" s="106"/>
    </row>
    <row r="13" spans="1:12">
      <c r="A13" s="106" t="s">
        <v>232</v>
      </c>
      <c r="B13" s="106" t="s">
        <v>233</v>
      </c>
      <c r="C13" s="107" t="s">
        <v>41</v>
      </c>
      <c r="D13" s="118">
        <v>100.64</v>
      </c>
      <c r="E13" s="118">
        <v>103.41178379070405</v>
      </c>
      <c r="F13" s="119" t="s">
        <v>217</v>
      </c>
      <c r="G13" s="120">
        <v>103.41178379070405</v>
      </c>
      <c r="H13" s="121">
        <v>4.3196699126642452E-2</v>
      </c>
      <c r="I13" s="107" t="s">
        <v>218</v>
      </c>
      <c r="J13" s="107" t="s">
        <v>219</v>
      </c>
      <c r="K13" s="120">
        <v>1.2575181899275705</v>
      </c>
      <c r="L13" s="106"/>
    </row>
    <row r="14" spans="1:12">
      <c r="A14" s="106" t="s">
        <v>232</v>
      </c>
      <c r="B14" s="106" t="s">
        <v>305</v>
      </c>
      <c r="C14" s="106" t="s">
        <v>283</v>
      </c>
      <c r="D14" s="111">
        <v>102.67</v>
      </c>
      <c r="E14" s="111">
        <v>105.72009460204016</v>
      </c>
      <c r="F14" s="114" t="s">
        <v>217</v>
      </c>
      <c r="G14" s="116">
        <v>105.72009460204016</v>
      </c>
      <c r="H14" s="117">
        <v>3.363004103524056E-2</v>
      </c>
      <c r="I14" s="106" t="s">
        <v>218</v>
      </c>
      <c r="J14" s="106" t="s">
        <v>219</v>
      </c>
      <c r="K14" s="116">
        <v>1.2354326391966666</v>
      </c>
      <c r="L14" s="106"/>
    </row>
    <row r="15" spans="1:12">
      <c r="A15" s="106" t="s">
        <v>232</v>
      </c>
      <c r="B15" s="106" t="s">
        <v>234</v>
      </c>
      <c r="C15" s="106" t="s">
        <v>44</v>
      </c>
      <c r="D15" s="111">
        <v>102.35</v>
      </c>
      <c r="E15" s="111">
        <v>104.16360258684703</v>
      </c>
      <c r="F15" s="114" t="s">
        <v>217</v>
      </c>
      <c r="G15" s="116">
        <v>104.16360258684703</v>
      </c>
      <c r="H15" s="117">
        <v>3.1321086369340501E-2</v>
      </c>
      <c r="I15" s="106" t="s">
        <v>218</v>
      </c>
      <c r="J15" s="106" t="s">
        <v>219</v>
      </c>
      <c r="K15" s="116">
        <v>1.2660459163669293</v>
      </c>
      <c r="L15" s="106"/>
    </row>
    <row r="16" spans="1:12">
      <c r="A16" s="106" t="s">
        <v>232</v>
      </c>
      <c r="B16" s="106" t="s">
        <v>236</v>
      </c>
      <c r="C16" s="106" t="s">
        <v>40</v>
      </c>
      <c r="D16" s="111">
        <v>0</v>
      </c>
      <c r="E16" s="111">
        <v>102.40134575290223</v>
      </c>
      <c r="F16" s="114" t="s">
        <v>217</v>
      </c>
      <c r="G16" s="116">
        <v>102.40134575290223</v>
      </c>
      <c r="H16" s="117">
        <v>2.47E-2</v>
      </c>
      <c r="I16" s="106" t="s">
        <v>218</v>
      </c>
      <c r="J16" s="106" t="s">
        <v>235</v>
      </c>
      <c r="K16" s="116">
        <v>1.3715171530037016</v>
      </c>
      <c r="L16" s="106"/>
    </row>
    <row r="17" spans="1:12">
      <c r="A17" s="106" t="s">
        <v>232</v>
      </c>
      <c r="B17" s="106" t="s">
        <v>237</v>
      </c>
      <c r="C17" s="106" t="s">
        <v>48</v>
      </c>
      <c r="D17" s="111">
        <v>100.04</v>
      </c>
      <c r="E17" s="111">
        <v>94.982393901672751</v>
      </c>
      <c r="F17" s="109" t="s">
        <v>217</v>
      </c>
      <c r="G17" s="116">
        <v>94.982393901672751</v>
      </c>
      <c r="H17" s="117">
        <v>0.13919422153483338</v>
      </c>
      <c r="I17" s="106" t="s">
        <v>218</v>
      </c>
      <c r="J17" s="106" t="s">
        <v>219</v>
      </c>
      <c r="K17" s="116">
        <v>0.6146136129505777</v>
      </c>
      <c r="L17" s="106"/>
    </row>
    <row r="18" spans="1:12">
      <c r="A18" s="106" t="s">
        <v>232</v>
      </c>
      <c r="B18" s="106" t="s">
        <v>238</v>
      </c>
      <c r="C18" s="106" t="s">
        <v>50</v>
      </c>
      <c r="D18" s="111">
        <v>105.55</v>
      </c>
      <c r="E18" s="111">
        <v>105.56575469675278</v>
      </c>
      <c r="F18" s="114" t="s">
        <v>217</v>
      </c>
      <c r="G18" s="116">
        <v>105.56575469675278</v>
      </c>
      <c r="H18" s="117">
        <v>3.5411745360775487E-2</v>
      </c>
      <c r="I18" s="106" t="s">
        <v>218</v>
      </c>
      <c r="J18" s="106" t="s">
        <v>219</v>
      </c>
      <c r="K18" s="116">
        <v>0.95552635467449754</v>
      </c>
      <c r="L18" s="106"/>
    </row>
    <row r="19" spans="1:12">
      <c r="A19" s="106" t="s">
        <v>232</v>
      </c>
      <c r="B19" s="106" t="s">
        <v>239</v>
      </c>
      <c r="C19" s="106" t="s">
        <v>284</v>
      </c>
      <c r="D19" s="111">
        <v>103.4</v>
      </c>
      <c r="E19" s="111">
        <v>70.397422005041136</v>
      </c>
      <c r="F19" s="114" t="s">
        <v>217</v>
      </c>
      <c r="G19" s="116">
        <v>70.397422005041136</v>
      </c>
      <c r="H19" s="117">
        <v>2.9267695519006903E-2</v>
      </c>
      <c r="I19" s="106" t="s">
        <v>218</v>
      </c>
      <c r="J19" s="106" t="s">
        <v>219</v>
      </c>
      <c r="K19" s="116">
        <v>0.30438689505940081</v>
      </c>
      <c r="L19" s="106"/>
    </row>
    <row r="20" spans="1:12">
      <c r="A20" s="106" t="s">
        <v>232</v>
      </c>
      <c r="B20" s="106" t="s">
        <v>240</v>
      </c>
      <c r="C20" s="106" t="s">
        <v>53</v>
      </c>
      <c r="D20" s="111">
        <v>0</v>
      </c>
      <c r="E20" s="111">
        <v>100.73879106196695</v>
      </c>
      <c r="F20" s="114" t="s">
        <v>217</v>
      </c>
      <c r="G20" s="116">
        <v>100.73879106196695</v>
      </c>
      <c r="H20" s="117">
        <v>3.44E-2</v>
      </c>
      <c r="I20" s="106" t="s">
        <v>218</v>
      </c>
      <c r="J20" s="106" t="s">
        <v>235</v>
      </c>
      <c r="K20" s="116">
        <v>0.62298798858905402</v>
      </c>
      <c r="L20" s="106"/>
    </row>
    <row r="21" spans="1:12">
      <c r="A21" s="106" t="s">
        <v>232</v>
      </c>
      <c r="B21" s="106" t="s">
        <v>241</v>
      </c>
      <c r="C21" s="106" t="s">
        <v>55</v>
      </c>
      <c r="D21" s="111">
        <v>103.9</v>
      </c>
      <c r="E21" s="111">
        <v>103.32453459867976</v>
      </c>
      <c r="F21" s="114" t="s">
        <v>217</v>
      </c>
      <c r="G21" s="116">
        <v>103.32453459867976</v>
      </c>
      <c r="H21" s="117">
        <v>3.8754824473532068E-2</v>
      </c>
      <c r="I21" s="106" t="s">
        <v>218</v>
      </c>
      <c r="J21" s="106" t="s">
        <v>219</v>
      </c>
      <c r="K21" s="116">
        <v>0.87347329690129794</v>
      </c>
      <c r="L21" s="106"/>
    </row>
    <row r="22" spans="1:12">
      <c r="A22" s="106" t="s">
        <v>232</v>
      </c>
      <c r="B22" s="106" t="s">
        <v>242</v>
      </c>
      <c r="C22" s="106" t="s">
        <v>57</v>
      </c>
      <c r="D22" s="111">
        <v>0</v>
      </c>
      <c r="E22" s="111">
        <v>102.7488076840289</v>
      </c>
      <c r="F22" s="114" t="s">
        <v>217</v>
      </c>
      <c r="G22" s="116">
        <v>102.7488076840289</v>
      </c>
      <c r="H22" s="117">
        <v>3.9699999999999999E-2</v>
      </c>
      <c r="I22" s="106" t="s">
        <v>218</v>
      </c>
      <c r="J22" s="106" t="s">
        <v>235</v>
      </c>
      <c r="K22" s="116">
        <v>1.4728085009307144</v>
      </c>
      <c r="L22" s="106"/>
    </row>
    <row r="23" spans="1:12">
      <c r="A23" s="106" t="s">
        <v>232</v>
      </c>
      <c r="B23" s="106" t="s">
        <v>243</v>
      </c>
      <c r="C23" s="106" t="s">
        <v>286</v>
      </c>
      <c r="D23" s="111">
        <v>0</v>
      </c>
      <c r="E23" s="111">
        <v>102.09673453255104</v>
      </c>
      <c r="F23" s="114" t="s">
        <v>217</v>
      </c>
      <c r="G23" s="116">
        <v>102.09673453255104</v>
      </c>
      <c r="H23" s="117">
        <v>4.1700000000000001E-2</v>
      </c>
      <c r="I23" s="106" t="s">
        <v>218</v>
      </c>
      <c r="J23" s="106" t="s">
        <v>235</v>
      </c>
      <c r="K23" s="116">
        <v>1.6097052402468275</v>
      </c>
      <c r="L23" s="106"/>
    </row>
    <row r="24" spans="1:12">
      <c r="A24" s="106" t="s">
        <v>232</v>
      </c>
      <c r="B24" s="106" t="s">
        <v>244</v>
      </c>
      <c r="C24" s="106" t="s">
        <v>59</v>
      </c>
      <c r="D24" s="111">
        <v>102.74</v>
      </c>
      <c r="E24" s="111">
        <v>100.3798531416998</v>
      </c>
      <c r="F24" s="114" t="s">
        <v>217</v>
      </c>
      <c r="G24" s="116">
        <v>100.3798531416998</v>
      </c>
      <c r="H24" s="117">
        <v>4.024256335475207E-2</v>
      </c>
      <c r="I24" s="106" t="s">
        <v>218</v>
      </c>
      <c r="J24" s="106" t="s">
        <v>219</v>
      </c>
      <c r="K24" s="116">
        <v>1.5731276197431772</v>
      </c>
      <c r="L24" s="106"/>
    </row>
    <row r="25" spans="1:12">
      <c r="A25" s="106" t="s">
        <v>232</v>
      </c>
      <c r="B25" s="106" t="s">
        <v>245</v>
      </c>
      <c r="C25" s="106" t="s">
        <v>62</v>
      </c>
      <c r="D25" s="111">
        <v>104.25</v>
      </c>
      <c r="E25" s="111">
        <v>102.74541778271835</v>
      </c>
      <c r="F25" s="115" t="s">
        <v>217</v>
      </c>
      <c r="G25" s="116">
        <v>102.74541778271835</v>
      </c>
      <c r="H25" s="117">
        <v>3.9889411898877375E-2</v>
      </c>
      <c r="I25" s="106" t="s">
        <v>218</v>
      </c>
      <c r="J25" s="106" t="s">
        <v>219</v>
      </c>
      <c r="K25" s="116">
        <v>1.5838949823067507</v>
      </c>
      <c r="L25" s="106"/>
    </row>
    <row r="26" spans="1:12">
      <c r="A26" s="106" t="s">
        <v>232</v>
      </c>
      <c r="B26" s="106" t="s">
        <v>246</v>
      </c>
      <c r="C26" s="106" t="s">
        <v>291</v>
      </c>
      <c r="D26" s="111">
        <v>105.25</v>
      </c>
      <c r="E26" s="111">
        <v>100.37719560839058</v>
      </c>
      <c r="F26" s="114" t="s">
        <v>217</v>
      </c>
      <c r="G26" s="116">
        <v>100.37719560839058</v>
      </c>
      <c r="H26" s="117">
        <v>3.9945743326992078E-2</v>
      </c>
      <c r="I26" s="106" t="s">
        <v>218</v>
      </c>
      <c r="J26" s="106" t="s">
        <v>219</v>
      </c>
      <c r="K26" s="116">
        <v>1.0023411630361276</v>
      </c>
      <c r="L26" s="106"/>
    </row>
    <row r="27" spans="1:12">
      <c r="A27" s="106" t="s">
        <v>232</v>
      </c>
      <c r="B27" s="106" t="s">
        <v>247</v>
      </c>
      <c r="C27" s="106" t="s">
        <v>65</v>
      </c>
      <c r="D27" s="111">
        <v>104.5</v>
      </c>
      <c r="E27" s="111">
        <v>100.26595680221958</v>
      </c>
      <c r="F27" s="114" t="s">
        <v>217</v>
      </c>
      <c r="G27" s="116">
        <v>100.26595680221958</v>
      </c>
      <c r="H27" s="117">
        <v>3.098446598615659E-2</v>
      </c>
      <c r="I27" s="106" t="s">
        <v>218</v>
      </c>
      <c r="J27" s="106" t="s">
        <v>219</v>
      </c>
      <c r="K27" s="116">
        <v>0.53994592172908595</v>
      </c>
      <c r="L27" s="106"/>
    </row>
    <row r="28" spans="1:12">
      <c r="A28" s="106" t="s">
        <v>232</v>
      </c>
      <c r="B28" s="106" t="s">
        <v>248</v>
      </c>
      <c r="C28" s="106" t="s">
        <v>68</v>
      </c>
      <c r="D28" s="111">
        <v>0</v>
      </c>
      <c r="E28" s="111">
        <v>103.56657017431482</v>
      </c>
      <c r="F28" s="114" t="s">
        <v>217</v>
      </c>
      <c r="G28" s="116">
        <v>103.56657017431482</v>
      </c>
      <c r="H28" s="117">
        <v>3.2399999999999998E-2</v>
      </c>
      <c r="I28" s="106" t="s">
        <v>218</v>
      </c>
      <c r="J28" s="106" t="s">
        <v>235</v>
      </c>
      <c r="K28" s="116">
        <v>0.81164250148032191</v>
      </c>
      <c r="L28" s="106"/>
    </row>
    <row r="29" spans="1:12">
      <c r="A29" s="106" t="s">
        <v>232</v>
      </c>
      <c r="B29" s="106" t="s">
        <v>249</v>
      </c>
      <c r="C29" s="106" t="s">
        <v>292</v>
      </c>
      <c r="D29" s="111">
        <v>0</v>
      </c>
      <c r="E29" s="111">
        <v>99.962987819804738</v>
      </c>
      <c r="F29" s="114" t="s">
        <v>217</v>
      </c>
      <c r="G29" s="116">
        <v>99.962987819804738</v>
      </c>
      <c r="H29" s="117">
        <v>2.9899999999999999E-2</v>
      </c>
      <c r="I29" s="106" t="s">
        <v>218</v>
      </c>
      <c r="J29" s="106" t="s">
        <v>235</v>
      </c>
      <c r="K29" s="116">
        <v>1.9199172026594544</v>
      </c>
      <c r="L29" s="106"/>
    </row>
    <row r="30" spans="1:12">
      <c r="A30" s="106" t="s">
        <v>232</v>
      </c>
      <c r="B30" s="106" t="s">
        <v>250</v>
      </c>
      <c r="C30" s="106" t="s">
        <v>71</v>
      </c>
      <c r="D30" s="111">
        <v>103.37</v>
      </c>
      <c r="E30" s="111">
        <v>101.49040320111179</v>
      </c>
      <c r="F30" s="114" t="s">
        <v>217</v>
      </c>
      <c r="G30" s="116">
        <v>101.49040320111179</v>
      </c>
      <c r="H30" s="117">
        <v>3.4969698318834536E-2</v>
      </c>
      <c r="I30" s="106" t="s">
        <v>218</v>
      </c>
      <c r="J30" s="106" t="s">
        <v>219</v>
      </c>
      <c r="K30" s="116">
        <v>1.6865944800200139</v>
      </c>
      <c r="L30" s="106"/>
    </row>
    <row r="31" spans="1:12">
      <c r="A31" s="106" t="s">
        <v>232</v>
      </c>
      <c r="B31" s="106" t="s">
        <v>251</v>
      </c>
      <c r="C31" s="106" t="s">
        <v>67</v>
      </c>
      <c r="D31" s="111">
        <v>100.3</v>
      </c>
      <c r="E31" s="111">
        <v>105.33947574130687</v>
      </c>
      <c r="F31" s="114" t="s">
        <v>217</v>
      </c>
      <c r="G31" s="116">
        <v>105.33947574130687</v>
      </c>
      <c r="H31" s="117">
        <v>7.3966571240585754E-2</v>
      </c>
      <c r="I31" s="106" t="s">
        <v>218</v>
      </c>
      <c r="J31" s="106" t="s">
        <v>219</v>
      </c>
      <c r="K31" s="116">
        <v>2.3132419984071742E-2</v>
      </c>
      <c r="L31" s="106"/>
    </row>
    <row r="32" spans="1:12">
      <c r="A32" s="106" t="s">
        <v>232</v>
      </c>
      <c r="B32" s="106" t="s">
        <v>252</v>
      </c>
      <c r="C32" s="106" t="s">
        <v>75</v>
      </c>
      <c r="D32" s="111">
        <v>100.4</v>
      </c>
      <c r="E32" s="111">
        <v>68.285805752782878</v>
      </c>
      <c r="F32" s="115" t="s">
        <v>217</v>
      </c>
      <c r="G32" s="116">
        <v>68.285805752782878</v>
      </c>
      <c r="H32" s="117">
        <v>3.6517997107349681E-2</v>
      </c>
      <c r="I32" s="106" t="s">
        <v>218</v>
      </c>
      <c r="J32" s="106" t="s">
        <v>219</v>
      </c>
      <c r="K32" s="116">
        <v>0.37736694245295704</v>
      </c>
      <c r="L32" s="106"/>
    </row>
    <row r="33" spans="1:12">
      <c r="A33" s="106" t="s">
        <v>253</v>
      </c>
      <c r="B33" s="106" t="s">
        <v>254</v>
      </c>
      <c r="C33" s="106" t="s">
        <v>46</v>
      </c>
      <c r="D33" s="111">
        <v>2244</v>
      </c>
      <c r="E33" s="111">
        <v>2258.0411202960786</v>
      </c>
      <c r="F33" s="114" t="s">
        <v>217</v>
      </c>
      <c r="G33" s="116">
        <v>2258.0411202960786</v>
      </c>
      <c r="H33" s="117">
        <v>4.1593149096521564E-2</v>
      </c>
      <c r="I33" s="106" t="s">
        <v>227</v>
      </c>
      <c r="J33" s="106" t="s">
        <v>219</v>
      </c>
      <c r="K33" s="116">
        <v>1.9184565868424461</v>
      </c>
      <c r="L33" s="106"/>
    </row>
    <row r="34" spans="1:12">
      <c r="A34" s="106" t="s">
        <v>232</v>
      </c>
      <c r="B34" s="106" t="s">
        <v>255</v>
      </c>
      <c r="C34" s="106" t="s">
        <v>295</v>
      </c>
      <c r="D34" s="111">
        <v>112.55</v>
      </c>
      <c r="E34" s="111">
        <v>105.4470020302286</v>
      </c>
      <c r="F34" s="114" t="s">
        <v>217</v>
      </c>
      <c r="G34" s="116">
        <v>105.4470020302286</v>
      </c>
      <c r="H34" s="117">
        <v>3.8831633198620347E-2</v>
      </c>
      <c r="I34" s="106" t="s">
        <v>218</v>
      </c>
      <c r="J34" s="106" t="s">
        <v>219</v>
      </c>
      <c r="K34" s="116">
        <v>1.3126407245748026</v>
      </c>
      <c r="L34" s="106"/>
    </row>
    <row r="35" spans="1:12">
      <c r="A35" s="106" t="s">
        <v>232</v>
      </c>
      <c r="B35" s="106" t="s">
        <v>256</v>
      </c>
      <c r="C35" s="106" t="s">
        <v>296</v>
      </c>
      <c r="D35" s="111">
        <v>97.35</v>
      </c>
      <c r="E35" s="111">
        <v>98.066648171540265</v>
      </c>
      <c r="F35" s="115" t="s">
        <v>217</v>
      </c>
      <c r="G35" s="116">
        <v>98.066648171540265</v>
      </c>
      <c r="H35" s="117">
        <v>3.6648215191852324E-2</v>
      </c>
      <c r="I35" s="106" t="s">
        <v>218</v>
      </c>
      <c r="J35" s="106" t="s">
        <v>219</v>
      </c>
      <c r="K35" s="116">
        <v>1.6886049150902367</v>
      </c>
      <c r="L35" s="106"/>
    </row>
    <row r="36" spans="1:12">
      <c r="A36" s="106" t="s">
        <v>232</v>
      </c>
      <c r="B36" s="106" t="s">
        <v>257</v>
      </c>
      <c r="C36" s="106" t="s">
        <v>297</v>
      </c>
      <c r="D36" s="111">
        <v>92.9</v>
      </c>
      <c r="E36" s="111">
        <v>96.923098444734492</v>
      </c>
      <c r="F36" s="114" t="s">
        <v>217</v>
      </c>
      <c r="G36" s="116">
        <v>96.923098444734492</v>
      </c>
      <c r="H36" s="117">
        <v>3.8318423545982278E-2</v>
      </c>
      <c r="I36" s="106" t="s">
        <v>218</v>
      </c>
      <c r="J36" s="106" t="s">
        <v>219</v>
      </c>
      <c r="K36" s="116">
        <v>1.7361770738750142</v>
      </c>
      <c r="L36" s="106"/>
    </row>
    <row r="37" spans="1:12">
      <c r="A37" s="106" t="s">
        <v>232</v>
      </c>
      <c r="B37" s="106" t="s">
        <v>258</v>
      </c>
      <c r="C37" s="106" t="s">
        <v>87</v>
      </c>
      <c r="D37" s="111">
        <v>96.1</v>
      </c>
      <c r="E37" s="111">
        <v>96.250624159494706</v>
      </c>
      <c r="F37" s="114" t="s">
        <v>217</v>
      </c>
      <c r="G37" s="116">
        <v>96.250624159494706</v>
      </c>
      <c r="H37" s="117">
        <v>4.9706394863637426E-2</v>
      </c>
      <c r="I37" s="106" t="s">
        <v>218</v>
      </c>
      <c r="J37" s="106" t="s">
        <v>219</v>
      </c>
      <c r="K37" s="116">
        <v>0.94851699015842283</v>
      </c>
      <c r="L37" s="106"/>
    </row>
    <row r="38" spans="1:12">
      <c r="A38" s="106" t="s">
        <v>253</v>
      </c>
      <c r="B38" s="106" t="s">
        <v>259</v>
      </c>
      <c r="C38" s="106" t="s">
        <v>77</v>
      </c>
      <c r="D38" s="111">
        <v>2270</v>
      </c>
      <c r="E38" s="111">
        <v>2248.138023496831</v>
      </c>
      <c r="F38" s="114"/>
      <c r="G38" s="116">
        <v>2270</v>
      </c>
      <c r="H38" s="117">
        <v>6.0803510404086492E-2</v>
      </c>
      <c r="I38" s="106" t="s">
        <v>230</v>
      </c>
      <c r="J38" s="106" t="s">
        <v>308</v>
      </c>
      <c r="K38" s="116">
        <v>3.9947305996780296</v>
      </c>
      <c r="L38" s="106"/>
    </row>
    <row r="39" spans="1:12">
      <c r="A39" s="106" t="s">
        <v>261</v>
      </c>
      <c r="B39" s="106" t="s">
        <v>262</v>
      </c>
      <c r="C39" s="106" t="s">
        <v>288</v>
      </c>
      <c r="D39" s="111">
        <v>109.4</v>
      </c>
      <c r="E39" s="111">
        <v>111.46806899790003</v>
      </c>
      <c r="F39" s="114"/>
      <c r="G39" s="116">
        <v>109.4</v>
      </c>
      <c r="H39" s="117">
        <v>3.3141207744581541E-2</v>
      </c>
      <c r="I39" s="106" t="s">
        <v>230</v>
      </c>
      <c r="J39" s="106" t="s">
        <v>260</v>
      </c>
      <c r="K39" s="116">
        <v>1.6286663706312814</v>
      </c>
      <c r="L39" s="106"/>
    </row>
    <row r="40" spans="1:12">
      <c r="A40" s="106" t="s">
        <v>261</v>
      </c>
      <c r="B40" s="106" t="s">
        <v>262</v>
      </c>
      <c r="C40" s="106" t="s">
        <v>317</v>
      </c>
      <c r="D40" s="111">
        <v>0</v>
      </c>
      <c r="E40" s="111">
        <v>102.55974951163456</v>
      </c>
      <c r="F40" s="115" t="s">
        <v>217</v>
      </c>
      <c r="G40" s="116">
        <v>102.55974951163456</v>
      </c>
      <c r="H40" s="117">
        <v>2.6499999999999999E-2</v>
      </c>
      <c r="I40" s="106" t="s">
        <v>230</v>
      </c>
      <c r="J40" s="106" t="s">
        <v>235</v>
      </c>
      <c r="K40" s="116">
        <v>1.9306742502623933</v>
      </c>
      <c r="L40" s="105"/>
    </row>
    <row r="41" spans="1:12">
      <c r="A41" s="106" t="s">
        <v>261</v>
      </c>
      <c r="B41" s="106" t="s">
        <v>300</v>
      </c>
      <c r="C41" s="106" t="s">
        <v>290</v>
      </c>
      <c r="D41" s="111">
        <v>0</v>
      </c>
      <c r="E41" s="111">
        <v>100.12518945454916</v>
      </c>
      <c r="F41" s="115" t="s">
        <v>217</v>
      </c>
      <c r="G41" s="116">
        <v>100.12518945454916</v>
      </c>
      <c r="H41" s="117">
        <v>2.75E-2</v>
      </c>
      <c r="I41" s="106" t="s">
        <v>230</v>
      </c>
      <c r="J41" s="106" t="s">
        <v>235</v>
      </c>
      <c r="K41" s="116">
        <v>1.206205711975701</v>
      </c>
      <c r="L41" s="105"/>
    </row>
    <row r="42" spans="1:12">
      <c r="A42" s="106" t="s">
        <v>253</v>
      </c>
      <c r="B42" s="106" t="s">
        <v>306</v>
      </c>
      <c r="C42" s="106" t="s">
        <v>289</v>
      </c>
      <c r="D42" s="111">
        <v>2279</v>
      </c>
      <c r="E42" s="111">
        <v>2348.6538965193163</v>
      </c>
      <c r="F42" s="115" t="s">
        <v>217</v>
      </c>
      <c r="G42" s="116">
        <v>2348.6538965193163</v>
      </c>
      <c r="H42" s="117">
        <v>3.5694337054590797E-2</v>
      </c>
      <c r="I42" s="106" t="s">
        <v>230</v>
      </c>
      <c r="J42" s="106" t="s">
        <v>219</v>
      </c>
      <c r="K42" s="116">
        <v>1.6548992352556791</v>
      </c>
      <c r="L42" s="105"/>
    </row>
    <row r="43" spans="1:12">
      <c r="A43" s="106" t="s">
        <v>253</v>
      </c>
      <c r="B43" s="106" t="s">
        <v>306</v>
      </c>
      <c r="C43" s="106" t="s">
        <v>342</v>
      </c>
      <c r="D43" s="111">
        <v>0</v>
      </c>
      <c r="E43" s="111">
        <v>100.32881861929016</v>
      </c>
      <c r="F43" s="114" t="s">
        <v>217</v>
      </c>
      <c r="G43" s="116">
        <v>100.32881861929016</v>
      </c>
      <c r="H43" s="117">
        <v>0.25979999999999998</v>
      </c>
      <c r="I43" s="106" t="s">
        <v>230</v>
      </c>
      <c r="J43" s="106" t="s">
        <v>235</v>
      </c>
      <c r="K43" s="116">
        <v>1.604510354401866</v>
      </c>
      <c r="L43" s="106"/>
    </row>
    <row r="44" spans="1:12">
      <c r="A44" s="105" t="s">
        <v>253</v>
      </c>
      <c r="B44" s="105" t="s">
        <v>306</v>
      </c>
      <c r="C44" s="130" t="s">
        <v>345</v>
      </c>
      <c r="D44" s="111">
        <v>0</v>
      </c>
      <c r="E44" s="111">
        <v>100.54750706940624</v>
      </c>
      <c r="F44" s="105" t="s">
        <v>217</v>
      </c>
      <c r="G44" s="105">
        <v>100.54750706940624</v>
      </c>
      <c r="H44" s="103">
        <v>0.25750000000000001</v>
      </c>
      <c r="I44" s="105" t="s">
        <v>230</v>
      </c>
      <c r="J44" s="105" t="s">
        <v>235</v>
      </c>
      <c r="K44" s="105">
        <v>1.1957997379830974</v>
      </c>
      <c r="L44" s="105"/>
    </row>
    <row r="45" spans="1:12">
      <c r="A45" s="105" t="s">
        <v>253</v>
      </c>
      <c r="B45" s="105" t="s">
        <v>306</v>
      </c>
      <c r="C45" s="106" t="s">
        <v>347</v>
      </c>
      <c r="D45" s="111">
        <v>101.45</v>
      </c>
      <c r="E45" s="111">
        <v>102.00391322935324</v>
      </c>
      <c r="F45" s="105" t="s">
        <v>217</v>
      </c>
      <c r="G45" s="116">
        <v>102.00391322935324</v>
      </c>
      <c r="H45" s="117">
        <v>3.4910037670785377E-2</v>
      </c>
      <c r="I45" s="105" t="s">
        <v>230</v>
      </c>
      <c r="J45" s="106" t="s">
        <v>219</v>
      </c>
      <c r="K45" s="116">
        <v>1.6255474551430262</v>
      </c>
      <c r="L45" s="105"/>
    </row>
    <row r="46" spans="1:12">
      <c r="A46" s="105"/>
      <c r="B46" s="105"/>
      <c r="C46" s="106"/>
      <c r="D46" s="111"/>
      <c r="E46" s="111"/>
      <c r="F46" s="105"/>
      <c r="G46" s="116"/>
      <c r="H46" s="117"/>
      <c r="I46" s="105"/>
      <c r="J46" s="106"/>
      <c r="K46" s="116"/>
      <c r="L46" s="105"/>
    </row>
    <row r="47" spans="1:12">
      <c r="A47" s="105"/>
      <c r="B47" s="105"/>
      <c r="C47" s="106" t="s">
        <v>277</v>
      </c>
      <c r="D47" s="111">
        <v>98.406899999999993</v>
      </c>
      <c r="E47" s="111">
        <v>100</v>
      </c>
      <c r="F47" s="105"/>
      <c r="G47" s="116">
        <v>98.406899999999993</v>
      </c>
      <c r="H47" s="117">
        <v>0.31099739422423095</v>
      </c>
      <c r="I47" s="105"/>
      <c r="J47" s="106" t="s">
        <v>260</v>
      </c>
      <c r="K47" s="116">
        <v>3.970625323122845E-2</v>
      </c>
      <c r="L47" s="105"/>
    </row>
    <row r="48" spans="1:12">
      <c r="A48" s="105"/>
      <c r="B48" s="105"/>
      <c r="C48" s="106" t="s">
        <v>279</v>
      </c>
      <c r="D48" s="111">
        <v>95.674999999999997</v>
      </c>
      <c r="E48" s="111">
        <v>100</v>
      </c>
      <c r="F48" s="115"/>
      <c r="G48" s="116">
        <v>95.674999999999997</v>
      </c>
      <c r="H48" s="117">
        <v>0.29999762453381545</v>
      </c>
      <c r="I48" s="105"/>
      <c r="J48" s="106" t="s">
        <v>260</v>
      </c>
      <c r="K48" s="116">
        <v>0.11591169757782101</v>
      </c>
      <c r="L48" s="105"/>
    </row>
    <row r="49" spans="3:11">
      <c r="C49" s="96" t="s">
        <v>280</v>
      </c>
      <c r="D49" s="97">
        <v>93.843800000000002</v>
      </c>
      <c r="E49" s="97">
        <v>100</v>
      </c>
      <c r="G49" s="99">
        <v>93.843800000000002</v>
      </c>
      <c r="H49" s="104">
        <v>0.29200221603319093</v>
      </c>
      <c r="J49" s="96" t="s">
        <v>260</v>
      </c>
      <c r="K49" s="85">
        <v>0.17388324219468984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Resumen</vt:lpstr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Veronica Otaegui</cp:lastModifiedBy>
  <dcterms:created xsi:type="dcterms:W3CDTF">2017-10-09T13:57:45Z</dcterms:created>
  <dcterms:modified xsi:type="dcterms:W3CDTF">2018-05-17T22:37:33Z</dcterms:modified>
</cp:coreProperties>
</file>