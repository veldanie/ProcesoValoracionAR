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Inversiones Internacionales Grupo Sura S.A\Argentina\valoración\tpcg\"/>
    </mc:Choice>
  </mc:AlternateContent>
  <bookViews>
    <workbookView xWindow="240" yWindow="45" windowWidth="20580" windowHeight="11640" activeTab="1"/>
  </bookViews>
  <sheets>
    <sheet name="Resumen" sheetId="11" r:id="rId1"/>
    <sheet name="Valuacion" sheetId="1" r:id="rId2"/>
    <sheet name="FCI" sheetId="9" r:id="rId3"/>
    <sheet name="Pos Tit Sura" sheetId="4" r:id="rId4"/>
    <sheet name="Pos PF Sura" sheetId="7" r:id="rId5"/>
    <sheet name="Pos Tit ACG" sheetId="6" r:id="rId6"/>
    <sheet name="Pos PF ACG" sheetId="8" r:id="rId7"/>
    <sheet name="Identidad de Codigos" sheetId="5" r:id="rId8"/>
    <sheet name="Precios para Valuar" sheetId="10" r:id="rId9"/>
  </sheets>
  <definedNames>
    <definedName name="Badlar">Valuacion!$D$117</definedName>
    <definedName name="cccccccccccccc">Valuacion!#REF!</definedName>
    <definedName name="CER">Valuacion!$D$119</definedName>
    <definedName name="dev" localSheetId="6">Valuacion!#REF!</definedName>
    <definedName name="dev" localSheetId="4">Valuacion!#REF!</definedName>
    <definedName name="dev" localSheetId="5">Valuacion!#REF!</definedName>
    <definedName name="Dev">Valuacion!$D$120</definedName>
    <definedName name="inf" localSheetId="6">Valuacion!#REF!</definedName>
    <definedName name="inf" localSheetId="4">Valuacion!#REF!</definedName>
    <definedName name="inf" localSheetId="5">Valuacion!#REF!</definedName>
    <definedName name="inf">Valuacion!#REF!</definedName>
    <definedName name="Tasatm20">Valuacion!$D$118</definedName>
  </definedNames>
  <calcPr calcId="171027" iterate="1"/>
</workbook>
</file>

<file path=xl/calcChain.xml><?xml version="1.0" encoding="utf-8"?>
<calcChain xmlns="http://schemas.openxmlformats.org/spreadsheetml/2006/main">
  <c r="S96" i="1" l="1"/>
  <c r="Q96" i="1"/>
  <c r="R96" i="1" s="1"/>
  <c r="S95" i="1"/>
  <c r="Q95" i="1"/>
  <c r="R95" i="1" s="1"/>
  <c r="R21" i="1"/>
  <c r="D120" i="1"/>
  <c r="N107" i="1"/>
  <c r="N106" i="1"/>
  <c r="N105" i="1"/>
  <c r="N93" i="1"/>
  <c r="N92" i="1"/>
  <c r="N89" i="1"/>
  <c r="N88" i="1"/>
  <c r="N87" i="1"/>
  <c r="N86" i="1"/>
  <c r="N85" i="1"/>
  <c r="N84" i="1"/>
  <c r="N83" i="1"/>
  <c r="N82" i="1"/>
  <c r="N81" i="1"/>
  <c r="N80" i="1"/>
  <c r="S22" i="1"/>
  <c r="Q22" i="1"/>
  <c r="R22" i="1" s="1"/>
  <c r="N22" i="1"/>
  <c r="S21" i="1"/>
  <c r="Q21" i="1"/>
  <c r="N21" i="1"/>
  <c r="S20" i="1"/>
  <c r="Q20" i="1"/>
  <c r="R20" i="1" s="1"/>
  <c r="N20" i="1"/>
  <c r="S19" i="1"/>
  <c r="Q19" i="1"/>
  <c r="R19" i="1" s="1"/>
  <c r="N19" i="1"/>
  <c r="S15" i="1"/>
  <c r="Q15" i="1"/>
  <c r="R15" i="1" s="1"/>
  <c r="N15" i="1"/>
  <c r="S14" i="1"/>
  <c r="Q14" i="1"/>
  <c r="R14" i="1" s="1"/>
  <c r="N14" i="1"/>
  <c r="S13" i="1"/>
  <c r="Q13" i="1"/>
  <c r="R13" i="1" s="1"/>
  <c r="N13" i="1"/>
  <c r="S12" i="1"/>
  <c r="Q12" i="1"/>
  <c r="R12" i="1" s="1"/>
  <c r="N12" i="1"/>
  <c r="S11" i="1"/>
  <c r="Q11" i="1"/>
  <c r="R11" i="1" s="1"/>
  <c r="N11" i="1"/>
  <c r="S10" i="1"/>
  <c r="Q10" i="1"/>
  <c r="R10" i="1" s="1"/>
  <c r="N10" i="1"/>
  <c r="S9" i="1"/>
  <c r="Q9" i="1"/>
  <c r="R9" i="1" s="1"/>
  <c r="N9" i="1"/>
  <c r="V31" i="1" l="1"/>
  <c r="S31" i="1"/>
  <c r="Q31" i="1"/>
  <c r="R31" i="1" s="1"/>
  <c r="N31" i="1"/>
  <c r="H31" i="1"/>
  <c r="V21" i="1"/>
  <c r="H21" i="1"/>
  <c r="O21" i="1" s="1"/>
  <c r="P21" i="1" s="1"/>
  <c r="V14" i="1"/>
  <c r="H14" i="1"/>
  <c r="O14" i="1" s="1"/>
  <c r="P14" i="1" s="1"/>
  <c r="C14" i="1"/>
  <c r="B14" i="1"/>
  <c r="V8" i="1"/>
  <c r="S8" i="1"/>
  <c r="Q8" i="1"/>
  <c r="N8" i="1"/>
  <c r="H8" i="1"/>
  <c r="V11" i="1"/>
  <c r="H11" i="1"/>
  <c r="O11" i="1" s="1"/>
  <c r="P11" i="1" s="1"/>
  <c r="V12" i="1"/>
  <c r="H12" i="1"/>
  <c r="O12" i="1" s="1"/>
  <c r="P12" i="1" s="1"/>
  <c r="H6" i="1"/>
  <c r="O78" i="1"/>
  <c r="O77" i="1"/>
  <c r="O76" i="1"/>
  <c r="O75" i="1"/>
  <c r="O74" i="1"/>
  <c r="O73" i="1"/>
  <c r="O72" i="1"/>
  <c r="O71" i="1"/>
  <c r="O70" i="1"/>
  <c r="O69" i="1"/>
  <c r="O65" i="1"/>
  <c r="O64" i="1"/>
  <c r="O63" i="1"/>
  <c r="O62" i="1"/>
  <c r="O61" i="1"/>
  <c r="O60" i="1"/>
  <c r="O59" i="1"/>
  <c r="O58" i="1"/>
  <c r="O57" i="1"/>
  <c r="R8" i="1" l="1"/>
  <c r="I31" i="1"/>
  <c r="O31" i="1"/>
  <c r="I21" i="1"/>
  <c r="I14" i="1"/>
  <c r="I8" i="1"/>
  <c r="O8" i="1"/>
  <c r="I11" i="1"/>
  <c r="I12" i="1"/>
  <c r="P31" i="1" l="1"/>
  <c r="P8" i="1"/>
  <c r="H109" i="1"/>
  <c r="H110" i="1"/>
  <c r="H107" i="1"/>
  <c r="H106" i="1"/>
  <c r="H105" i="1"/>
  <c r="H93" i="1"/>
  <c r="H92" i="1"/>
  <c r="H88" i="1"/>
  <c r="H87" i="1"/>
  <c r="H86" i="1"/>
  <c r="H85" i="1"/>
  <c r="H84" i="1"/>
  <c r="H83" i="1"/>
  <c r="H82" i="1"/>
  <c r="H81" i="1"/>
  <c r="H80" i="1"/>
  <c r="Q64" i="1"/>
  <c r="S64" i="1" s="1"/>
  <c r="P64" i="1"/>
  <c r="Q63" i="1"/>
  <c r="P63" i="1"/>
  <c r="Q62" i="1"/>
  <c r="S62" i="1" s="1"/>
  <c r="R63" i="1" l="1"/>
  <c r="S63" i="1"/>
  <c r="R64" i="1"/>
  <c r="P62" i="1"/>
  <c r="R62" i="1"/>
  <c r="N96" i="1"/>
  <c r="N95" i="1"/>
  <c r="Q60" i="1"/>
  <c r="P60" i="1"/>
  <c r="Q59" i="1"/>
  <c r="R59" i="1" l="1"/>
  <c r="S59" i="1"/>
  <c r="R60" i="1"/>
  <c r="S60" i="1"/>
  <c r="O83" i="1"/>
  <c r="P83" i="1" s="1"/>
  <c r="O85" i="1"/>
  <c r="P85" i="1" s="1"/>
  <c r="O82" i="1"/>
  <c r="P82" i="1" s="1"/>
  <c r="P59" i="1"/>
  <c r="V5" i="1"/>
  <c r="S5" i="1"/>
  <c r="Q5" i="1"/>
  <c r="R5" i="1" s="1"/>
  <c r="N5" i="1"/>
  <c r="V6" i="1"/>
  <c r="S6" i="1"/>
  <c r="Q6" i="1"/>
  <c r="R6" i="1" s="1"/>
  <c r="N6" i="1"/>
  <c r="V19" i="1"/>
  <c r="V24" i="1"/>
  <c r="S24" i="1"/>
  <c r="Q24" i="1"/>
  <c r="R24" i="1" s="1"/>
  <c r="N24" i="1"/>
  <c r="H24" i="1"/>
  <c r="I24" i="1" s="1"/>
  <c r="H5" i="1" l="1"/>
  <c r="I5" i="1" s="1"/>
  <c r="H19" i="1"/>
  <c r="I6" i="1"/>
  <c r="O24" i="1"/>
  <c r="P24" i="1" s="1"/>
  <c r="I19" i="1" l="1"/>
  <c r="O19" i="1"/>
  <c r="P19" i="1" s="1"/>
  <c r="O5" i="1"/>
  <c r="P5" i="1" s="1"/>
  <c r="O6" i="1"/>
  <c r="P6" i="1" s="1"/>
  <c r="V45" i="1"/>
  <c r="S45" i="1"/>
  <c r="Q45" i="1"/>
  <c r="R45" i="1" s="1"/>
  <c r="N45" i="1"/>
  <c r="H45" i="1"/>
  <c r="I45" i="1" s="1"/>
  <c r="V40" i="1"/>
  <c r="S40" i="1"/>
  <c r="Q40" i="1"/>
  <c r="R40" i="1" s="1"/>
  <c r="N40" i="1"/>
  <c r="H40" i="1"/>
  <c r="I40" i="1" s="1"/>
  <c r="V35" i="1"/>
  <c r="S35" i="1"/>
  <c r="Q35" i="1"/>
  <c r="R35" i="1" s="1"/>
  <c r="N35" i="1"/>
  <c r="H35" i="1"/>
  <c r="I35" i="1" s="1"/>
  <c r="O35" i="1" l="1"/>
  <c r="P35" i="1" s="1"/>
  <c r="O45" i="1"/>
  <c r="P45" i="1" s="1"/>
  <c r="P65" i="1"/>
  <c r="Q65" i="1"/>
  <c r="O40" i="1"/>
  <c r="P40" i="1" s="1"/>
  <c r="H10" i="1"/>
  <c r="O10" i="1" s="1"/>
  <c r="P10" i="1" s="1"/>
  <c r="H9" i="1"/>
  <c r="O9" i="1" s="1"/>
  <c r="P9" i="1" s="1"/>
  <c r="R65" i="1" l="1"/>
  <c r="S65" i="1"/>
  <c r="H111" i="1"/>
  <c r="H102" i="1"/>
  <c r="H100" i="1"/>
  <c r="H99" i="1"/>
  <c r="H98" i="1"/>
  <c r="H97" i="1"/>
  <c r="H96" i="1"/>
  <c r="H95" i="1"/>
  <c r="H89" i="1"/>
  <c r="P75" i="1"/>
  <c r="H55" i="1"/>
  <c r="H54" i="1"/>
  <c r="H52" i="1"/>
  <c r="H51" i="1"/>
  <c r="H50" i="1"/>
  <c r="H49" i="1"/>
  <c r="H48" i="1"/>
  <c r="H47" i="1"/>
  <c r="H46" i="1"/>
  <c r="H44" i="1"/>
  <c r="H43" i="1"/>
  <c r="H42" i="1"/>
  <c r="H41" i="1"/>
  <c r="H39" i="1"/>
  <c r="H38" i="1"/>
  <c r="H37" i="1"/>
  <c r="H36" i="1"/>
  <c r="H34" i="1"/>
  <c r="H33" i="1"/>
  <c r="H32" i="1"/>
  <c r="H30" i="1"/>
  <c r="H29" i="1"/>
  <c r="H28" i="1"/>
  <c r="H25" i="1"/>
  <c r="H22" i="1"/>
  <c r="O22" i="1" s="1"/>
  <c r="P22" i="1" s="1"/>
  <c r="H20" i="1"/>
  <c r="O20" i="1" s="1"/>
  <c r="P20" i="1" s="1"/>
  <c r="H17" i="1"/>
  <c r="H15" i="1"/>
  <c r="O15" i="1" s="1"/>
  <c r="P15" i="1" s="1"/>
  <c r="H13" i="1"/>
  <c r="O13" i="1" s="1"/>
  <c r="P13" i="1" s="1"/>
  <c r="Q75" i="1"/>
  <c r="S75" i="1" s="1"/>
  <c r="Q73" i="1"/>
  <c r="S73" i="1" s="1"/>
  <c r="Q72" i="1"/>
  <c r="S72" i="1" s="1"/>
  <c r="P72" i="1"/>
  <c r="Q71" i="1"/>
  <c r="S71" i="1" s="1"/>
  <c r="R75" i="1" l="1"/>
  <c r="P73" i="1"/>
  <c r="R73" i="1"/>
  <c r="R72" i="1"/>
  <c r="R71" i="1"/>
  <c r="P71" i="1"/>
  <c r="V42" i="1"/>
  <c r="S42" i="1"/>
  <c r="Q42" i="1"/>
  <c r="R42" i="1" s="1"/>
  <c r="N42" i="1"/>
  <c r="O42" i="1" l="1"/>
  <c r="P42" i="1" s="1"/>
  <c r="I42" i="1"/>
  <c r="V20" i="1" l="1"/>
  <c r="I20" i="1" l="1"/>
  <c r="N102" i="1"/>
  <c r="N100" i="1"/>
  <c r="N99" i="1"/>
  <c r="N98" i="1"/>
  <c r="N97" i="1"/>
  <c r="N55" i="1"/>
  <c r="N54" i="1"/>
  <c r="N46" i="1"/>
  <c r="N41" i="1"/>
  <c r="N52" i="1"/>
  <c r="N51" i="1"/>
  <c r="N50" i="1"/>
  <c r="N49" i="1"/>
  <c r="N48" i="1"/>
  <c r="N47" i="1"/>
  <c r="N44" i="1"/>
  <c r="N43" i="1"/>
  <c r="N39" i="1"/>
  <c r="N38" i="1"/>
  <c r="N37" i="1"/>
  <c r="N36" i="1"/>
  <c r="N34" i="1"/>
  <c r="N33" i="1"/>
  <c r="N32" i="1"/>
  <c r="N30" i="1"/>
  <c r="N29" i="1"/>
  <c r="N28" i="1"/>
  <c r="N25" i="1"/>
  <c r="N17" i="1"/>
  <c r="V54" i="1" l="1"/>
  <c r="S54" i="1"/>
  <c r="Q54" i="1"/>
  <c r="R54" i="1" s="1"/>
  <c r="O54" i="1"/>
  <c r="P54" i="1" s="1"/>
  <c r="I54" i="1"/>
  <c r="V29" i="1" l="1"/>
  <c r="S29" i="1"/>
  <c r="Q29" i="1"/>
  <c r="R29" i="1" s="1"/>
  <c r="I29" i="1" l="1"/>
  <c r="O29" i="1"/>
  <c r="P29" i="1" s="1"/>
  <c r="V46" i="1" l="1"/>
  <c r="S46" i="1"/>
  <c r="Q46" i="1"/>
  <c r="R46" i="1" s="1"/>
  <c r="I46" i="1" l="1"/>
  <c r="O46" i="1"/>
  <c r="P46" i="1" s="1"/>
  <c r="O102" i="1"/>
  <c r="O100" i="1"/>
  <c r="O96" i="1"/>
  <c r="O95" i="1"/>
  <c r="O52" i="1"/>
  <c r="O51" i="1"/>
  <c r="O49" i="1"/>
  <c r="O48" i="1"/>
  <c r="O44" i="1"/>
  <c r="O43" i="1"/>
  <c r="O38" i="1"/>
  <c r="O37" i="1"/>
  <c r="O36" i="1"/>
  <c r="O33" i="1"/>
  <c r="O32" i="1"/>
  <c r="O30" i="1"/>
  <c r="O28" i="1"/>
  <c r="Q70" i="1"/>
  <c r="S70" i="1" s="1"/>
  <c r="P70" i="1"/>
  <c r="Q69" i="1"/>
  <c r="S69" i="1" s="1"/>
  <c r="Q78" i="1"/>
  <c r="S78" i="1" s="1"/>
  <c r="P78" i="1"/>
  <c r="Q77" i="1"/>
  <c r="S77" i="1" s="1"/>
  <c r="Q76" i="1"/>
  <c r="S76" i="1" s="1"/>
  <c r="P76" i="1"/>
  <c r="Q74" i="1"/>
  <c r="S74" i="1" s="1"/>
  <c r="O111" i="1"/>
  <c r="P111" i="1" s="1"/>
  <c r="O110" i="1"/>
  <c r="P110" i="1" s="1"/>
  <c r="O109" i="1"/>
  <c r="P109" i="1" s="1"/>
  <c r="O99" i="1"/>
  <c r="O98" i="1"/>
  <c r="O97" i="1"/>
  <c r="O41" i="1"/>
  <c r="O50" i="1"/>
  <c r="O47" i="1"/>
  <c r="O39" i="1"/>
  <c r="O34" i="1"/>
  <c r="R78" i="1" l="1"/>
  <c r="R74" i="1"/>
  <c r="R69" i="1"/>
  <c r="R70" i="1"/>
  <c r="P69" i="1"/>
  <c r="R77" i="1"/>
  <c r="P77" i="1"/>
  <c r="R76" i="1"/>
  <c r="P74" i="1"/>
  <c r="S102" i="1" l="1"/>
  <c r="S99" i="1"/>
  <c r="S98" i="1"/>
  <c r="S97" i="1"/>
  <c r="S55" i="1"/>
  <c r="S41" i="1"/>
  <c r="S52" i="1"/>
  <c r="S51" i="1"/>
  <c r="S50" i="1"/>
  <c r="S49" i="1"/>
  <c r="S48" i="1"/>
  <c r="S47" i="1"/>
  <c r="S44" i="1"/>
  <c r="S43" i="1"/>
  <c r="S39" i="1"/>
  <c r="S38" i="1"/>
  <c r="S37" i="1"/>
  <c r="S36" i="1"/>
  <c r="S34" i="1"/>
  <c r="S33" i="1"/>
  <c r="S32" i="1"/>
  <c r="S30" i="1"/>
  <c r="S28" i="1"/>
  <c r="S25" i="1"/>
  <c r="S17" i="1"/>
  <c r="V102" i="1" l="1"/>
  <c r="Q102" i="1"/>
  <c r="R102" i="1" s="1"/>
  <c r="V100" i="1"/>
  <c r="Q100" i="1"/>
  <c r="R100" i="1" s="1"/>
  <c r="V99" i="1"/>
  <c r="Q99" i="1"/>
  <c r="R99" i="1" s="1"/>
  <c r="V98" i="1"/>
  <c r="Q98" i="1"/>
  <c r="R98" i="1" s="1"/>
  <c r="V97" i="1"/>
  <c r="Q97" i="1"/>
  <c r="R97" i="1" s="1"/>
  <c r="V55" i="1"/>
  <c r="Q55" i="1"/>
  <c r="R55" i="1" s="1"/>
  <c r="V41" i="1"/>
  <c r="Q41" i="1"/>
  <c r="R41" i="1" s="1"/>
  <c r="V52" i="1"/>
  <c r="Q52" i="1"/>
  <c r="R52" i="1" s="1"/>
  <c r="V51" i="1"/>
  <c r="Q51" i="1"/>
  <c r="R51" i="1" s="1"/>
  <c r="V50" i="1"/>
  <c r="Q50" i="1"/>
  <c r="R50" i="1" s="1"/>
  <c r="V49" i="1"/>
  <c r="Q49" i="1"/>
  <c r="R49" i="1" s="1"/>
  <c r="V48" i="1"/>
  <c r="Q48" i="1"/>
  <c r="R48" i="1" s="1"/>
  <c r="V47" i="1"/>
  <c r="Q47" i="1"/>
  <c r="R47" i="1" s="1"/>
  <c r="V44" i="1"/>
  <c r="Q44" i="1"/>
  <c r="R44" i="1" s="1"/>
  <c r="V43" i="1"/>
  <c r="Q43" i="1"/>
  <c r="R43" i="1" s="1"/>
  <c r="V39" i="1"/>
  <c r="Q39" i="1"/>
  <c r="R39" i="1" s="1"/>
  <c r="V38" i="1"/>
  <c r="Q38" i="1"/>
  <c r="R38" i="1" s="1"/>
  <c r="V37" i="1"/>
  <c r="Q37" i="1"/>
  <c r="R37" i="1" s="1"/>
  <c r="V36" i="1"/>
  <c r="Q36" i="1"/>
  <c r="R36" i="1" s="1"/>
  <c r="V34" i="1"/>
  <c r="Q34" i="1"/>
  <c r="R34" i="1" s="1"/>
  <c r="V33" i="1"/>
  <c r="Q33" i="1"/>
  <c r="R33" i="1" s="1"/>
  <c r="V32" i="1"/>
  <c r="Q32" i="1"/>
  <c r="R32" i="1" s="1"/>
  <c r="V30" i="1"/>
  <c r="Q30" i="1"/>
  <c r="R30" i="1" s="1"/>
  <c r="V28" i="1"/>
  <c r="Q28" i="1"/>
  <c r="R28" i="1" s="1"/>
  <c r="V25" i="1"/>
  <c r="Q25" i="1"/>
  <c r="R25" i="1" s="1"/>
  <c r="V22" i="1"/>
  <c r="V17" i="1"/>
  <c r="Q17" i="1"/>
  <c r="R17" i="1" s="1"/>
  <c r="V15" i="1"/>
  <c r="V13" i="1"/>
  <c r="V10" i="1"/>
  <c r="V9" i="1"/>
  <c r="E68" i="1" l="1"/>
  <c r="E67" i="1"/>
  <c r="E66" i="1"/>
  <c r="D68" i="1"/>
  <c r="O68" i="1" s="1"/>
  <c r="D67" i="1"/>
  <c r="O67" i="1" s="1"/>
  <c r="D66" i="1"/>
  <c r="O66" i="1" s="1"/>
  <c r="P41" i="1"/>
  <c r="P38" i="1"/>
  <c r="C38" i="1"/>
  <c r="B38" i="1"/>
  <c r="I38" i="1" l="1"/>
  <c r="Q66" i="1"/>
  <c r="R66" i="1" s="1"/>
  <c r="P66" i="1"/>
  <c r="Q67" i="1"/>
  <c r="R67" i="1" s="1"/>
  <c r="P67" i="1"/>
  <c r="Q57" i="1"/>
  <c r="P57" i="1"/>
  <c r="Q68" i="1"/>
  <c r="R68" i="1" s="1"/>
  <c r="P68" i="1"/>
  <c r="Q58" i="1"/>
  <c r="P58" i="1"/>
  <c r="P61" i="1"/>
  <c r="Q61" i="1"/>
  <c r="S67" i="1" l="1"/>
  <c r="R61" i="1"/>
  <c r="S61" i="1"/>
  <c r="R57" i="1"/>
  <c r="S57" i="1"/>
  <c r="S68" i="1"/>
  <c r="R58" i="1"/>
  <c r="S58" i="1"/>
  <c r="S66" i="1"/>
  <c r="A11" i="5"/>
  <c r="C17" i="1"/>
  <c r="B17" i="1"/>
  <c r="C31" i="1" l="1"/>
  <c r="B31" i="1"/>
  <c r="C15" i="1"/>
  <c r="C21" i="1"/>
  <c r="B21" i="1"/>
  <c r="B15" i="1"/>
  <c r="C8" i="1"/>
  <c r="B8" i="1"/>
  <c r="C11" i="1"/>
  <c r="B11" i="1"/>
  <c r="B95" i="1"/>
  <c r="C12" i="1"/>
  <c r="B12" i="1"/>
  <c r="C95" i="1"/>
  <c r="C5" i="1"/>
  <c r="B5" i="1"/>
  <c r="B19" i="1"/>
  <c r="C6" i="1"/>
  <c r="B6" i="1"/>
  <c r="C19" i="1"/>
  <c r="C24" i="1"/>
  <c r="B24" i="1"/>
  <c r="C45" i="1"/>
  <c r="B45" i="1"/>
  <c r="C40" i="1"/>
  <c r="B40" i="1"/>
  <c r="C35" i="1"/>
  <c r="B35" i="1"/>
  <c r="B42" i="1"/>
  <c r="C42" i="1"/>
  <c r="B20" i="1"/>
  <c r="C20" i="1"/>
  <c r="C54" i="1"/>
  <c r="B54" i="1"/>
  <c r="C29" i="1"/>
  <c r="B29" i="1"/>
  <c r="C102" i="1"/>
  <c r="B46" i="1"/>
  <c r="C46" i="1"/>
  <c r="B33" i="1"/>
  <c r="C34" i="1"/>
  <c r="B36" i="1"/>
  <c r="C30" i="1"/>
  <c r="C52" i="1"/>
  <c r="B10" i="1"/>
  <c r="C37" i="1"/>
  <c r="C13" i="1"/>
  <c r="C48" i="1"/>
  <c r="C43" i="1"/>
  <c r="C51" i="1"/>
  <c r="B28" i="1"/>
  <c r="C96" i="1"/>
  <c r="B32" i="1"/>
  <c r="B39" i="1"/>
  <c r="B44" i="1"/>
  <c r="B49" i="1"/>
  <c r="B55" i="1"/>
  <c r="B97" i="1"/>
  <c r="C10" i="1"/>
  <c r="B13" i="1"/>
  <c r="C32" i="1"/>
  <c r="C39" i="1"/>
  <c r="C44" i="1"/>
  <c r="C49" i="1"/>
  <c r="C55" i="1"/>
  <c r="C97" i="1"/>
  <c r="B47" i="1"/>
  <c r="B50" i="1"/>
  <c r="B98" i="1"/>
  <c r="B9" i="1"/>
  <c r="B22" i="1"/>
  <c r="C28" i="1"/>
  <c r="C33" i="1"/>
  <c r="C36" i="1"/>
  <c r="C47" i="1"/>
  <c r="C50" i="1"/>
  <c r="B100" i="1"/>
  <c r="C9" i="1"/>
  <c r="C22" i="1"/>
  <c r="B30" i="1"/>
  <c r="B34" i="1"/>
  <c r="B37" i="1"/>
  <c r="B43" i="1"/>
  <c r="B48" i="1"/>
  <c r="B51" i="1"/>
  <c r="B52" i="1"/>
  <c r="B96" i="1"/>
  <c r="C100" i="1"/>
  <c r="C98" i="1"/>
  <c r="B99" i="1"/>
  <c r="B25" i="1"/>
  <c r="C25" i="1"/>
  <c r="B41" i="1"/>
  <c r="C41" i="1"/>
  <c r="B102" i="1"/>
  <c r="C99" i="1"/>
  <c r="I15" i="1" l="1"/>
  <c r="I17" i="1"/>
  <c r="O17" i="1"/>
  <c r="I41" i="1"/>
  <c r="I28" i="1"/>
  <c r="I22" i="1"/>
  <c r="I10" i="1"/>
  <c r="I9" i="1"/>
  <c r="I99" i="1"/>
  <c r="I98" i="1"/>
  <c r="I50" i="1"/>
  <c r="I36" i="1"/>
  <c r="I100" i="1"/>
  <c r="I39" i="1"/>
  <c r="I96" i="1"/>
  <c r="I48" i="1"/>
  <c r="I34" i="1"/>
  <c r="I95" i="1"/>
  <c r="I47" i="1"/>
  <c r="I33" i="1"/>
  <c r="I97" i="1"/>
  <c r="I49" i="1"/>
  <c r="I52" i="1"/>
  <c r="I43" i="1"/>
  <c r="I102" i="1"/>
  <c r="I30" i="1"/>
  <c r="I55" i="1"/>
  <c r="I44" i="1"/>
  <c r="I32" i="1"/>
  <c r="I51" i="1"/>
  <c r="I37" i="1"/>
  <c r="I13" i="1" l="1"/>
  <c r="O25" i="1"/>
  <c r="P25" i="1" s="1"/>
  <c r="I25" i="1"/>
  <c r="O107" i="1"/>
  <c r="P107" i="1" s="1"/>
  <c r="O105" i="1"/>
  <c r="P105" i="1" s="1"/>
  <c r="O106" i="1"/>
  <c r="P106" i="1" s="1"/>
  <c r="O93" i="1"/>
  <c r="P93" i="1" s="1"/>
  <c r="O92" i="1"/>
  <c r="P92" i="1" s="1"/>
  <c r="O89" i="1"/>
  <c r="P89" i="1" s="1"/>
  <c r="O88" i="1"/>
  <c r="P88" i="1" s="1"/>
  <c r="O87" i="1"/>
  <c r="P87" i="1" s="1"/>
  <c r="O86" i="1"/>
  <c r="P86" i="1" s="1"/>
  <c r="O84" i="1"/>
  <c r="P84" i="1" s="1"/>
  <c r="O81" i="1"/>
  <c r="P81" i="1" s="1"/>
  <c r="O80" i="1"/>
  <c r="P80" i="1" l="1"/>
  <c r="P17" i="1" l="1"/>
  <c r="P96" i="1"/>
  <c r="P99" i="1"/>
  <c r="P95" i="1"/>
  <c r="P47" i="1"/>
  <c r="P50" i="1" l="1"/>
  <c r="P97" i="1"/>
  <c r="P98" i="1"/>
  <c r="P36" i="1"/>
  <c r="P33" i="1"/>
  <c r="O55" i="1"/>
  <c r="P34" i="1"/>
  <c r="P43" i="1"/>
  <c r="P39" i="1"/>
  <c r="P44" i="1"/>
  <c r="P100" i="1"/>
  <c r="P28" i="1"/>
  <c r="P52" i="1"/>
  <c r="P48" i="1"/>
  <c r="P32" i="1"/>
  <c r="P37" i="1"/>
  <c r="P51" i="1"/>
  <c r="P30" i="1"/>
  <c r="P49" i="1"/>
  <c r="P55" i="1" l="1"/>
  <c r="O113" i="1"/>
  <c r="P102" i="1"/>
  <c r="T21" i="1" l="1"/>
  <c r="Z21" i="1" s="1"/>
  <c r="T19" i="1"/>
  <c r="Z19" i="1" s="1"/>
  <c r="T20" i="1"/>
  <c r="T22" i="1"/>
  <c r="T14" i="1"/>
  <c r="T15" i="1"/>
  <c r="T10" i="1"/>
  <c r="T11" i="1"/>
  <c r="T12" i="1"/>
  <c r="Z12" i="1" s="1"/>
  <c r="T13" i="1"/>
  <c r="T31" i="1"/>
  <c r="T8" i="1"/>
  <c r="Z8" i="1" s="1"/>
  <c r="T63" i="1"/>
  <c r="T62" i="1"/>
  <c r="T64" i="1"/>
  <c r="T85" i="1"/>
  <c r="AA85" i="1" s="1"/>
  <c r="T83" i="1"/>
  <c r="T60" i="1"/>
  <c r="Z60" i="1" s="1"/>
  <c r="T82" i="1"/>
  <c r="T5" i="1"/>
  <c r="AA5" i="1" s="1"/>
  <c r="T59" i="1"/>
  <c r="T6" i="1"/>
  <c r="C22" i="11"/>
  <c r="T24" i="1"/>
  <c r="C16" i="11"/>
  <c r="C14" i="11"/>
  <c r="C12" i="11"/>
  <c r="C20" i="11" s="1"/>
  <c r="C8" i="11"/>
  <c r="C6" i="11"/>
  <c r="C4" i="11"/>
  <c r="C3" i="11"/>
  <c r="C17" i="11"/>
  <c r="C15" i="11"/>
  <c r="C13" i="11"/>
  <c r="C9" i="11"/>
  <c r="C7" i="11"/>
  <c r="C5" i="11"/>
  <c r="T45" i="1"/>
  <c r="Z45" i="1" s="1"/>
  <c r="T65" i="1"/>
  <c r="T35" i="1"/>
  <c r="AA35" i="1" s="1"/>
  <c r="T40" i="1"/>
  <c r="T75" i="1"/>
  <c r="T72" i="1"/>
  <c r="T73" i="1"/>
  <c r="T71" i="1"/>
  <c r="T42" i="1"/>
  <c r="P113" i="1"/>
  <c r="T54" i="1"/>
  <c r="T46" i="1"/>
  <c r="T29" i="1"/>
  <c r="T70" i="1"/>
  <c r="T69" i="1"/>
  <c r="T76" i="1"/>
  <c r="T78" i="1"/>
  <c r="T77" i="1"/>
  <c r="T74" i="1"/>
  <c r="T102" i="1"/>
  <c r="T55" i="1"/>
  <c r="T100" i="1"/>
  <c r="T98" i="1"/>
  <c r="T99" i="1"/>
  <c r="T97" i="1"/>
  <c r="T41" i="1"/>
  <c r="T52" i="1"/>
  <c r="T50" i="1"/>
  <c r="T48" i="1"/>
  <c r="T44" i="1"/>
  <c r="T38" i="1"/>
  <c r="T36" i="1"/>
  <c r="T34" i="1"/>
  <c r="T32" i="1"/>
  <c r="T28" i="1"/>
  <c r="T51" i="1"/>
  <c r="T49" i="1"/>
  <c r="T47" i="1"/>
  <c r="T43" i="1"/>
  <c r="T39" i="1"/>
  <c r="T37" i="1"/>
  <c r="T33" i="1"/>
  <c r="T30" i="1"/>
  <c r="T25" i="1"/>
  <c r="T17" i="1"/>
  <c r="T9" i="1"/>
  <c r="T68" i="1"/>
  <c r="T67" i="1"/>
  <c r="T57" i="1"/>
  <c r="T66" i="1"/>
  <c r="T61" i="1"/>
  <c r="T58" i="1"/>
  <c r="T95" i="1"/>
  <c r="T92" i="1"/>
  <c r="T106" i="1"/>
  <c r="T84" i="1"/>
  <c r="T96" i="1"/>
  <c r="T105" i="1"/>
  <c r="T109" i="1"/>
  <c r="T93" i="1"/>
  <c r="T110" i="1"/>
  <c r="T87" i="1"/>
  <c r="T88" i="1"/>
  <c r="T81" i="1"/>
  <c r="T107" i="1"/>
  <c r="T80" i="1"/>
  <c r="T89" i="1"/>
  <c r="T111" i="1"/>
  <c r="T86" i="1"/>
  <c r="AA21" i="1" l="1"/>
  <c r="Z31" i="1"/>
  <c r="AA31" i="1"/>
  <c r="AA8" i="1"/>
  <c r="Z14" i="1"/>
  <c r="AA14" i="1"/>
  <c r="AA12" i="1"/>
  <c r="Z11" i="1"/>
  <c r="AA11" i="1"/>
  <c r="AA64" i="1"/>
  <c r="Z64" i="1"/>
  <c r="AA62" i="1"/>
  <c r="Z62" i="1"/>
  <c r="Z63" i="1"/>
  <c r="AA63" i="1"/>
  <c r="Z85" i="1"/>
  <c r="Z83" i="1"/>
  <c r="AA83" i="1"/>
  <c r="AA60" i="1"/>
  <c r="AA82" i="1"/>
  <c r="Z82" i="1"/>
  <c r="Z5" i="1"/>
  <c r="AA59" i="1"/>
  <c r="Z59" i="1"/>
  <c r="AA19" i="1"/>
  <c r="Z6" i="1"/>
  <c r="AA6" i="1"/>
  <c r="Z24" i="1"/>
  <c r="AA24" i="1"/>
  <c r="C19" i="11"/>
  <c r="AA45" i="1"/>
  <c r="Z65" i="1"/>
  <c r="AA65" i="1"/>
  <c r="Z35" i="1"/>
  <c r="Z40" i="1"/>
  <c r="AA40" i="1"/>
  <c r="AA111" i="1"/>
  <c r="Z111" i="1"/>
  <c r="AA110" i="1"/>
  <c r="Z110" i="1"/>
  <c r="AA109" i="1"/>
  <c r="Z109" i="1"/>
  <c r="AA105" i="1"/>
  <c r="Z105" i="1"/>
  <c r="AA106" i="1"/>
  <c r="Z106" i="1"/>
  <c r="AA107" i="1"/>
  <c r="Z107" i="1"/>
  <c r="AA102" i="1"/>
  <c r="Z102" i="1"/>
  <c r="AA97" i="1"/>
  <c r="Z97" i="1"/>
  <c r="AA98" i="1"/>
  <c r="Z98" i="1"/>
  <c r="AA96" i="1"/>
  <c r="Z96" i="1"/>
  <c r="AA99" i="1"/>
  <c r="Z99" i="1"/>
  <c r="AA100" i="1"/>
  <c r="Z100" i="1"/>
  <c r="AA95" i="1"/>
  <c r="Z95" i="1"/>
  <c r="AA93" i="1"/>
  <c r="Z93" i="1"/>
  <c r="AA92" i="1"/>
  <c r="Z92" i="1"/>
  <c r="AA86" i="1"/>
  <c r="Z86" i="1"/>
  <c r="AA88" i="1"/>
  <c r="Z88" i="1"/>
  <c r="AA87" i="1"/>
  <c r="Z87" i="1"/>
  <c r="AA84" i="1"/>
  <c r="Z84" i="1"/>
  <c r="AA89" i="1"/>
  <c r="Z89" i="1"/>
  <c r="AA80" i="1"/>
  <c r="Z80" i="1"/>
  <c r="AA81" i="1"/>
  <c r="Z81" i="1"/>
  <c r="AA74" i="1"/>
  <c r="Z74" i="1"/>
  <c r="AA71" i="1"/>
  <c r="Z71" i="1"/>
  <c r="AA78" i="1"/>
  <c r="Z78" i="1"/>
  <c r="AA73" i="1"/>
  <c r="Z73" i="1"/>
  <c r="AA67" i="1"/>
  <c r="Z67" i="1"/>
  <c r="AA76" i="1"/>
  <c r="Z76" i="1"/>
  <c r="AA72" i="1"/>
  <c r="Z72" i="1"/>
  <c r="AA68" i="1"/>
  <c r="Z68" i="1"/>
  <c r="AA69" i="1"/>
  <c r="Z69" i="1"/>
  <c r="AA75" i="1"/>
  <c r="Z75" i="1"/>
  <c r="AA61" i="1"/>
  <c r="Z61" i="1"/>
  <c r="AA66" i="1"/>
  <c r="Z66" i="1"/>
  <c r="AA77" i="1"/>
  <c r="Z77" i="1"/>
  <c r="AA57" i="1"/>
  <c r="Z57" i="1"/>
  <c r="AA58" i="1"/>
  <c r="Z58" i="1"/>
  <c r="AA70" i="1"/>
  <c r="Z70" i="1"/>
  <c r="AA54" i="1"/>
  <c r="Z54" i="1"/>
  <c r="AA55" i="1"/>
  <c r="Z55" i="1"/>
  <c r="AA37" i="1"/>
  <c r="Z37" i="1"/>
  <c r="AA51" i="1"/>
  <c r="Z51" i="1"/>
  <c r="AA44" i="1"/>
  <c r="Z44" i="1"/>
  <c r="AA29" i="1"/>
  <c r="Z29" i="1"/>
  <c r="AA28" i="1"/>
  <c r="Z28" i="1"/>
  <c r="AA48" i="1"/>
  <c r="Z48" i="1"/>
  <c r="AA46" i="1"/>
  <c r="Z46" i="1"/>
  <c r="AA39" i="1"/>
  <c r="Z39" i="1"/>
  <c r="AA32" i="1"/>
  <c r="Z32" i="1"/>
  <c r="AA50" i="1"/>
  <c r="Z50" i="1"/>
  <c r="AA43" i="1"/>
  <c r="Z43" i="1"/>
  <c r="AA34" i="1"/>
  <c r="Z34" i="1"/>
  <c r="AA30" i="1"/>
  <c r="Z30" i="1"/>
  <c r="AA47" i="1"/>
  <c r="Z47" i="1"/>
  <c r="AA36" i="1"/>
  <c r="Z36" i="1"/>
  <c r="AA52" i="1"/>
  <c r="Z52" i="1"/>
  <c r="AA33" i="1"/>
  <c r="Z33" i="1"/>
  <c r="AA49" i="1"/>
  <c r="Z49" i="1"/>
  <c r="AA38" i="1"/>
  <c r="Z38" i="1"/>
  <c r="AA41" i="1"/>
  <c r="Z41" i="1"/>
  <c r="AA42" i="1"/>
  <c r="Z42" i="1"/>
  <c r="AA25" i="1"/>
  <c r="Z25" i="1"/>
  <c r="AA20" i="1"/>
  <c r="Z20" i="1"/>
  <c r="AA22" i="1"/>
  <c r="Z22" i="1"/>
  <c r="AA17" i="1"/>
  <c r="E17" i="11" s="1"/>
  <c r="Z17" i="1"/>
  <c r="D17" i="11" s="1"/>
  <c r="AA15" i="1"/>
  <c r="Z15" i="1"/>
  <c r="AA13" i="1"/>
  <c r="Z13" i="1"/>
  <c r="AA10" i="1"/>
  <c r="Z10" i="1"/>
  <c r="AA9" i="1"/>
  <c r="Z9" i="1"/>
  <c r="R113" i="1"/>
  <c r="D22" i="11" s="1"/>
  <c r="S113" i="1"/>
  <c r="E22" i="11" s="1"/>
  <c r="D3" i="11" l="1"/>
  <c r="D16" i="11"/>
  <c r="D8" i="11"/>
  <c r="D9" i="11"/>
  <c r="E7" i="11"/>
  <c r="E9" i="11"/>
  <c r="E14" i="11"/>
  <c r="E16" i="11"/>
  <c r="E15" i="11"/>
  <c r="D12" i="11"/>
  <c r="D20" i="11" s="1"/>
  <c r="D6" i="11"/>
  <c r="D7" i="11"/>
  <c r="D5" i="11"/>
  <c r="E4" i="11"/>
  <c r="E8" i="11"/>
  <c r="D14" i="11"/>
  <c r="D13" i="11"/>
  <c r="E12" i="11"/>
  <c r="E20" i="11" s="1"/>
  <c r="E5" i="11"/>
  <c r="D4" i="11"/>
  <c r="E6" i="11"/>
  <c r="D15" i="11"/>
  <c r="E13" i="11"/>
  <c r="E3" i="11"/>
  <c r="E19" i="11" l="1"/>
  <c r="D19" i="11"/>
</calcChain>
</file>

<file path=xl/sharedStrings.xml><?xml version="1.0" encoding="utf-8"?>
<sst xmlns="http://schemas.openxmlformats.org/spreadsheetml/2006/main" count="1042" uniqueCount="386">
  <si>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</si>
  <si>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</si>
  <si>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</si>
  <si>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</si>
  <si>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</si>
  <si>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</si>
  <si>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</si>
  <si>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</si>
  <si>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</si>
  <si>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</si>
  <si>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</si>
  <si>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</si>
  <si>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</si>
  <si>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</si>
  <si>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</si>
  <si>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</si>
  <si>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</si>
  <si>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</si>
  <si>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</si>
  <si>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</si>
  <si>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</si>
  <si>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</si>
  <si>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</si>
  <si>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</si>
  <si>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</si>
  <si>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</si>
  <si>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</si>
  <si>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</si>
  <si>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</si>
  <si>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</si>
  <si>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</si>
  <si>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</si>
  <si>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</si>
  <si>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</si>
  <si>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</si>
  <si>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</si>
  <si>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</si>
  <si>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</si>
  <si>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</si>
  <si>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</si>
  <si>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</si>
  <si>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</si>
  <si>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</si>
  <si>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</si>
  <si>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</si>
  <si>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</si>
  <si>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</si>
  <si>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</si>
  <si>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</si>
  <si>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</si>
  <si>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</si>
  <si>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</si>
  <si>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</si>
  <si>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</si>
  <si>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</si>
  <si>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</si>
  <si>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</si>
  <si>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</si>
  <si>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</si>
  <si>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</si>
  <si>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</si>
  <si>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</si>
  <si>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</si>
  <si>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</si>
  <si>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</si>
  <si>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</si>
  <si>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</si>
  <si>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</si>
  <si>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</si>
  <si>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</si>
  <si>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</si>
  <si>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</si>
  <si>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Lombard Renta en Pesos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</si>
  <si>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</si>
  <si>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</si>
  <si>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</si>
  <si>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</si>
  <si>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</si>
  <si>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</si>
  <si>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</si>
  <si>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</si>
  <si>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</si>
  <si>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</si>
  <si>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</si>
  <si>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</si>
  <si>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YPF S.A. - YCA8O</t>
  </si>
  <si>
    <t>Corporate Bonds FRN</t>
  </si>
  <si>
    <t>IMPSA - OMPE10</t>
  </si>
  <si>
    <t>BLAR + 0%</t>
  </si>
  <si>
    <t>Corporate Bonds USD</t>
  </si>
  <si>
    <t>Regulatory Requirement - Item L</t>
  </si>
  <si>
    <t>Provisions</t>
  </si>
  <si>
    <t>Cash</t>
  </si>
  <si>
    <t>Seguros Sura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</si>
  <si>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</si>
  <si>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</si>
  <si>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</si>
  <si>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</si>
  <si>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</si>
  <si>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</si>
  <si>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</si>
  <si>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</si>
  <si>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</si>
  <si>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</si>
  <si>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</si>
  <si>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</si>
  <si>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</si>
  <si>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</si>
  <si>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</si>
  <si>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</si>
  <si>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</si>
  <si>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</si>
  <si>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</si>
  <si>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</si>
  <si>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</si>
  <si>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</si>
  <si>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</si>
  <si>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</si>
  <si>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</si>
  <si>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</si>
  <si>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</si>
  <si>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</si>
  <si>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</si>
  <si>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</si>
  <si>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</si>
  <si>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</si>
  <si>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</si>
  <si>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</si>
  <si>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</si>
  <si>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</si>
  <si>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</si>
  <si>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</si>
  <si>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</si>
  <si>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</si>
  <si>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</si>
  <si>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</si>
  <si>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</si>
  <si>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</si>
  <si>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</si>
  <si>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</si>
  <si>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</si>
  <si>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</si>
  <si>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</si>
  <si>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</si>
  <si>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</si>
  <si>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</si>
  <si>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</si>
  <si>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</si>
  <si>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</si>
  <si>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</si>
  <si>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</si>
  <si>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</si>
  <si>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</si>
  <si>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</si>
  <si>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</si>
  <si>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</si>
  <si>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</si>
  <si>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</si>
  <si>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</si>
  <si>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</si>
  <si>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</si>
  <si>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</si>
  <si>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</si>
  <si>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</si>
  <si>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</si>
  <si>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</si>
  <si>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</si>
  <si>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</si>
  <si>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</si>
  <si>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</si>
  <si>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</si>
  <si>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</si>
  <si>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</si>
  <si>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</si>
  <si>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</si>
  <si>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</si>
  <si>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</si>
  <si>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</si>
  <si>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Timestamp</t>
  </si>
  <si>
    <t>Net Asset Value</t>
  </si>
  <si>
    <t>John Deere Clase 6 - JHC6O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</si>
  <si>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</si>
  <si>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</si>
  <si>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</si>
  <si>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</si>
  <si>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</si>
  <si>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</si>
  <si>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</si>
  <si>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</si>
  <si>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</si>
  <si>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</si>
  <si>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</si>
  <si>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</si>
  <si>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</si>
  <si>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</si>
  <si>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</si>
  <si>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</si>
  <si>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</si>
  <si>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</si>
  <si>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</si>
  <si>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</si>
  <si>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</si>
  <si>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</si>
  <si>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</si>
  <si>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</si>
  <si>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</si>
  <si>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</si>
  <si>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</si>
  <si>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</si>
  <si>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</si>
  <si>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</si>
  <si>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</si>
  <si>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</si>
  <si>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</si>
  <si>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</si>
  <si>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</si>
  <si>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</si>
  <si>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</si>
  <si>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</si>
  <si>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</si>
  <si>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</si>
  <si>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</si>
  <si>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</si>
  <si>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</si>
  <si>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</si>
  <si>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</si>
  <si>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</si>
  <si>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</si>
  <si>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</si>
  <si>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</si>
  <si>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</si>
  <si>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</si>
  <si>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</si>
  <si>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</si>
  <si>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</si>
  <si>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</si>
  <si>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</si>
  <si>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</si>
  <si>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</si>
  <si>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</si>
  <si>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</si>
  <si>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</si>
  <si>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</si>
  <si>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</si>
  <si>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</si>
  <si>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</si>
  <si>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</si>
  <si>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</si>
  <si>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</si>
  <si>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</si>
  <si>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</si>
  <si>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</si>
  <si>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</si>
  <si>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</si>
  <si>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</si>
  <si>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</si>
  <si>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</si>
  <si>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</si>
  <si>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</si>
  <si>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</si>
  <si>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</si>
  <si>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</si>
  <si>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D+5,625%</t>
  </si>
  <si>
    <t>Banco de Galicia y Buenos Aires S.A.</t>
  </si>
  <si>
    <t>BBVA – Banco Francés S.A.</t>
  </si>
  <si>
    <t>Banco Santander Río S.A.</t>
  </si>
  <si>
    <t>SURA</t>
  </si>
  <si>
    <t>Sovereign / Government guaranteed</t>
  </si>
  <si>
    <t>Industry</t>
  </si>
  <si>
    <t>Price MO</t>
  </si>
  <si>
    <t>BCRA Bill - 16/05/2018</t>
  </si>
  <si>
    <t>BCRA Bill - 21/06/2018</t>
  </si>
  <si>
    <t>BCRA Bill - 18/07/2018</t>
  </si>
  <si>
    <t>BCRA Bill - 18/04/2018</t>
  </si>
  <si>
    <t>Banks</t>
  </si>
  <si>
    <t>BANCO HIPOTECARIO NACIONAL XLII - BH49O</t>
  </si>
  <si>
    <t>FCA Compañía Financiera - FTB10</t>
  </si>
  <si>
    <t>Financials (Non-Banks)</t>
  </si>
  <si>
    <t>GPAT Compañía Financiera - GPWBO</t>
  </si>
  <si>
    <t>B+4.17%</t>
  </si>
  <si>
    <t>HSBC Bank Argentina S.A. - HSC7O</t>
  </si>
  <si>
    <t>ICBC Argentina S.A. - NDC7O</t>
  </si>
  <si>
    <t>PSA Finance - PSSRO</t>
  </si>
  <si>
    <t>Rombo Compañía Financiera - RMB35</t>
  </si>
  <si>
    <t>ICBC Argentina S.A.</t>
  </si>
  <si>
    <t>Industrials</t>
  </si>
  <si>
    <t>Pan American Energy VII</t>
  </si>
  <si>
    <t>Pan American Energy VIII</t>
  </si>
  <si>
    <t>ARPSAF560083</t>
  </si>
  <si>
    <t>TM20</t>
  </si>
  <si>
    <t>PSA 2020 TM20+275 - PSSRO.xlsm</t>
  </si>
  <si>
    <t>TM+2,75%</t>
  </si>
  <si>
    <t>TM+4.2%</t>
  </si>
  <si>
    <t>ARBHIP5600W7</t>
  </si>
  <si>
    <t>B+3,60%</t>
  </si>
  <si>
    <t>Banco Hipotecario 2020 Badlar + 360.xlsm</t>
  </si>
  <si>
    <t>ICBC UVA  2020.xlsm</t>
  </si>
  <si>
    <t>ARBBOS560053</t>
  </si>
  <si>
    <t>Mutual Fund</t>
  </si>
  <si>
    <t>Market Value USD</t>
  </si>
  <si>
    <t>Comentario</t>
  </si>
  <si>
    <t>Argentina Government - A2M2P</t>
  </si>
  <si>
    <t>BOGATO 0320.xlsm</t>
  </si>
  <si>
    <t>ARARGE3205N5</t>
  </si>
  <si>
    <t>Max(21%;C+4%)</t>
  </si>
  <si>
    <t>C+2.50%</t>
  </si>
  <si>
    <t>HSBC Bank Argentina S.A. - HSC9O</t>
  </si>
  <si>
    <t>TM+2,65%</t>
  </si>
  <si>
    <t>Rating</t>
  </si>
  <si>
    <t>AA(arg) - FIX SCR SA</t>
  </si>
  <si>
    <t>Aaa.ar - Moodys Latin America</t>
  </si>
  <si>
    <t>AAA(arg) perspectiva estable - FIX SCR SA</t>
  </si>
  <si>
    <t>AAA(arg) - FIX SCR SA</t>
  </si>
  <si>
    <t>Aa3.ar - Moodys Latin America</t>
  </si>
  <si>
    <t>AA-(arg) - FIX SCR SA</t>
  </si>
  <si>
    <t>AA+(arg) - FIX SCR SA</t>
  </si>
  <si>
    <t>Default</t>
  </si>
  <si>
    <t>A-bf.ar - Moodys Latin America</t>
  </si>
  <si>
    <t>BBB+f(arg) - FIX SCR SA</t>
  </si>
  <si>
    <t>Banco Supervielle</t>
  </si>
  <si>
    <t>B+ - S&amp;P</t>
  </si>
  <si>
    <t>B2 - Moodys</t>
  </si>
  <si>
    <t>Dur</t>
  </si>
  <si>
    <t>CA</t>
  </si>
  <si>
    <t>Share</t>
  </si>
  <si>
    <t>I18A8</t>
  </si>
  <si>
    <t>I16Y8</t>
  </si>
  <si>
    <t>I21J8</t>
  </si>
  <si>
    <t>I18L8</t>
  </si>
  <si>
    <t>Schroder Infraestructura - Clase B</t>
  </si>
  <si>
    <t>BANCO DE GALICIA SA - BY52O</t>
  </si>
  <si>
    <t>ARGALI5602U0</t>
  </si>
  <si>
    <t>ARROBE560069</t>
  </si>
  <si>
    <t>GPAT Compañía Financiera - GPYAO</t>
  </si>
  <si>
    <t>ARGPAT5600J5</t>
  </si>
  <si>
    <t>Tarjeta Naranja - T402O</t>
  </si>
  <si>
    <t>ARTANA5600J3</t>
  </si>
  <si>
    <t>B+3,69%</t>
  </si>
  <si>
    <t>Asset Class</t>
  </si>
  <si>
    <t>Variable</t>
  </si>
  <si>
    <t>Argentina Government - AA21D</t>
  </si>
  <si>
    <t>Argentina Government - AF19</t>
  </si>
  <si>
    <t>Argentina Government - LTPO8</t>
  </si>
  <si>
    <t>IMPSA - DMC2O</t>
  </si>
  <si>
    <t>IMPSA - DMC4O</t>
  </si>
  <si>
    <t>US040114GW47</t>
  </si>
  <si>
    <t>ARARGE3205M7</t>
  </si>
  <si>
    <t>ARARGE5205S2</t>
  </si>
  <si>
    <t>Discount</t>
  </si>
  <si>
    <t>Max(21%;C+3,75%)</t>
  </si>
  <si>
    <t>D+6,875%</t>
  </si>
  <si>
    <t>xxx</t>
  </si>
  <si>
    <t>bbb</t>
  </si>
  <si>
    <t>Argentina Government - L2PS8</t>
  </si>
  <si>
    <t>ARARGE5205R4</t>
  </si>
  <si>
    <t>BOGATO 0219.xlsm</t>
  </si>
  <si>
    <t>Argentina 2021 6,875% USD.xlsm</t>
  </si>
  <si>
    <t>HSBC 2021 TM20+265 - Clase 9.xlsm</t>
  </si>
  <si>
    <t>Banco Galicia 2020 25.98% - Clase V.xlsm</t>
  </si>
  <si>
    <t>GPAT Serie 32 Clase A 2019.xlsm</t>
  </si>
  <si>
    <t>Tarjeta Naranja 2020 Badlar + 369 - Clase 40 Serie II.xlsm</t>
  </si>
  <si>
    <t>IMPSA DISCOUNT USD link 2025 sinking.xlsm</t>
  </si>
  <si>
    <t>IMPSA 2025 BADLAR +350 Clase IV.xlsm</t>
  </si>
  <si>
    <t>Rombo Compañía Financiera - RB35O</t>
  </si>
  <si>
    <t>SUPERFONDO EQUILIBRADO CLASE B</t>
  </si>
  <si>
    <t>HF RENTA FIJA ESTRATEGICA - CLASE C</t>
  </si>
  <si>
    <t>Alpha Pesos - Clase A</t>
  </si>
  <si>
    <t>7,50%-9,50%</t>
  </si>
  <si>
    <t>Banco Itaú Argentina S.A.</t>
  </si>
  <si>
    <t>Arcor S.A.I.C - RCCBO</t>
  </si>
  <si>
    <t>Argentina Government - AA22P-I</t>
  </si>
  <si>
    <t>Argentina Government - AM20P-I</t>
  </si>
  <si>
    <t>Argentina Government - AMX9-I</t>
  </si>
  <si>
    <t>Argentina Government - PR15-I</t>
  </si>
  <si>
    <t>Argentina Government - TC21P-I</t>
  </si>
  <si>
    <t>Banco Santander Río S.A. - BNCMO</t>
  </si>
  <si>
    <t>YPF S.A. - YCA3O</t>
  </si>
  <si>
    <t>ARBRIO5600H0</t>
  </si>
  <si>
    <t>xxxxx</t>
  </si>
  <si>
    <t>B+3,08%</t>
  </si>
  <si>
    <t>Investment</t>
  </si>
  <si>
    <t>Schroder Desarrollo y Crecimiento Clase A</t>
  </si>
  <si>
    <t>Updated at 18:54:03</t>
  </si>
  <si>
    <t>NAV</t>
  </si>
  <si>
    <t>Invalid RIC.</t>
  </si>
  <si>
    <t>corto cupon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</si>
</sst>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_ * #,##0.00_ ;_ * \-#,##0.00_ ;_ * &quot;-&quot;??_ ;_ @_ "/>
    <numFmt numFmtId="165" formatCode="_-* #,##0.00\ _€_-;\-* #,##0.00\ _€_-;_-* &quot;-&quot;??\ _€_-;_-@_-"/>
    <numFmt numFmtId="166" formatCode="#,##0.0000"/>
    <numFmt numFmtId="167" formatCode="#,##0.00_ ;\-#,##0.00\ "/>
    <numFmt numFmtId="168" formatCode="_(* #,##0.00_);_(* \(#,##0.00\);_(* &quot;-&quot;??_);_(@_)"/>
    <numFmt numFmtId="169" formatCode="#,##0_ ;\-#,##0\ "/>
    <numFmt numFmtId="170" formatCode="0.000000"/>
    <numFmt numFmtId="171" formatCode="_-* #,##0\ _€_-;\-* #,##0\ _€_-;_-* &quot;-&quot;??\ _€_-;_-@_-"/>
    <numFmt numFmtId="172" formatCode="0.000"/>
    <numFmt numFmtId="173" formatCode="_(&quot;$&quot;* #,##0.00_);_(&quot;$&quot;* \(#,##0.00\);_(&quot;$&quot;* &quot;-&quot;??_);_(@_)"/>
    <numFmt numFmtId="174" formatCode="dd\ mmmyy"/>
    <numFmt numFmtId="175" formatCode="dd\ mmmyy\ hh:mm"/>
    <numFmt numFmtId="176" formatCode="#.##000"/>
    <numFmt numFmtId="177" formatCode="\$#,#00"/>
    <numFmt numFmtId="178" formatCode="\$#,##0\ ;\(\$#,##0\)"/>
    <numFmt numFmtId="179" formatCode="_ [$€-2]\ * #,##0.00_ ;_ [$€-2]\ * \-#,##0.00_ ;_ [$€-2]\ * &quot;-&quot;??_ "/>
    <numFmt numFmtId="180" formatCode="#,#00"/>
    <numFmt numFmtId="181" formatCode="\$#,"/>
    <numFmt numFmtId="182" formatCode="General_)"/>
    <numFmt numFmtId="183" formatCode="#.##0,"/>
    <numFmt numFmtId="184" formatCode="_-* #,##0.00\ [$€-1]_-;\-* #,##0.00\ [$€-1]_-;_-* &quot;-&quot;??\ [$€-1]_-"/>
    <numFmt numFmtId="185" formatCode="#,##0.00000_ ;\-#,##0.00000\ "/>
    <numFmt numFmtId="186" formatCode="&quot;ARS&quot;\ #,##0\ &quot;mm&quot;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22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4" fontId="11" fillId="0" borderId="0" applyFont="0" applyFill="0" applyBorder="0" applyAlignment="0" applyProtection="0"/>
    <xf numFmtId="175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9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80" fontId="22" fillId="0" borderId="0">
      <protection locked="0"/>
    </xf>
    <xf numFmtId="180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7" fontId="22" fillId="0" borderId="0">
      <protection locked="0"/>
    </xf>
    <xf numFmtId="181" fontId="22" fillId="0" borderId="0">
      <protection locked="0"/>
    </xf>
    <xf numFmtId="182" fontId="25" fillId="0" borderId="2">
      <alignment vertical="center"/>
    </xf>
    <xf numFmtId="9" fontId="10" fillId="0" borderId="0" applyFont="0" applyFill="0" applyBorder="0" applyAlignment="0" applyProtection="0"/>
    <xf numFmtId="176" fontId="22" fillId="0" borderId="0">
      <protection locked="0"/>
    </xf>
    <xf numFmtId="183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3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3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8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8" fontId="1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8" fontId="1" fillId="0" borderId="0" applyFont="0" applyFill="0" applyBorder="0" applyAlignment="0" applyProtection="0"/>
    <xf numFmtId="0" fontId="41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2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84" fontId="10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47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49" fillId="0" borderId="15" applyNumberFormat="0" applyFill="0" applyAlignment="0" applyProtection="0"/>
    <xf numFmtId="0" fontId="37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4" fillId="17" borderId="7" applyNumberFormat="0" applyAlignment="0" applyProtection="0"/>
    <xf numFmtId="0" fontId="13" fillId="10" borderId="6">
      <protection locked="0"/>
    </xf>
    <xf numFmtId="0" fontId="43" fillId="0" borderId="12" applyNumberFormat="0" applyFill="0" applyAlignment="0" applyProtection="0"/>
    <xf numFmtId="0" fontId="38" fillId="0" borderId="10" applyNumberFormat="0" applyFill="0" applyAlignment="0" applyProtection="0"/>
    <xf numFmtId="164" fontId="41" fillId="0" borderId="0" applyFont="0" applyFill="0" applyBorder="0" applyAlignment="0" applyProtection="0"/>
    <xf numFmtId="164" fontId="10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45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6" fillId="0" borderId="16" applyNumberFormat="0" applyFill="0" applyAlignment="0" applyProtection="0"/>
    <xf numFmtId="0" fontId="44" fillId="17" borderId="7" applyNumberFormat="0" applyAlignment="0" applyProtection="0"/>
    <xf numFmtId="39" fontId="13" fillId="10" borderId="17">
      <protection locked="0"/>
    </xf>
    <xf numFmtId="0" fontId="13" fillId="10" borderId="19">
      <protection locked="0"/>
    </xf>
    <xf numFmtId="0" fontId="16" fillId="9" borderId="18">
      <alignment horizontal="left"/>
    </xf>
    <xf numFmtId="0" fontId="39" fillId="28" borderId="17" applyNumberFormat="0" applyAlignment="0" applyProtection="0"/>
    <xf numFmtId="0" fontId="10" fillId="16" borderId="21" applyNumberFormat="0" applyFont="0" applyAlignment="0" applyProtection="0"/>
    <xf numFmtId="0" fontId="31" fillId="28" borderId="20" applyNumberFormat="0" applyAlignment="0" applyProtection="0"/>
  </cellStyleXfs>
  <cellXfs count="150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8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8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8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5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70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1" fontId="0" fillId="0" borderId="0" xfId="1" applyNumberFormat="1" applyFont="1"/>
    <xf numFmtId="171" fontId="0" fillId="6" borderId="0" xfId="1" applyNumberFormat="1" applyFont="1" applyFill="1"/>
    <xf numFmtId="171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41" fillId="0" borderId="0" xfId="127" applyNumberFormat="1"/>
    <xf numFmtId="10" fontId="7" fillId="0" borderId="0" xfId="0" applyNumberFormat="1" applyFont="1"/>
    <xf numFmtId="0" fontId="41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1" fillId="0" borderId="0" xfId="127" applyAlignment="1">
      <alignment horizontal="center"/>
    </xf>
    <xf numFmtId="172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2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  <xf numFmtId="0" fontId="0" fillId="0" borderId="0" xfId="0"/>
    <xf numFmtId="10" fontId="0" fillId="3" borderId="0" xfId="2" applyNumberFormat="1" applyFont="1" applyFill="1"/>
    <xf numFmtId="10" fontId="0" fillId="0" borderId="0" xfId="0" applyNumberFormat="1" applyFont="1" applyFill="1"/>
    <xf numFmtId="172" fontId="0" fillId="3" borderId="0" xfId="0" applyNumberFormat="1" applyFont="1" applyFill="1" applyAlignment="1">
      <alignment horizontal="right"/>
    </xf>
    <xf numFmtId="185" fontId="0" fillId="3" borderId="0" xfId="0" applyNumberFormat="1" applyFont="1" applyFill="1"/>
    <xf numFmtId="0" fontId="0" fillId="3" borderId="0" xfId="0" applyFont="1" applyFill="1" applyAlignment="1">
      <alignment horizontal="left"/>
    </xf>
    <xf numFmtId="0" fontId="10" fillId="0" borderId="0" xfId="127" applyFont="1"/>
    <xf numFmtId="10" fontId="0" fillId="3" borderId="0" xfId="2" applyNumberFormat="1" applyFont="1" applyFill="1" applyAlignment="1">
      <alignment horizontal="right"/>
    </xf>
    <xf numFmtId="0" fontId="3" fillId="3" borderId="0" xfId="0" applyFont="1" applyFill="1"/>
    <xf numFmtId="0" fontId="3" fillId="3" borderId="2" xfId="0" applyFont="1" applyFill="1" applyBorder="1"/>
    <xf numFmtId="0" fontId="3" fillId="3" borderId="2" xfId="0" applyFont="1" applyFill="1" applyBorder="1" applyAlignment="1">
      <alignment horizontal="right"/>
    </xf>
    <xf numFmtId="10" fontId="3" fillId="3" borderId="0" xfId="0" applyNumberFormat="1" applyFont="1" applyFill="1"/>
    <xf numFmtId="4" fontId="3" fillId="3" borderId="0" xfId="0" applyNumberFormat="1" applyFont="1" applyFill="1"/>
    <xf numFmtId="0" fontId="3" fillId="3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186" fontId="3" fillId="3" borderId="0" xfId="0" applyNumberFormat="1" applyFont="1" applyFill="1"/>
    <xf numFmtId="3" fontId="0" fillId="6" borderId="0" xfId="3" applyNumberFormat="1" applyFont="1" applyFill="1" applyAlignment="1">
      <alignment horizontal="center"/>
    </xf>
    <xf numFmtId="10" fontId="1" fillId="3" borderId="0" xfId="2" applyNumberFormat="1" applyFont="1" applyFill="1" applyAlignment="1">
      <alignment horizontal="center"/>
    </xf>
    <xf numFmtId="10" fontId="1" fillId="3" borderId="0" xfId="3" applyNumberFormat="1" applyFont="1" applyFill="1" applyAlignment="1">
      <alignment horizontal="center"/>
    </xf>
    <xf numFmtId="4" fontId="1" fillId="3" borderId="0" xfId="2" applyNumberFormat="1" applyFont="1" applyFill="1" applyAlignment="1">
      <alignment horizontal="center"/>
    </xf>
    <xf numFmtId="10" fontId="0" fillId="3" borderId="0" xfId="3" applyNumberFormat="1" applyFont="1" applyFill="1" applyAlignment="1">
      <alignment horizontal="center"/>
    </xf>
    <xf numFmtId="0" fontId="0" fillId="0" borderId="0" xfId="0"/>
    <xf numFmtId="9" fontId="0" fillId="5" borderId="0" xfId="2" applyFont="1" applyFill="1"/>
    <xf numFmtId="4" fontId="2" fillId="2" borderId="0" xfId="2" applyNumberFormat="1" applyFont="1" applyFill="1" applyBorder="1" applyAlignment="1">
      <alignment horizontal="center" vertical="center" wrapText="1"/>
    </xf>
  </cellXfs>
  <cellStyles count="222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lculation 4" xfId="221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a 2 2" xfId="218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2 2" xfId="21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2 2" xfId="216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Note 2" xfId="220"/>
    <cellStyle name="Output" xfId="122"/>
    <cellStyle name="Output 2" xfId="207"/>
    <cellStyle name="Output 3" xfId="206"/>
    <cellStyle name="Output 4" xfId="219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E24"/>
  <sheetViews>
    <sheetView workbookViewId="0"/>
  </sheetViews>
  <sheetFormatPr baseColWidth="10" defaultRowHeight="15"/>
  <cols>
    <col min="1" max="1" width="13.28515625" style="138" customWidth="1"/>
    <col min="2" max="5" width="13.28515625" customWidth="1"/>
  </cols>
  <sheetData>
    <row r="1" spans="1:5">
      <c r="A1" s="139"/>
      <c r="B1" s="140"/>
      <c r="C1" s="140"/>
      <c r="D1" s="140"/>
      <c r="E1" s="140"/>
    </row>
    <row r="2" spans="1:5">
      <c r="A2" s="136" t="s">
        <v>338</v>
      </c>
      <c r="B2" s="132"/>
      <c r="C2" s="133" t="s">
        <v>324</v>
      </c>
      <c r="D2" s="133" t="s">
        <v>7</v>
      </c>
      <c r="E2" s="133" t="s">
        <v>322</v>
      </c>
    </row>
    <row r="3" spans="1:5">
      <c r="A3" s="128" t="s">
        <v>267</v>
      </c>
      <c r="B3" s="87"/>
      <c r="C3" s="124">
        <f ca="1">SUMIF(Valuacion!G:G,A3,Valuacion!O:O)/Valuacion!$O$113</f>
        <v>0.47245661081738999</v>
      </c>
      <c r="D3" s="130">
        <f ca="1">SUMIF(Valuacion!G:G,A3,Valuacion!Z:Z)/C3</f>
        <v>0.43231547643818036</v>
      </c>
      <c r="E3" s="126">
        <f ca="1">SUMIF(Valuacion!G:G,A3,Valuacion!AA:AA)/C3</f>
        <v>1.48488501370256</v>
      </c>
    </row>
    <row r="4" spans="1:5">
      <c r="A4" s="128" t="s">
        <v>285</v>
      </c>
      <c r="B4" s="87"/>
      <c r="C4" s="124">
        <f ca="1">SUMIF(Valuacion!G:G,A4,Valuacion!O:O)/Valuacion!$O$113</f>
        <v>5.3963073009806961E-2</v>
      </c>
      <c r="D4" s="130">
        <f ca="1">SUMIF(Valuacion!G:G,A4,Valuacion!Z:Z)/C4</f>
        <v>0.43696113253298141</v>
      </c>
      <c r="E4" s="126">
        <f ca="1">SUMIF(Valuacion!G:G,A4,Valuacion!AA:AA)/C4</f>
        <v>2.9349850510680215</v>
      </c>
    </row>
    <row r="5" spans="1:5">
      <c r="A5" s="128" t="s">
        <v>274</v>
      </c>
      <c r="B5" s="87"/>
      <c r="C5" s="124">
        <f ca="1">SUMIF(Valuacion!G:G,A5,Valuacion!O:O)/Valuacion!$O$113</f>
        <v>9.0789438534965947E-2</v>
      </c>
      <c r="D5" s="130">
        <f ca="1">SUMIF(Valuacion!G:G,A5,Valuacion!Z:Z)/C5</f>
        <v>0.51232869402634473</v>
      </c>
      <c r="E5" s="126">
        <f ca="1">SUMIF(Valuacion!G:G,A5,Valuacion!AA:AA)/C5</f>
        <v>1.1848779094092605</v>
      </c>
    </row>
    <row r="6" spans="1:5">
      <c r="A6" s="128" t="s">
        <v>277</v>
      </c>
      <c r="B6" s="87"/>
      <c r="C6" s="124">
        <f ca="1">SUMIF(Valuacion!G:G,A6,Valuacion!O:O)/Valuacion!$O$113</f>
        <v>6.8957448386290143E-2</v>
      </c>
      <c r="D6" s="130">
        <f ca="1">SUMIF(Valuacion!G:G,A6,Valuacion!Z:Z)/C6</f>
        <v>0.51255694253106043</v>
      </c>
      <c r="E6" s="126">
        <f ca="1">SUMIF(Valuacion!G:G,A6,Valuacion!AA:AA)/C6</f>
        <v>1.1658250505034322</v>
      </c>
    </row>
    <row r="7" spans="1:5">
      <c r="A7" s="128" t="s">
        <v>298</v>
      </c>
      <c r="B7" s="87"/>
      <c r="C7" s="124">
        <f ca="1">SUMIF(Valuacion!G:G,A7,Valuacion!O:O)/Valuacion!$O$113</f>
        <v>0.10990743338662247</v>
      </c>
      <c r="D7" s="130">
        <f ca="1">SUMIF(Valuacion!G:G,A7,Valuacion!Z:Z)/C7</f>
        <v>0</v>
      </c>
      <c r="E7" s="126">
        <f ca="1">SUMIF(Valuacion!G:G,A7,Valuacion!AA:AA)/C7</f>
        <v>0</v>
      </c>
    </row>
    <row r="8" spans="1:5">
      <c r="A8" s="128" t="s">
        <v>77</v>
      </c>
      <c r="B8" s="87"/>
      <c r="C8" s="124">
        <f ca="1">SUMIF(Valuacion!G:G,A8,Valuacion!O:O)/Valuacion!$O$113</f>
        <v>0.18716157920671977</v>
      </c>
      <c r="D8" s="130">
        <f ca="1">SUMIF(Valuacion!G:G,A8,Valuacion!Z:Z)/C8</f>
        <v>0.30410659322194455</v>
      </c>
      <c r="E8" s="126">
        <f ca="1">SUMIF(Valuacion!G:G,A8,Valuacion!AA:AA)/C8</f>
        <v>0.20416754429068198</v>
      </c>
    </row>
    <row r="9" spans="1:5">
      <c r="A9" s="128" t="s">
        <v>92</v>
      </c>
      <c r="B9" s="87"/>
      <c r="C9" s="124">
        <f ca="1">SUMIF(Valuacion!G:G,A9,Valuacion!O:O)/Valuacion!$O$113</f>
        <v>2.0848912721751049E-2</v>
      </c>
      <c r="D9" s="130">
        <f ca="1">SUMIF(Valuacion!G:G,A9,Valuacion!Z:Z)/C9</f>
        <v>0</v>
      </c>
      <c r="E9" s="126">
        <f ca="1">SUMIF(Valuacion!G:G,A9,Valuacion!AA:AA)/C9</f>
        <v>0</v>
      </c>
    </row>
    <row r="10" spans="1:5" s="123" customFormat="1">
      <c r="A10" s="128"/>
      <c r="B10" s="87"/>
      <c r="C10" s="124"/>
      <c r="D10" s="130"/>
      <c r="E10" s="126"/>
    </row>
    <row r="11" spans="1:5">
      <c r="A11" s="136" t="s">
        <v>339</v>
      </c>
      <c r="B11" s="132"/>
      <c r="C11" s="133" t="s">
        <v>324</v>
      </c>
      <c r="D11" s="133" t="s">
        <v>7</v>
      </c>
      <c r="E11" s="133" t="s">
        <v>322</v>
      </c>
    </row>
    <row r="12" spans="1:5">
      <c r="A12" s="128" t="s">
        <v>36</v>
      </c>
      <c r="B12" s="87"/>
      <c r="C12" s="124">
        <f ca="1">SUMIF(Valuacion!$F$1:$F$114,A12,Valuacion!$O$1:$O$114)/Valuacion!$O$113</f>
        <v>8.7286749134474192E-2</v>
      </c>
      <c r="D12" s="130">
        <f ca="1">SUMIF(Valuacion!$F$1:$F$114,A12,Valuacion!$Z$1:$Z$114)/C12</f>
        <v>0.32181120935312485</v>
      </c>
      <c r="E12" s="126">
        <f ca="1">SUMIF(Valuacion!$F$1:$F$114,A12,Valuacion!$AA$1:$AA$114)/C12</f>
        <v>2.5935225233688959</v>
      </c>
    </row>
    <row r="13" spans="1:5">
      <c r="A13" s="128" t="s">
        <v>78</v>
      </c>
      <c r="B13" s="87"/>
      <c r="C13" s="124">
        <f ca="1">SUMIF(Valuacion!$F$1:$F$114,A13,Valuacion!$O$1:$O$114)/Valuacion!$O$113</f>
        <v>0.28409602152543206</v>
      </c>
      <c r="D13" s="130">
        <f ca="1">SUMIF(Valuacion!$F$1:$F$114,A13,Valuacion!$Z$1:$Z$114)/C13</f>
        <v>0.24876896067043294</v>
      </c>
      <c r="E13" s="126">
        <f ca="1">SUMIF(Valuacion!$F$1:$F$114,A13,Valuacion!$AA$1:$AA$114)/C13</f>
        <v>0.19257696817604572</v>
      </c>
    </row>
    <row r="14" spans="1:5">
      <c r="A14" s="128" t="s">
        <v>13</v>
      </c>
      <c r="B14" s="87"/>
      <c r="C14" s="124">
        <f ca="1">SUMIF(Valuacion!$F$1:$F$114,A14,Valuacion!$O$1:$O$114)/Valuacion!$O$113</f>
        <v>0.36811087672610537</v>
      </c>
      <c r="D14" s="130">
        <f ca="1">SUMIF(Valuacion!$F$1:$F$114,A14,Valuacion!$Z$1:$Z$114)/C14</f>
        <v>0.40595355509559578</v>
      </c>
      <c r="E14" s="126">
        <f ca="1">SUMIF(Valuacion!$F$1:$F$114,A14,Valuacion!$AA$1:$AA$114)/C14</f>
        <v>1.0679528991812373</v>
      </c>
    </row>
    <row r="15" spans="1:5">
      <c r="A15" s="128" t="s">
        <v>289</v>
      </c>
      <c r="B15" s="87"/>
      <c r="C15" s="124">
        <f ca="1">SUMIF(Valuacion!$F$1:$F$114,A15,Valuacion!$O$1:$O$114)/Valuacion!$O$113</f>
        <v>3.3418753618825486E-2</v>
      </c>
      <c r="D15" s="130">
        <f ca="1">SUMIF(Valuacion!$F$1:$F$114,A15,Valuacion!$Z$1:$Z$114)/C15</f>
        <v>0.46750729049470319</v>
      </c>
      <c r="E15" s="126">
        <f ca="1">SUMIF(Valuacion!$F$1:$F$114,A15,Valuacion!$AA$1:$AA$114)/C15</f>
        <v>1.3842816058650036</v>
      </c>
    </row>
    <row r="16" spans="1:5">
      <c r="A16" s="128" t="s">
        <v>33</v>
      </c>
      <c r="B16" s="87"/>
      <c r="C16" s="124">
        <f ca="1">SUMIF(Valuacion!$F$1:$F$114,A16,Valuacion!$O$1:$O$114)/Valuacion!$O$113</f>
        <v>0.13648863913129988</v>
      </c>
      <c r="D16" s="130">
        <f ca="1">SUMIF(Valuacion!$F$1:$F$114,A16,Valuacion!$Z$1:$Z$114)/C16</f>
        <v>0.38400743026900086</v>
      </c>
      <c r="E16" s="126">
        <f ca="1">SUMIF(Valuacion!$F$1:$F$114,A16,Valuacion!$AA$1:$AA$114)/C16</f>
        <v>2.0014633026055715</v>
      </c>
    </row>
    <row r="17" spans="1:5">
      <c r="A17" s="128" t="s">
        <v>28</v>
      </c>
      <c r="B17" s="87"/>
      <c r="C17" s="124">
        <f ca="1">SUMIF(Valuacion!$F$1:$F$114,A17,Valuacion!$O$1:$O$114)/Valuacion!$O$113</f>
        <v>9.4683455927409427E-2</v>
      </c>
      <c r="D17" s="130">
        <f ca="1">SUMIF(Valuacion!$F$1:$F$114,A17,Valuacion!$Z$1:$Z$114)/C17</f>
        <v>0.53197874449158888</v>
      </c>
      <c r="E17" s="126">
        <f ca="1">SUMIF(Valuacion!$F$1:$F$114,A17,Valuacion!$AA$1:$AA$114)/C17</f>
        <v>0.97641184350089261</v>
      </c>
    </row>
    <row r="18" spans="1:5" s="123" customFormat="1">
      <c r="A18" s="128"/>
      <c r="B18" s="87"/>
      <c r="C18" s="124"/>
      <c r="D18" s="130"/>
      <c r="E18" s="126"/>
    </row>
    <row r="19" spans="1:5" s="123" customFormat="1">
      <c r="A19" s="128" t="s">
        <v>78</v>
      </c>
      <c r="B19" s="87"/>
      <c r="C19" s="124">
        <f ca="1">+SUM(C13:C17)</f>
        <v>0.91679774692907223</v>
      </c>
      <c r="D19" s="130">
        <f ca="1">+SUMPRODUCT(C13:C17,D13:D17)/C19</f>
        <v>0.36923731624981132</v>
      </c>
      <c r="E19" s="126">
        <f ca="1">+SUMPRODUCT(C13:C17,E13:E17)/C19</f>
        <v>0.93774602688133712</v>
      </c>
    </row>
    <row r="20" spans="1:5" s="123" customFormat="1">
      <c r="A20" s="128" t="s">
        <v>36</v>
      </c>
      <c r="B20" s="87"/>
      <c r="C20" s="124">
        <f ca="1">+C12</f>
        <v>8.7286749134474192E-2</v>
      </c>
      <c r="D20" s="130">
        <f ca="1">+D12</f>
        <v>0.32181120935312485</v>
      </c>
      <c r="E20" s="126">
        <f ca="1">+E12</f>
        <v>2.5935225233688959</v>
      </c>
    </row>
    <row r="21" spans="1:5">
      <c r="A21" s="128"/>
      <c r="B21" s="87"/>
      <c r="C21" s="87"/>
      <c r="D21" s="87"/>
      <c r="E21" s="87"/>
    </row>
    <row r="22" spans="1:5">
      <c r="A22" s="137" t="s">
        <v>19</v>
      </c>
      <c r="B22" s="131"/>
      <c r="C22" s="141">
        <f ca="1">+Valuacion!O113/1000000</f>
        <v>4966.0259587534138</v>
      </c>
      <c r="D22" s="134">
        <f ca="1">+Valuacion!R113</f>
        <v>0.36378940307687874</v>
      </c>
      <c r="E22" s="135">
        <f ca="1">+Valuacion!S113</f>
        <v>1.0859239704026957</v>
      </c>
    </row>
    <row r="23" spans="1:5">
      <c r="A23" s="139"/>
      <c r="B23" s="140"/>
      <c r="C23" s="140"/>
      <c r="D23" s="140"/>
      <c r="E23" s="140"/>
    </row>
    <row r="24" spans="1:5">
      <c r="A24" s="139"/>
      <c r="B24" s="140"/>
      <c r="C24" s="140"/>
      <c r="D24" s="140"/>
      <c r="E24" s="1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B121"/>
  <sheetViews>
    <sheetView tabSelected="1" zoomScale="80" zoomScaleNormal="80" workbookViewId="0">
      <selection activeCell="G10" sqref="G10"/>
    </sheetView>
  </sheetViews>
  <sheetFormatPr baseColWidth="10" defaultColWidth="11.42578125" defaultRowHeight="15" outlineLevelCol="1"/>
  <cols>
    <col min="1" max="1" width="41.5703125" style="6" customWidth="1"/>
    <col min="2" max="2" width="16" style="6" bestFit="1" customWidth="1" outlineLevel="1"/>
    <col min="3" max="3" width="14.140625" style="6" bestFit="1" customWidth="1" outlineLevel="1"/>
    <col min="4" max="4" width="15" style="6" customWidth="1"/>
    <col min="5" max="5" width="12.28515625" style="6" customWidth="1"/>
    <col min="6" max="6" width="11.140625" style="6" customWidth="1"/>
    <col min="7" max="7" width="31.85546875" style="6" customWidth="1"/>
    <col min="8" max="8" width="13.5703125" style="70" bestFit="1" customWidth="1"/>
    <col min="9" max="12" width="15.7109375" style="70" hidden="1" customWidth="1" outlineLevel="1"/>
    <col min="13" max="14" width="15.7109375" style="71" customWidth="1" collapsed="1"/>
    <col min="15" max="15" width="17.42578125" style="6" bestFit="1" customWidth="1"/>
    <col min="16" max="16" width="15.7109375" style="6" customWidth="1"/>
    <col min="17" max="17" width="15.7109375" style="72" customWidth="1"/>
    <col min="18" max="18" width="10.7109375" style="72" customWidth="1"/>
    <col min="19" max="19" width="9.5703125" style="73" customWidth="1"/>
    <col min="20" max="20" width="10.85546875" style="74" customWidth="1"/>
    <col min="21" max="21" width="2.7109375" style="6" customWidth="1"/>
    <col min="22" max="24" width="21.7109375" style="78" customWidth="1"/>
    <col min="25" max="25" width="11.42578125" style="6"/>
    <col min="26" max="27" width="11.42578125" style="6" hidden="1" customWidth="1" outlineLevel="1"/>
    <col min="28" max="28" width="11.42578125" style="6" collapsed="1"/>
    <col min="29" max="16384" width="11.42578125" style="6"/>
  </cols>
  <sheetData>
    <row r="1" spans="1:27">
      <c r="T1" s="75"/>
    </row>
    <row r="2" spans="1:27" ht="30">
      <c r="A2" s="1" t="s">
        <v>0</v>
      </c>
      <c r="B2" s="1" t="s">
        <v>168</v>
      </c>
      <c r="C2" s="1" t="s">
        <v>169</v>
      </c>
      <c r="D2" s="1" t="s">
        <v>1</v>
      </c>
      <c r="E2" s="1" t="s">
        <v>2</v>
      </c>
      <c r="F2" s="1" t="s">
        <v>3</v>
      </c>
      <c r="G2" s="1" t="s">
        <v>268</v>
      </c>
      <c r="H2" s="2" t="s">
        <v>4</v>
      </c>
      <c r="I2" s="2"/>
      <c r="J2" s="2" t="s">
        <v>93</v>
      </c>
      <c r="K2" s="2" t="s">
        <v>94</v>
      </c>
      <c r="L2" s="2" t="s">
        <v>177</v>
      </c>
      <c r="M2" s="3" t="s">
        <v>269</v>
      </c>
      <c r="N2" s="3" t="s">
        <v>5</v>
      </c>
      <c r="O2" s="1" t="s">
        <v>6</v>
      </c>
      <c r="P2" s="1" t="s">
        <v>299</v>
      </c>
      <c r="Q2" s="1" t="s">
        <v>96</v>
      </c>
      <c r="R2" s="1" t="s">
        <v>7</v>
      </c>
      <c r="S2" s="1" t="s">
        <v>8</v>
      </c>
      <c r="T2" s="4" t="s">
        <v>9</v>
      </c>
      <c r="U2" s="5"/>
      <c r="V2" s="79" t="s">
        <v>97</v>
      </c>
      <c r="W2" s="79" t="s">
        <v>300</v>
      </c>
      <c r="X2" s="79" t="s">
        <v>308</v>
      </c>
      <c r="Z2" s="149" t="s">
        <v>323</v>
      </c>
      <c r="AA2" s="149"/>
    </row>
    <row r="3" spans="1:27">
      <c r="A3" s="7" t="s">
        <v>10</v>
      </c>
      <c r="B3" s="8"/>
      <c r="C3" s="8"/>
      <c r="D3" s="8"/>
      <c r="E3" s="8"/>
      <c r="F3" s="8"/>
      <c r="G3" s="8"/>
      <c r="H3" s="9"/>
      <c r="I3" s="9"/>
      <c r="J3" s="9"/>
      <c r="K3" s="9"/>
      <c r="L3" s="9"/>
      <c r="M3" s="10"/>
      <c r="N3" s="10"/>
      <c r="O3" s="8"/>
      <c r="P3" s="8"/>
      <c r="Q3" s="8"/>
      <c r="R3" s="8"/>
      <c r="S3" s="8"/>
      <c r="T3" s="11"/>
      <c r="U3" s="5"/>
      <c r="V3" s="77"/>
      <c r="W3" s="77"/>
      <c r="X3" s="77"/>
    </row>
    <row r="4" spans="1:27">
      <c r="A4" s="13" t="s">
        <v>78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6"/>
      <c r="N4" s="16"/>
      <c r="O4" s="14"/>
      <c r="P4" s="14"/>
      <c r="Q4" s="14"/>
      <c r="R4" s="14"/>
      <c r="S4" s="14"/>
      <c r="T4" s="17"/>
      <c r="U4" s="5"/>
      <c r="V4" s="77"/>
      <c r="W4" s="77"/>
      <c r="X4" s="77"/>
    </row>
    <row r="5" spans="1:27" s="29" customFormat="1">
      <c r="A5" s="5" t="s">
        <v>353</v>
      </c>
      <c r="B5" s="18" t="str">
        <f>VLOOKUP(A5,'Identidad de Codigos'!A:C,2,FALSE)</f>
        <v>ARARGE5205R4</v>
      </c>
      <c r="C5" s="81">
        <f>VLOOKUP(A5,'Identidad de Codigos'!A:C,3,FALSE)</f>
        <v>11111</v>
      </c>
      <c r="D5" s="18" t="s">
        <v>348</v>
      </c>
      <c r="E5" s="19">
        <v>43357</v>
      </c>
      <c r="F5" s="20" t="s">
        <v>78</v>
      </c>
      <c r="G5" s="20" t="s">
        <v>267</v>
      </c>
      <c r="H5" s="21">
        <f>SUM(J5:K5)</f>
        <v>1935000</v>
      </c>
      <c r="I5" s="21">
        <f t="shared" ref="I5" si="0">H5-SUM(J5:L5)</f>
        <v>0</v>
      </c>
      <c r="J5" s="101"/>
      <c r="K5" s="101">
        <v>1935000</v>
      </c>
      <c r="L5" s="101"/>
      <c r="M5" s="22"/>
      <c r="N5" s="22">
        <f>VLOOKUP(A5,'Precios para Valuar'!$C:$L,5,FALSE)/100</f>
        <v>1.1100000000000001</v>
      </c>
      <c r="O5" s="23">
        <f>H5*N5</f>
        <v>2147850</v>
      </c>
      <c r="P5" s="23">
        <f>O5/$N$109</f>
        <v>58286.29579375848</v>
      </c>
      <c r="Q5" s="26">
        <f>VLOOKUP(A5,'Precios para Valuar'!C:Z,6,FALSE)</f>
        <v>0.66235859050495505</v>
      </c>
      <c r="R5" s="26">
        <f>Q5+Badlar</f>
        <v>1.022488590504955</v>
      </c>
      <c r="S5" s="27">
        <f>VLOOKUP(A5,'Precios para Valuar'!C:AC,9,FALSE)</f>
        <v>2.3073339652854713E-2</v>
      </c>
      <c r="T5" s="12">
        <f ca="1">O5/$O$113</f>
        <v>4.325088144603979E-4</v>
      </c>
      <c r="U5" s="127"/>
      <c r="V5" s="77" t="str">
        <f>VLOOKUP(A5,'Precios para Valuar'!$C:$T,8,FALSE)</f>
        <v>MAE</v>
      </c>
      <c r="W5" s="77"/>
      <c r="X5" s="77" t="s">
        <v>320</v>
      </c>
      <c r="Y5" s="6"/>
      <c r="Z5" s="125">
        <f ca="1">R5*T5</f>
        <v>4.4223532807858136E-4</v>
      </c>
      <c r="AA5" s="29">
        <f ca="1">S5*T5</f>
        <v>9.9794227788982809E-6</v>
      </c>
    </row>
    <row r="6" spans="1:27" s="29" customFormat="1">
      <c r="A6" s="5" t="s">
        <v>342</v>
      </c>
      <c r="B6" s="18" t="str">
        <f>VLOOKUP(A6,'Identidad de Codigos'!A:C,2,FALSE)</f>
        <v>ARARGE5205S2</v>
      </c>
      <c r="C6" s="81">
        <f>VLOOKUP(A6,'Identidad de Codigos'!A:C,3,FALSE)</f>
        <v>11111</v>
      </c>
      <c r="D6" s="18" t="s">
        <v>348</v>
      </c>
      <c r="E6" s="19">
        <v>43385</v>
      </c>
      <c r="F6" s="20" t="s">
        <v>78</v>
      </c>
      <c r="G6" s="20" t="s">
        <v>267</v>
      </c>
      <c r="H6" s="21">
        <f>SUM(J6:K6)</f>
        <v>11249000</v>
      </c>
      <c r="I6" s="21">
        <f t="shared" ref="I6" si="1">H6-SUM(J6:L6)</f>
        <v>0</v>
      </c>
      <c r="J6" s="101">
        <v>11249000</v>
      </c>
      <c r="K6" s="101"/>
      <c r="L6" s="101"/>
      <c r="M6" s="22"/>
      <c r="N6" s="22">
        <f>VLOOKUP(A6,'Precios para Valuar'!$C:$L,5,FALSE)/100</f>
        <v>1.06</v>
      </c>
      <c r="O6" s="23">
        <f>H6*N6</f>
        <v>11923940</v>
      </c>
      <c r="P6" s="23">
        <f>O6/$N$109</f>
        <v>323580.46132971504</v>
      </c>
      <c r="Q6" s="26">
        <f>VLOOKUP(A6,'Precios para Valuar'!C:Z,6,FALSE)</f>
        <v>0.62864702462442612</v>
      </c>
      <c r="R6" s="26">
        <f>Q6+Badlar</f>
        <v>0.98877702462442607</v>
      </c>
      <c r="S6" s="27">
        <f>VLOOKUP(A6,'Precios para Valuar'!C:AC,9,FALSE)</f>
        <v>7.0652812678806381E-2</v>
      </c>
      <c r="T6" s="12">
        <f ca="1">O6/$O$113</f>
        <v>2.4011030347076924E-3</v>
      </c>
      <c r="U6" s="127"/>
      <c r="V6" s="77" t="str">
        <f>VLOOKUP(A6,'Precios para Valuar'!$C:$T,8,FALSE)</f>
        <v>MAE</v>
      </c>
      <c r="W6" s="77"/>
      <c r="X6" s="77" t="s">
        <v>320</v>
      </c>
      <c r="Y6" s="6"/>
      <c r="Z6" s="125">
        <f ca="1">R6*T6</f>
        <v>2.374155514474952E-3</v>
      </c>
      <c r="AA6" s="29">
        <f ca="1">S6*T6</f>
        <v>1.6964468293371613E-4</v>
      </c>
    </row>
    <row r="7" spans="1:27">
      <c r="A7" s="13" t="s">
        <v>11</v>
      </c>
      <c r="B7" s="14"/>
      <c r="C7" s="14"/>
      <c r="D7" s="14"/>
      <c r="E7" s="14"/>
      <c r="F7" s="14"/>
      <c r="G7" s="14"/>
      <c r="H7" s="15"/>
      <c r="I7" s="15"/>
      <c r="J7" s="15"/>
      <c r="K7" s="15"/>
      <c r="L7" s="15"/>
      <c r="M7" s="16"/>
      <c r="N7" s="16"/>
      <c r="O7" s="14"/>
      <c r="P7" s="14"/>
      <c r="Q7" s="14"/>
      <c r="R7" s="14"/>
      <c r="S7" s="14"/>
      <c r="T7" s="17"/>
      <c r="U7" s="5"/>
      <c r="V7" s="77"/>
      <c r="W7" s="77"/>
      <c r="X7" s="77"/>
    </row>
    <row r="8" spans="1:27" s="29" customFormat="1">
      <c r="A8" s="5" t="s">
        <v>15</v>
      </c>
      <c r="B8" s="146" t="str">
        <f>VLOOKUP(A8,'Identidad de Codigos'!A:C,2,FALSE)</f>
        <v>ARARGE03H348</v>
      </c>
      <c r="C8" s="81">
        <f>VLOOKUP(A8,'Identidad de Codigos'!A:C,3,FALSE)</f>
        <v>5454</v>
      </c>
      <c r="D8" s="146" t="s">
        <v>16</v>
      </c>
      <c r="E8" s="19">
        <v>43535</v>
      </c>
      <c r="F8" s="20" t="s">
        <v>13</v>
      </c>
      <c r="G8" s="20" t="s">
        <v>267</v>
      </c>
      <c r="H8" s="21">
        <f>SUM(J8:K8)</f>
        <v>5751781</v>
      </c>
      <c r="I8" s="21">
        <f t="shared" ref="I8" si="2">H8-SUM(J8:L8)</f>
        <v>0</v>
      </c>
      <c r="J8" s="101"/>
      <c r="K8" s="101">
        <v>5751781</v>
      </c>
      <c r="L8" s="101"/>
      <c r="M8" s="22"/>
      <c r="N8" s="22">
        <f>VLOOKUP(A8,'Precios para Valuar'!$C:$L,5,FALSE)/100</f>
        <v>1.08</v>
      </c>
      <c r="O8" s="23">
        <f>H8*N8</f>
        <v>6211923.4800000004</v>
      </c>
      <c r="P8" s="23">
        <f>O8/$N$109</f>
        <v>168573.22876526459</v>
      </c>
      <c r="Q8" s="26">
        <f>VLOOKUP(A8,'Precios para Valuar'!C:Z,6,FALSE)</f>
        <v>2.0791526902813828E-2</v>
      </c>
      <c r="R8" s="26">
        <f t="shared" ref="R8:R15" si="3">Q8+Badlar</f>
        <v>0.38092152690281383</v>
      </c>
      <c r="S8" s="27">
        <f>VLOOKUP(A8,'Precios para Valuar'!C:AC,9,FALSE)</f>
        <v>0.40463196020501291</v>
      </c>
      <c r="T8" s="12">
        <f ca="1">O8/$O$113</f>
        <v>1.2508842143788019E-3</v>
      </c>
      <c r="U8" s="127"/>
      <c r="V8" s="77" t="str">
        <f>VLOOKUP(A8,'Precios para Valuar'!$C:$T,8,FALSE)</f>
        <v>IAMC</v>
      </c>
      <c r="W8" s="77"/>
      <c r="X8" s="77" t="s">
        <v>320</v>
      </c>
      <c r="Y8" s="6"/>
      <c r="Z8" s="125">
        <f t="shared" ref="Z8:Z15" ca="1" si="4">R8*T8</f>
        <v>4.7648872491979992E-4</v>
      </c>
      <c r="AA8" s="29">
        <f t="shared" ref="AA8:AA15" ca="1" si="5">S8*T8</f>
        <v>5.0614773165360216E-4</v>
      </c>
    </row>
    <row r="9" spans="1:27" s="29" customFormat="1">
      <c r="A9" s="5" t="s">
        <v>372</v>
      </c>
      <c r="B9" s="18" t="str">
        <f>VLOOKUP(A9,'Identidad de Codigos'!A:C,2,FALSE)</f>
        <v>ARARGE03H348</v>
      </c>
      <c r="C9" s="81">
        <f>VLOOKUP(A9,'Identidad de Codigos'!A:C,3,FALSE)</f>
        <v>5454</v>
      </c>
      <c r="D9" s="18" t="s">
        <v>16</v>
      </c>
      <c r="E9" s="19">
        <v>43535</v>
      </c>
      <c r="F9" s="20" t="s">
        <v>13</v>
      </c>
      <c r="G9" s="20" t="s">
        <v>267</v>
      </c>
      <c r="H9" s="21">
        <f>SUM(J9:K9)</f>
        <v>260742532</v>
      </c>
      <c r="I9" s="21">
        <f t="shared" ref="I9:I15" si="6">H9-SUM(J9:L9)</f>
        <v>0</v>
      </c>
      <c r="J9" s="101">
        <v>260742532</v>
      </c>
      <c r="K9" s="101"/>
      <c r="L9" s="88"/>
      <c r="M9" s="22"/>
      <c r="N9" s="22">
        <f>VLOOKUP(A9,'Precios para Valuar'!$C:$L,5,FALSE)/100</f>
        <v>1.0490000000000002</v>
      </c>
      <c r="O9" s="23">
        <f>H9*N9</f>
        <v>273518916.06800002</v>
      </c>
      <c r="P9" s="23">
        <f>O9/$N$109</f>
        <v>7422494.3302035276</v>
      </c>
      <c r="Q9" s="26">
        <f>VLOOKUP(A9,'Precios para Valuar'!C:Z,6,FALSE)</f>
        <v>9.1621186002386779E-2</v>
      </c>
      <c r="R9" s="26">
        <f t="shared" si="3"/>
        <v>0.45175118600238678</v>
      </c>
      <c r="S9" s="27">
        <f>VLOOKUP(A9,'Precios para Valuar'!C:AC,9,FALSE)</f>
        <v>0.40463196020501291</v>
      </c>
      <c r="T9" s="12">
        <f ca="1">O9/$O$113</f>
        <v>5.5078027851602193E-2</v>
      </c>
      <c r="U9" s="127"/>
      <c r="V9" s="77" t="str">
        <f>VLOOKUP(A9,'Precios para Valuar'!$C:$T,8,FALSE)</f>
        <v>Investment</v>
      </c>
      <c r="W9" s="77"/>
      <c r="X9" s="77" t="s">
        <v>320</v>
      </c>
      <c r="Y9" s="6"/>
      <c r="Z9" s="125">
        <f t="shared" ca="1" si="4"/>
        <v>2.4881564404633783E-2</v>
      </c>
      <c r="AA9" s="29">
        <f t="shared" ca="1" si="5"/>
        <v>2.2286330373820093E-2</v>
      </c>
    </row>
    <row r="10" spans="1:27">
      <c r="A10" s="5" t="s">
        <v>17</v>
      </c>
      <c r="B10" s="18" t="str">
        <f>VLOOKUP(A10,'Identidad de Codigos'!A:C,2,FALSE)</f>
        <v>ARARGE3201B9</v>
      </c>
      <c r="C10" s="81">
        <f>VLOOKUP(A10,'Identidad de Codigos'!A:C,3,FALSE)</f>
        <v>5476</v>
      </c>
      <c r="D10" s="20" t="s">
        <v>18</v>
      </c>
      <c r="E10" s="19">
        <v>43891</v>
      </c>
      <c r="F10" s="20" t="s">
        <v>13</v>
      </c>
      <c r="G10" s="20" t="s">
        <v>267</v>
      </c>
      <c r="H10" s="21">
        <f>SUM(J10:K10)</f>
        <v>52000000</v>
      </c>
      <c r="I10" s="21">
        <f t="shared" si="6"/>
        <v>0</v>
      </c>
      <c r="J10" s="101">
        <v>46000000</v>
      </c>
      <c r="K10" s="101">
        <v>6000000</v>
      </c>
      <c r="L10" s="88"/>
      <c r="M10" s="22"/>
      <c r="N10" s="22">
        <f>VLOOKUP(A10,'Precios para Valuar'!$C:$L,5,FALSE)/100</f>
        <v>0.93789</v>
      </c>
      <c r="O10" s="23">
        <f t="shared" ref="O10:O15" si="7">H10*N10</f>
        <v>48770280</v>
      </c>
      <c r="P10" s="23">
        <f t="shared" ref="P10:P15" si="8">O10/$N$109</f>
        <v>1323481.1397557666</v>
      </c>
      <c r="Q10" s="26">
        <f>VLOOKUP(A10,'Precios para Valuar'!C:Z,6,FALSE)</f>
        <v>8.443084834564818E-2</v>
      </c>
      <c r="R10" s="26">
        <f t="shared" si="3"/>
        <v>0.44456084834564819</v>
      </c>
      <c r="S10" s="27">
        <f>VLOOKUP(A10,'Precios para Valuar'!C:AC,9,FALSE)</f>
        <v>1.0349799588057953</v>
      </c>
      <c r="T10" s="12">
        <f t="shared" ref="T10:T15" ca="1" si="9">O10/$O$113</f>
        <v>9.8207863601748983E-3</v>
      </c>
      <c r="U10" s="127"/>
      <c r="V10" s="77" t="str">
        <f>VLOOKUP(A10,'Precios para Valuar'!$C:$T,8,FALSE)</f>
        <v>IAMC</v>
      </c>
      <c r="W10" s="77" t="s">
        <v>385</v>
      </c>
      <c r="X10" s="77" t="s">
        <v>320</v>
      </c>
      <c r="Z10" s="125">
        <f t="shared" ca="1" si="4"/>
        <v>4.3659371157007236E-3</v>
      </c>
      <c r="AA10" s="29">
        <f t="shared" ca="1" si="5"/>
        <v>1.0164317062494333E-2</v>
      </c>
    </row>
    <row r="11" spans="1:27">
      <c r="A11" s="5" t="s">
        <v>371</v>
      </c>
      <c r="B11" s="146" t="str">
        <f>VLOOKUP(A11,'Identidad de Codigos'!A:C,2,FALSE)</f>
        <v>ARARGE3201B9</v>
      </c>
      <c r="C11" s="81">
        <f>VLOOKUP(A11,'Identidad de Codigos'!A:C,3,FALSE)</f>
        <v>5476</v>
      </c>
      <c r="D11" s="20" t="s">
        <v>18</v>
      </c>
      <c r="E11" s="19">
        <v>43891</v>
      </c>
      <c r="F11" s="20" t="s">
        <v>13</v>
      </c>
      <c r="G11" s="20" t="s">
        <v>267</v>
      </c>
      <c r="H11" s="21">
        <f>SUM(J11:K11)</f>
        <v>153500000</v>
      </c>
      <c r="I11" s="21">
        <f t="shared" ref="I11" si="10">H11-SUM(J11:L11)</f>
        <v>0</v>
      </c>
      <c r="J11" s="101">
        <v>153500000</v>
      </c>
      <c r="K11" s="101"/>
      <c r="L11" s="101"/>
      <c r="M11" s="22"/>
      <c r="N11" s="22">
        <f>VLOOKUP(A11,'Precios para Valuar'!$C:$L,5,FALSE)/100</f>
        <v>1.0184</v>
      </c>
      <c r="O11" s="23">
        <f t="shared" si="7"/>
        <v>156324400</v>
      </c>
      <c r="P11" s="23">
        <f t="shared" si="8"/>
        <v>4242181.8181818184</v>
      </c>
      <c r="Q11" s="26">
        <f>VLOOKUP(A11,'Precios para Valuar'!C:Z,6,FALSE)</f>
        <v>8.5059991805946922E-3</v>
      </c>
      <c r="R11" s="26">
        <f t="shared" si="3"/>
        <v>0.3686359991805947</v>
      </c>
      <c r="S11" s="27">
        <f>VLOOKUP(A11,'Precios para Valuar'!C:AC,9,FALSE)</f>
        <v>1.0349799588057953</v>
      </c>
      <c r="T11" s="12">
        <f t="shared" ca="1" si="9"/>
        <v>3.1478772221166761E-2</v>
      </c>
      <c r="U11" s="127"/>
      <c r="V11" s="77" t="str">
        <f>VLOOKUP(A11,'Precios para Valuar'!$C:$T,8,FALSE)</f>
        <v>Investment</v>
      </c>
      <c r="W11" s="77"/>
      <c r="X11" s="77" t="s">
        <v>320</v>
      </c>
      <c r="Z11" s="125">
        <f t="shared" ca="1" si="4"/>
        <v>1.1604208650728157E-2</v>
      </c>
      <c r="AA11" s="29">
        <f t="shared" ca="1" si="5"/>
        <v>3.2579898376720186E-2</v>
      </c>
    </row>
    <row r="12" spans="1:27">
      <c r="A12" s="5" t="s">
        <v>20</v>
      </c>
      <c r="B12" s="146" t="str">
        <f>VLOOKUP(A12,'Identidad de Codigos'!A:C,2,FALSE)</f>
        <v>ARARGE3203R1</v>
      </c>
      <c r="C12" s="81">
        <f>VLOOKUP(A12,'Identidad de Codigos'!A:C,3,FALSE)</f>
        <v>5480</v>
      </c>
      <c r="D12" s="20" t="s">
        <v>21</v>
      </c>
      <c r="E12" s="19">
        <v>44837</v>
      </c>
      <c r="F12" s="20" t="s">
        <v>13</v>
      </c>
      <c r="G12" s="20" t="s">
        <v>267</v>
      </c>
      <c r="H12" s="21">
        <f t="shared" ref="H12" si="11">SUM(J12:K12)</f>
        <v>121000000</v>
      </c>
      <c r="I12" s="21">
        <f t="shared" ref="I12" si="12">H12-SUM(J12:L12)</f>
        <v>0</v>
      </c>
      <c r="J12" s="101">
        <v>100000000</v>
      </c>
      <c r="K12" s="101">
        <v>21000000</v>
      </c>
      <c r="L12" s="101"/>
      <c r="M12" s="22"/>
      <c r="N12" s="22">
        <f>VLOOKUP(A12,'Precios para Valuar'!$C:$L,5,FALSE)/100</f>
        <v>0.94499999999999995</v>
      </c>
      <c r="O12" s="23">
        <f t="shared" si="7"/>
        <v>114345000</v>
      </c>
      <c r="P12" s="23">
        <f t="shared" si="8"/>
        <v>3102985.0746268653</v>
      </c>
      <c r="Q12" s="26">
        <f>VLOOKUP(A12,'Precios para Valuar'!C:Z,6,FALSE)</f>
        <v>7.5491957337918691E-2</v>
      </c>
      <c r="R12" s="26">
        <f t="shared" si="3"/>
        <v>0.4356219573379187</v>
      </c>
      <c r="S12" s="27">
        <f>VLOOKUP(A12,'Precios para Valuar'!C:AC,9,FALSE)</f>
        <v>1.7139892769792007</v>
      </c>
      <c r="T12" s="12">
        <f t="shared" ca="1" si="9"/>
        <v>2.3025453541669204E-2</v>
      </c>
      <c r="U12" s="127"/>
      <c r="V12" s="77" t="str">
        <f>VLOOKUP(A12,'Precios para Valuar'!$C:$T,8,FALSE)</f>
        <v>IAMC</v>
      </c>
      <c r="W12" s="77"/>
      <c r="X12" s="77" t="s">
        <v>320</v>
      </c>
      <c r="Z12" s="125">
        <f t="shared" ca="1" si="4"/>
        <v>1.0030393140415251E-2</v>
      </c>
      <c r="AA12" s="29">
        <f t="shared" ca="1" si="5"/>
        <v>3.9465380468003776E-2</v>
      </c>
    </row>
    <row r="13" spans="1:27">
      <c r="A13" s="5" t="s">
        <v>370</v>
      </c>
      <c r="B13" s="18" t="str">
        <f>VLOOKUP(A13,'Identidad de Codigos'!A:C,2,FALSE)</f>
        <v>ARARGE3203R1</v>
      </c>
      <c r="C13" s="81">
        <f>VLOOKUP(A13,'Identidad de Codigos'!A:C,3,FALSE)</f>
        <v>5480</v>
      </c>
      <c r="D13" s="20" t="s">
        <v>21</v>
      </c>
      <c r="E13" s="19">
        <v>44837</v>
      </c>
      <c r="F13" s="20" t="s">
        <v>13</v>
      </c>
      <c r="G13" s="20" t="s">
        <v>267</v>
      </c>
      <c r="H13" s="21">
        <f t="shared" ref="H13:H15" si="13">SUM(J13:K13)</f>
        <v>262000000</v>
      </c>
      <c r="I13" s="21">
        <f t="shared" si="6"/>
        <v>0</v>
      </c>
      <c r="J13" s="101">
        <v>262000000</v>
      </c>
      <c r="K13" s="101"/>
      <c r="L13" s="88"/>
      <c r="M13" s="22"/>
      <c r="N13" s="22">
        <f>VLOOKUP(A13,'Precios para Valuar'!$C:$L,5,FALSE)/100</f>
        <v>1.0822000000000001</v>
      </c>
      <c r="O13" s="23">
        <f t="shared" si="7"/>
        <v>283536400</v>
      </c>
      <c r="P13" s="23">
        <f t="shared" si="8"/>
        <v>7694339.2130257795</v>
      </c>
      <c r="Q13" s="26">
        <f>VLOOKUP(A13,'Precios para Valuar'!C:Z,6,FALSE)</f>
        <v>-6.2128217386181461E-4</v>
      </c>
      <c r="R13" s="26">
        <f t="shared" si="3"/>
        <v>0.35950871782613819</v>
      </c>
      <c r="S13" s="27">
        <f>VLOOKUP(A13,'Precios para Valuar'!C:AC,9,FALSE)</f>
        <v>1.7139892769792007</v>
      </c>
      <c r="T13" s="12">
        <f t="shared" ca="1" si="9"/>
        <v>5.7095231147598374E-2</v>
      </c>
      <c r="U13" s="127"/>
      <c r="V13" s="77" t="str">
        <f>VLOOKUP(A13,'Precios para Valuar'!$C:$T,8,FALSE)</f>
        <v>Investment</v>
      </c>
      <c r="W13" s="77"/>
      <c r="X13" s="77" t="s">
        <v>320</v>
      </c>
      <c r="Z13" s="125">
        <f t="shared" ca="1" si="4"/>
        <v>2.0526233343860081E-2</v>
      </c>
      <c r="AA13" s="29">
        <f t="shared" ca="1" si="5"/>
        <v>9.7860613953632478E-2</v>
      </c>
    </row>
    <row r="14" spans="1:27">
      <c r="A14" s="5" t="s">
        <v>22</v>
      </c>
      <c r="B14" s="146" t="str">
        <f>VLOOKUP(A14,'Identidad de Codigos'!A:C,2,FALSE)</f>
        <v>ARARGE03G621</v>
      </c>
      <c r="C14" s="81">
        <f>VLOOKUP(A14,'Identidad de Codigos'!A:C,3,FALSE)</f>
        <v>2571</v>
      </c>
      <c r="D14" s="146" t="s">
        <v>23</v>
      </c>
      <c r="E14" s="19">
        <v>44838</v>
      </c>
      <c r="F14" s="20" t="s">
        <v>13</v>
      </c>
      <c r="G14" s="20" t="s">
        <v>267</v>
      </c>
      <c r="H14" s="21">
        <f t="shared" ref="H14" si="14">SUM(J14:K14)</f>
        <v>0</v>
      </c>
      <c r="I14" s="21">
        <f t="shared" ref="I14" si="15">H14-SUM(J14:L14)</f>
        <v>0</v>
      </c>
      <c r="J14" s="101"/>
      <c r="K14" s="101"/>
      <c r="L14" s="101"/>
      <c r="M14" s="22"/>
      <c r="N14" s="22">
        <f>VLOOKUP(A14,'Precios para Valuar'!$C:$L,5,FALSE)/100</f>
        <v>1.5075000000000001</v>
      </c>
      <c r="O14" s="23">
        <f t="shared" si="7"/>
        <v>0</v>
      </c>
      <c r="P14" s="23">
        <f t="shared" si="8"/>
        <v>0</v>
      </c>
      <c r="Q14" s="26">
        <f>VLOOKUP(A14,'Precios para Valuar'!C:Z,6,FALSE)</f>
        <v>0.14217421660951146</v>
      </c>
      <c r="R14" s="26">
        <f t="shared" si="3"/>
        <v>0.50230421660951152</v>
      </c>
      <c r="S14" s="27">
        <f>VLOOKUP(A14,'Precios para Valuar'!C:AC,9,FALSE)</f>
        <v>1.3610585047658439</v>
      </c>
      <c r="T14" s="12">
        <f t="shared" ca="1" si="9"/>
        <v>0</v>
      </c>
      <c r="U14" s="127"/>
      <c r="V14" s="77" t="str">
        <f>VLOOKUP(A14,'Precios para Valuar'!$C:$T,8,FALSE)</f>
        <v>IAMC</v>
      </c>
      <c r="W14" s="77"/>
      <c r="X14" s="77"/>
      <c r="Z14" s="125">
        <f t="shared" ca="1" si="4"/>
        <v>0</v>
      </c>
      <c r="AA14" s="29">
        <f t="shared" ca="1" si="5"/>
        <v>0</v>
      </c>
    </row>
    <row r="15" spans="1:27">
      <c r="A15" s="5" t="s">
        <v>373</v>
      </c>
      <c r="B15" s="18" t="str">
        <f>VLOOKUP(A15,'Identidad de Codigos'!A:C,2,FALSE)</f>
        <v>ARARGE03G621</v>
      </c>
      <c r="C15" s="81">
        <f>VLOOKUP(A15,'Identidad de Codigos'!A:C,3,FALSE)</f>
        <v>2571</v>
      </c>
      <c r="D15" s="18" t="s">
        <v>23</v>
      </c>
      <c r="E15" s="19">
        <v>44838</v>
      </c>
      <c r="F15" s="20" t="s">
        <v>13</v>
      </c>
      <c r="G15" s="20" t="s">
        <v>267</v>
      </c>
      <c r="H15" s="21">
        <f t="shared" si="13"/>
        <v>70000000</v>
      </c>
      <c r="I15" s="21">
        <f t="shared" si="6"/>
        <v>0</v>
      </c>
      <c r="J15" s="101">
        <v>70000000</v>
      </c>
      <c r="K15" s="101"/>
      <c r="L15" s="88"/>
      <c r="M15" s="22"/>
      <c r="N15" s="22">
        <f>VLOOKUP(A15,'Precios para Valuar'!$C:$L,5,FALSE)/100</f>
        <v>1.5075000000000001</v>
      </c>
      <c r="O15" s="23">
        <f t="shared" si="7"/>
        <v>105525000</v>
      </c>
      <c r="P15" s="23">
        <f t="shared" si="8"/>
        <v>2863636.3636363633</v>
      </c>
      <c r="Q15" s="26">
        <f>VLOOKUP(A15,'Precios para Valuar'!C:Z,6,FALSE)</f>
        <v>0.14217421660951146</v>
      </c>
      <c r="R15" s="26">
        <f t="shared" si="3"/>
        <v>0.50230421660951152</v>
      </c>
      <c r="S15" s="27">
        <f>VLOOKUP(A15,'Precios para Valuar'!C:AC,9,FALSE)</f>
        <v>1.3610585047658439</v>
      </c>
      <c r="T15" s="12">
        <f t="shared" ca="1" si="9"/>
        <v>2.1249385499887558E-2</v>
      </c>
      <c r="U15" s="127"/>
      <c r="V15" s="77" t="str">
        <f>VLOOKUP(A15,'Precios para Valuar'!$C:$T,8,FALSE)</f>
        <v>Investment</v>
      </c>
      <c r="W15" s="77"/>
      <c r="X15" s="77"/>
      <c r="Z15" s="125">
        <f t="shared" ca="1" si="4"/>
        <v>1.0673655936954534E-2</v>
      </c>
      <c r="AA15" s="29">
        <f t="shared" ca="1" si="5"/>
        <v>2.8921656855669962E-2</v>
      </c>
    </row>
    <row r="16" spans="1:27">
      <c r="A16" s="31" t="s">
        <v>24</v>
      </c>
      <c r="B16" s="20"/>
      <c r="C16" s="20"/>
      <c r="D16" s="20"/>
      <c r="E16" s="19"/>
      <c r="F16" s="20"/>
      <c r="G16" s="20"/>
      <c r="H16" s="21"/>
      <c r="I16" s="21"/>
      <c r="J16" s="21"/>
      <c r="K16" s="21"/>
      <c r="L16" s="21"/>
      <c r="M16" s="22"/>
      <c r="N16" s="22"/>
      <c r="O16" s="23"/>
      <c r="P16" s="23"/>
      <c r="Q16" s="26"/>
      <c r="R16" s="26"/>
      <c r="S16" s="27"/>
      <c r="T16" s="12"/>
      <c r="U16" s="30"/>
      <c r="V16" s="77"/>
      <c r="W16" s="77"/>
      <c r="X16" s="77"/>
    </row>
    <row r="17" spans="1:27" s="29" customFormat="1">
      <c r="A17" s="5" t="s">
        <v>26</v>
      </c>
      <c r="B17" s="18" t="str">
        <f>VLOOKUP(A17,'Identidad de Codigos'!A:C,2,FALSE)</f>
        <v>ARARGE3204M0</v>
      </c>
      <c r="C17" s="81">
        <f>VLOOKUP(A17,'Identidad de Codigos'!A:C,3,FALSE)</f>
        <v>5327</v>
      </c>
      <c r="D17" s="18" t="s">
        <v>27</v>
      </c>
      <c r="E17" s="19">
        <v>44003</v>
      </c>
      <c r="F17" s="20" t="s">
        <v>28</v>
      </c>
      <c r="G17" s="20" t="s">
        <v>267</v>
      </c>
      <c r="H17" s="21">
        <f>SUM(J17:K17)</f>
        <v>407100000</v>
      </c>
      <c r="I17" s="21">
        <f>H17-SUM(J17:L17)</f>
        <v>0</v>
      </c>
      <c r="J17" s="101">
        <v>387100000</v>
      </c>
      <c r="K17" s="101">
        <v>20000000</v>
      </c>
      <c r="L17" s="148"/>
      <c r="M17" s="22"/>
      <c r="N17" s="22">
        <f>VLOOKUP(A17,'Precios para Valuar'!$C:$L,5,FALSE)/100</f>
        <v>1.155</v>
      </c>
      <c r="O17" s="23">
        <f>H17*N17</f>
        <v>470200500</v>
      </c>
      <c r="P17" s="23">
        <f>O17/$N$109</f>
        <v>12759850.746268656</v>
      </c>
      <c r="Q17" s="26">
        <f>VLOOKUP(A17,'Precios para Valuar'!C:Z,6,FALSE)</f>
        <v>0.53197874449158888</v>
      </c>
      <c r="R17" s="26">
        <f>+Q17</f>
        <v>0.53197874449158888</v>
      </c>
      <c r="S17" s="27">
        <f>VLOOKUP(A17,'Precios para Valuar'!C:AC,9,FALSE)</f>
        <v>0.97641184350089261</v>
      </c>
      <c r="T17" s="12">
        <f ca="1">O17/$O$113</f>
        <v>9.4683455927409427E-2</v>
      </c>
      <c r="U17" s="127"/>
      <c r="V17" s="77" t="str">
        <f>VLOOKUP(A17,'Precios para Valuar'!$C:$T,8,FALSE)</f>
        <v>IAMC</v>
      </c>
      <c r="W17" s="77"/>
      <c r="X17" s="77"/>
      <c r="Y17" s="6"/>
      <c r="Z17" s="125">
        <f ca="1">R17*T17</f>
        <v>5.0369586008387958E-2</v>
      </c>
      <c r="AA17" s="29">
        <f ca="1">S17*T17</f>
        <v>9.2450047751117356E-2</v>
      </c>
    </row>
    <row r="18" spans="1:27">
      <c r="A18" s="31" t="s">
        <v>30</v>
      </c>
      <c r="B18" s="18"/>
      <c r="C18" s="18"/>
      <c r="D18" s="18"/>
      <c r="E18" s="19"/>
      <c r="F18" s="20"/>
      <c r="G18" s="20"/>
      <c r="H18" s="21"/>
      <c r="I18" s="21"/>
      <c r="J18" s="21"/>
      <c r="K18" s="21"/>
      <c r="L18" s="21"/>
      <c r="M18" s="22"/>
      <c r="N18" s="22"/>
      <c r="O18" s="23"/>
      <c r="P18" s="23"/>
      <c r="Q18" s="24"/>
      <c r="R18" s="24"/>
      <c r="S18" s="25"/>
      <c r="T18" s="12"/>
      <c r="U18" s="23"/>
      <c r="V18" s="77"/>
      <c r="W18" s="77"/>
      <c r="X18" s="77"/>
    </row>
    <row r="19" spans="1:27" s="29" customFormat="1">
      <c r="A19" s="5" t="s">
        <v>341</v>
      </c>
      <c r="B19" s="18" t="str">
        <f>VLOOKUP(A19,'Identidad de Codigos'!A:C,2,FALSE)</f>
        <v>ARARGE3205M7</v>
      </c>
      <c r="C19" s="81">
        <f>VLOOKUP(A19,'Identidad de Codigos'!A:C,3,FALSE)</f>
        <v>11111</v>
      </c>
      <c r="D19" s="18" t="s">
        <v>349</v>
      </c>
      <c r="E19" s="19">
        <v>43504</v>
      </c>
      <c r="F19" s="20" t="s">
        <v>33</v>
      </c>
      <c r="G19" s="20" t="s">
        <v>267</v>
      </c>
      <c r="H19" s="21">
        <f>SUM(J19:K19)</f>
        <v>96000000</v>
      </c>
      <c r="I19" s="21">
        <f t="shared" ref="I19" si="16">H19-SUM(J19:L19)</f>
        <v>0</v>
      </c>
      <c r="J19" s="101">
        <v>96000000</v>
      </c>
      <c r="K19" s="101"/>
      <c r="L19" s="101"/>
      <c r="M19" s="22"/>
      <c r="N19" s="22">
        <f>VLOOKUP(A19,'Precios para Valuar'!$C:$L,5,FALSE)/100</f>
        <v>1.175</v>
      </c>
      <c r="O19" s="23">
        <f t="shared" ref="O19:O22" si="17">H19*N19</f>
        <v>112800000</v>
      </c>
      <c r="P19" s="23">
        <f t="shared" ref="P19:P22" si="18">O19/$N$109</f>
        <v>3061058.3446404343</v>
      </c>
      <c r="Q19" s="26">
        <f>VLOOKUP(A19,'Precios para Valuar'!C:Z,6,FALSE)</f>
        <v>0.12169905304908757</v>
      </c>
      <c r="R19" s="26">
        <f>Q19+CER</f>
        <v>0.43669905304908757</v>
      </c>
      <c r="S19" s="27">
        <f>VLOOKUP(A19,'Precios para Valuar'!C:AC,9,FALSE)</f>
        <v>0.42119649016679944</v>
      </c>
      <c r="T19" s="12">
        <f t="shared" ref="T19:T22" ca="1" si="19">O19/$O$113</f>
        <v>2.2714339581969358E-2</v>
      </c>
      <c r="U19" s="127"/>
      <c r="V19" s="77" t="str">
        <f>VLOOKUP(A19,'Precios para Valuar'!$C:$T,8,FALSE)</f>
        <v>IAMC</v>
      </c>
      <c r="W19" s="77"/>
      <c r="X19" s="77"/>
      <c r="Y19" s="6"/>
      <c r="Z19" s="125">
        <f ca="1">R19*T19</f>
        <v>9.919330586081427E-3</v>
      </c>
      <c r="AA19" s="29">
        <f ca="1">S19*T19</f>
        <v>9.5672001083822993E-3</v>
      </c>
    </row>
    <row r="20" spans="1:27" s="29" customFormat="1">
      <c r="A20" s="5" t="s">
        <v>301</v>
      </c>
      <c r="B20" s="18" t="str">
        <f>VLOOKUP(A20,'Identidad de Codigos'!A:C,2,FALSE)</f>
        <v>ARARGE3205N5</v>
      </c>
      <c r="C20" s="81">
        <f>VLOOKUP(A20,'Identidad de Codigos'!A:C,3,FALSE)</f>
        <v>11111</v>
      </c>
      <c r="D20" s="18" t="s">
        <v>304</v>
      </c>
      <c r="E20" s="19">
        <v>44399</v>
      </c>
      <c r="F20" s="20" t="s">
        <v>33</v>
      </c>
      <c r="G20" s="20" t="s">
        <v>267</v>
      </c>
      <c r="H20" s="21">
        <f>SUM(J20:K20)</f>
        <v>130000000</v>
      </c>
      <c r="I20" s="21">
        <f t="shared" ref="I20:I21" si="20">H20-SUM(J20:L20)</f>
        <v>0</v>
      </c>
      <c r="J20" s="101">
        <v>120000000</v>
      </c>
      <c r="K20" s="101">
        <v>10000000</v>
      </c>
      <c r="L20" s="101"/>
      <c r="M20" s="22"/>
      <c r="N20" s="22">
        <f>VLOOKUP(A20,'Precios para Valuar'!$C:$L,5,FALSE)/100</f>
        <v>1.05</v>
      </c>
      <c r="O20" s="23">
        <f t="shared" si="17"/>
        <v>136500000</v>
      </c>
      <c r="P20" s="23">
        <f t="shared" si="18"/>
        <v>3704206.2415196742</v>
      </c>
      <c r="Q20" s="26">
        <f>VLOOKUP(A20,'Precios para Valuar'!C:Z,6,FALSE)</f>
        <v>0.12761753201484671</v>
      </c>
      <c r="R20" s="26">
        <f>Q20+CER</f>
        <v>0.44261753201484672</v>
      </c>
      <c r="S20" s="27">
        <f>VLOOKUP(A20,'Precios para Valuar'!C:AC,9,FALSE)</f>
        <v>1.2407948450963548</v>
      </c>
      <c r="T20" s="12">
        <f t="shared" ca="1" si="19"/>
        <v>2.7486767313287388E-2</v>
      </c>
      <c r="U20" s="127"/>
      <c r="V20" s="77" t="str">
        <f>VLOOKUP(A20,'Precios para Valuar'!$C:$T,8,FALSE)</f>
        <v>IAMC</v>
      </c>
      <c r="W20" s="77"/>
      <c r="X20" s="77"/>
      <c r="Y20" s="6"/>
      <c r="Z20" s="125">
        <f ca="1">R20*T20</f>
        <v>1.2166125111273622E-2</v>
      </c>
      <c r="AA20" s="29">
        <f ca="1">S20*T20</f>
        <v>3.4105439190689972E-2</v>
      </c>
    </row>
    <row r="21" spans="1:27" s="29" customFormat="1">
      <c r="A21" s="5" t="s">
        <v>29</v>
      </c>
      <c r="B21" s="146" t="str">
        <f>VLOOKUP(A21,'Identidad de Codigos'!A:C,2,FALSE)</f>
        <v>ARARGE320283</v>
      </c>
      <c r="C21" s="81">
        <f>VLOOKUP(A21,'Identidad de Codigos'!A:C,3,FALSE)</f>
        <v>5315</v>
      </c>
      <c r="D21" s="146" t="s">
        <v>305</v>
      </c>
      <c r="E21" s="19">
        <v>44399</v>
      </c>
      <c r="F21" s="20" t="s">
        <v>33</v>
      </c>
      <c r="G21" s="20" t="s">
        <v>267</v>
      </c>
      <c r="H21" s="21">
        <f>SUM(J21:K21)</f>
        <v>4860000</v>
      </c>
      <c r="I21" s="21">
        <f t="shared" si="20"/>
        <v>0</v>
      </c>
      <c r="J21" s="101"/>
      <c r="K21" s="101">
        <v>4860000</v>
      </c>
      <c r="L21" s="101"/>
      <c r="M21" s="22"/>
      <c r="N21" s="22">
        <f>VLOOKUP(A21,'Precios para Valuar'!$C:$L,5,FALSE)/100</f>
        <v>1.38</v>
      </c>
      <c r="O21" s="23">
        <f t="shared" si="17"/>
        <v>6706799.9999999991</v>
      </c>
      <c r="P21" s="23">
        <f t="shared" si="18"/>
        <v>182002.71370420619</v>
      </c>
      <c r="Q21" s="26">
        <f>VLOOKUP(A21,'Precios para Valuar'!C:Z,6,FALSE)</f>
        <v>9.2189300513543238E-2</v>
      </c>
      <c r="R21" s="26">
        <f>Q21+CER</f>
        <v>0.40718930051354324</v>
      </c>
      <c r="S21" s="27">
        <f>VLOOKUP(A21,'Precios para Valuar'!C:AC,9,FALSE)</f>
        <v>2.662753879662386</v>
      </c>
      <c r="T21" s="12">
        <f t="shared" ca="1" si="19"/>
        <v>1.3505366374853907E-3</v>
      </c>
      <c r="U21" s="127"/>
      <c r="V21" s="77" t="str">
        <f>VLOOKUP(A21,'Precios para Valuar'!$C:$T,8,FALSE)</f>
        <v>IAMC</v>
      </c>
      <c r="W21" s="77"/>
      <c r="X21" s="77" t="s">
        <v>321</v>
      </c>
      <c r="Y21" s="6"/>
      <c r="Z21" s="125">
        <f ca="1">R21*T21</f>
        <v>5.4992406873558897E-4</v>
      </c>
      <c r="AA21" s="29">
        <f ca="1">S21*T21</f>
        <v>3.5961466710904173E-3</v>
      </c>
    </row>
    <row r="22" spans="1:27" s="29" customFormat="1">
      <c r="A22" s="5" t="s">
        <v>374</v>
      </c>
      <c r="B22" s="18" t="str">
        <f>VLOOKUP(A22,'Identidad de Codigos'!A:C,2,FALSE)</f>
        <v>ARARGE320283</v>
      </c>
      <c r="C22" s="81">
        <f>VLOOKUP(A22,'Identidad de Codigos'!A:C,3,FALSE)</f>
        <v>5315</v>
      </c>
      <c r="D22" s="18" t="s">
        <v>305</v>
      </c>
      <c r="E22" s="19">
        <v>44399</v>
      </c>
      <c r="F22" s="20" t="s">
        <v>33</v>
      </c>
      <c r="G22" s="20" t="s">
        <v>267</v>
      </c>
      <c r="H22" s="21">
        <f>SUM(J22:K22)</f>
        <v>261600000</v>
      </c>
      <c r="I22" s="21">
        <f t="shared" ref="I22" si="21">H22-SUM(J22:L22)</f>
        <v>0</v>
      </c>
      <c r="J22" s="101">
        <v>261600000</v>
      </c>
      <c r="K22" s="101"/>
      <c r="L22" s="88"/>
      <c r="M22" s="22"/>
      <c r="N22" s="22">
        <f>VLOOKUP(A22,'Precios para Valuar'!$C:$L,5,FALSE)/100</f>
        <v>1.6081451993723928</v>
      </c>
      <c r="O22" s="23">
        <f t="shared" si="17"/>
        <v>420690784.15581793</v>
      </c>
      <c r="P22" s="23">
        <f t="shared" si="18"/>
        <v>11416303.504906863</v>
      </c>
      <c r="Q22" s="26">
        <f>VLOOKUP(A22,'Precios para Valuar'!C:Z,6,FALSE)</f>
        <v>3.5499999999999997E-2</v>
      </c>
      <c r="R22" s="26">
        <f>Q22+CER</f>
        <v>0.35049999999999998</v>
      </c>
      <c r="S22" s="27">
        <f>VLOOKUP(A22,'Precios para Valuar'!C:AC,9,FALSE)</f>
        <v>2.662753879662386</v>
      </c>
      <c r="T22" s="12">
        <f t="shared" ca="1" si="19"/>
        <v>8.4713770658867218E-2</v>
      </c>
      <c r="U22" s="127"/>
      <c r="V22" s="77" t="str">
        <f>VLOOKUP(A22,'Precios para Valuar'!$C:$T,8,FALSE)</f>
        <v>Investment</v>
      </c>
      <c r="W22" s="77"/>
      <c r="X22" s="77" t="s">
        <v>321</v>
      </c>
      <c r="Y22" s="6"/>
      <c r="Z22" s="125">
        <f ca="1">R22*T22</f>
        <v>2.9692176615932958E-2</v>
      </c>
      <c r="AA22" s="29">
        <f ca="1">S22*T22</f>
        <v>0.22557192148272828</v>
      </c>
    </row>
    <row r="23" spans="1:27" s="29" customFormat="1">
      <c r="A23" s="31" t="s">
        <v>34</v>
      </c>
      <c r="B23" s="18"/>
      <c r="C23" s="18"/>
      <c r="D23" s="18"/>
      <c r="E23" s="19"/>
      <c r="F23" s="20"/>
      <c r="G23" s="20"/>
      <c r="H23" s="21"/>
      <c r="I23" s="21"/>
      <c r="J23" s="21"/>
      <c r="K23" s="21"/>
      <c r="L23" s="21"/>
      <c r="M23" s="22"/>
      <c r="N23" s="22"/>
      <c r="O23" s="23"/>
      <c r="P23" s="23"/>
      <c r="Q23" s="12"/>
      <c r="R23" s="12"/>
      <c r="S23" s="27"/>
      <c r="T23" s="12"/>
      <c r="U23" s="28"/>
      <c r="V23" s="77"/>
      <c r="W23" s="77"/>
      <c r="X23" s="77"/>
      <c r="Y23" s="6"/>
    </row>
    <row r="24" spans="1:27" s="29" customFormat="1">
      <c r="A24" s="5" t="s">
        <v>340</v>
      </c>
      <c r="B24" s="18" t="str">
        <f>VLOOKUP(A24,'Identidad de Codigos'!A:C,2,FALSE)</f>
        <v>US040114GW47</v>
      </c>
      <c r="C24" s="81">
        <f>VLOOKUP(A24,'Identidad de Codigos'!A:C,3,FALSE)</f>
        <v>11111</v>
      </c>
      <c r="D24" s="18" t="s">
        <v>350</v>
      </c>
      <c r="E24" s="19">
        <v>44308</v>
      </c>
      <c r="F24" s="20" t="s">
        <v>36</v>
      </c>
      <c r="G24" s="20" t="s">
        <v>267</v>
      </c>
      <c r="H24" s="21">
        <f>SUM(J24:K24)</f>
        <v>3000000</v>
      </c>
      <c r="I24" s="21">
        <f t="shared" ref="I24" si="22">H24-SUM(J24:L24)</f>
        <v>0</v>
      </c>
      <c r="J24" s="101">
        <v>3000000</v>
      </c>
      <c r="K24" s="101"/>
      <c r="L24" s="101"/>
      <c r="M24" s="22"/>
      <c r="N24" s="22">
        <f>VLOOKUP(A24,'Precios para Valuar'!$C:$L,5,FALSE)/100</f>
        <v>29.41</v>
      </c>
      <c r="O24" s="23">
        <f>H24*N24</f>
        <v>88230000</v>
      </c>
      <c r="P24" s="23">
        <f>O24/$N$109</f>
        <v>2394301.2211668929</v>
      </c>
      <c r="Q24" s="26">
        <f>VLOOKUP(A24,'Precios para Valuar'!C:Z,6,FALSE)</f>
        <v>0.18234572666068072</v>
      </c>
      <c r="R24" s="26">
        <f>+Q24+Dev</f>
        <v>0.44964559097547041</v>
      </c>
      <c r="S24" s="27">
        <f>VLOOKUP(A24,'Precios para Valuar'!C:AC,9,FALSE)</f>
        <v>2.2527074912839242</v>
      </c>
      <c r="T24" s="12">
        <f ca="1">O24/$O$113</f>
        <v>1.7766721465577628E-2</v>
      </c>
      <c r="U24" s="127"/>
      <c r="V24" s="77" t="str">
        <f>VLOOKUP(A24,'Precios para Valuar'!$C:$T,8,FALSE)</f>
        <v>IAMC</v>
      </c>
      <c r="W24" s="77"/>
      <c r="X24" s="77" t="s">
        <v>320</v>
      </c>
      <c r="Y24" s="6"/>
      <c r="Z24" s="125">
        <f ca="1">R24*T24</f>
        <v>7.9887279730862289E-3</v>
      </c>
      <c r="AA24" s="29">
        <f ca="1">S24*T24</f>
        <v>4.0023226541061621E-2</v>
      </c>
    </row>
    <row r="25" spans="1:27" s="29" customFormat="1">
      <c r="A25" s="5" t="s">
        <v>37</v>
      </c>
      <c r="B25" s="18" t="str">
        <f>VLOOKUP(A25,'Identidad de Codigos'!A:C,2,FALSE)</f>
        <v>US040114HK99</v>
      </c>
      <c r="C25" s="81">
        <f>VLOOKUP(A25,'Identidad de Codigos'!A:C,3,FALSE)</f>
        <v>92583</v>
      </c>
      <c r="D25" s="18" t="s">
        <v>262</v>
      </c>
      <c r="E25" s="19">
        <v>43174</v>
      </c>
      <c r="F25" s="20" t="s">
        <v>36</v>
      </c>
      <c r="G25" s="20" t="s">
        <v>267</v>
      </c>
      <c r="H25" s="21">
        <f>SUM(J25:K25)</f>
        <v>3400000</v>
      </c>
      <c r="I25" s="21">
        <f t="shared" ref="I25" si="23">H25-SUM(J25:L25)</f>
        <v>0</v>
      </c>
      <c r="J25" s="101">
        <v>3400000</v>
      </c>
      <c r="K25" s="101"/>
      <c r="L25" s="88"/>
      <c r="M25" s="22"/>
      <c r="N25" s="22">
        <f>VLOOKUP(A25,'Precios para Valuar'!$C:$L,5,FALSE)/100</f>
        <v>32</v>
      </c>
      <c r="O25" s="23">
        <f>H25*N25</f>
        <v>108800000</v>
      </c>
      <c r="P25" s="23">
        <f>O25/$N$109</f>
        <v>2952510.1763907732</v>
      </c>
      <c r="Q25" s="26">
        <f>VLOOKUP(A25,'Precios para Valuar'!C:Z,6,FALSE)</f>
        <v>0.10650141203149577</v>
      </c>
      <c r="R25" s="26">
        <f>+Q25+Dev</f>
        <v>0.37380127634628546</v>
      </c>
      <c r="S25" s="27">
        <f>VLOOKUP(A25,'Precios para Valuar'!C:AC,9,FALSE)</f>
        <v>2.9333233746423444</v>
      </c>
      <c r="T25" s="12">
        <f ca="1">O25/$O$113</f>
        <v>2.190886654714775E-2</v>
      </c>
      <c r="U25" s="127"/>
      <c r="V25" s="77" t="str">
        <f>VLOOKUP(A25,'Precios para Valuar'!$C:$T,8,FALSE)</f>
        <v>IAMC</v>
      </c>
      <c r="W25" s="77"/>
      <c r="X25" s="77" t="s">
        <v>320</v>
      </c>
      <c r="Y25" s="6"/>
      <c r="Z25" s="125">
        <f ca="1">R25*T25</f>
        <v>8.1895622786242652E-3</v>
      </c>
      <c r="AA25" s="29">
        <f ca="1">S25*T25</f>
        <v>6.4265790354668201E-2</v>
      </c>
    </row>
    <row r="26" spans="1:27" s="29" customFormat="1">
      <c r="A26" s="32" t="s">
        <v>39</v>
      </c>
      <c r="B26" s="32"/>
      <c r="C26" s="32"/>
      <c r="D26" s="32"/>
      <c r="E26" s="33"/>
      <c r="F26" s="32"/>
      <c r="G26" s="32"/>
      <c r="H26" s="34"/>
      <c r="I26" s="34"/>
      <c r="J26" s="34"/>
      <c r="K26" s="34"/>
      <c r="L26" s="34"/>
      <c r="M26" s="35"/>
      <c r="N26" s="35"/>
      <c r="O26" s="36"/>
      <c r="P26" s="36"/>
      <c r="Q26" s="37"/>
      <c r="R26" s="37"/>
      <c r="S26" s="38"/>
      <c r="T26" s="39"/>
      <c r="U26" s="28"/>
      <c r="V26" s="77"/>
      <c r="W26" s="77"/>
      <c r="X26" s="77"/>
    </row>
    <row r="27" spans="1:27">
      <c r="A27" s="13" t="s">
        <v>11</v>
      </c>
      <c r="B27" s="28"/>
      <c r="C27" s="28"/>
      <c r="D27" s="28"/>
      <c r="E27" s="40"/>
      <c r="F27" s="28"/>
      <c r="G27" s="87"/>
      <c r="H27" s="21"/>
      <c r="I27" s="21"/>
      <c r="J27" s="21"/>
      <c r="K27" s="21"/>
      <c r="L27" s="21"/>
      <c r="M27" s="22"/>
      <c r="N27" s="22"/>
      <c r="O27" s="41"/>
      <c r="P27" s="41"/>
      <c r="Q27" s="42"/>
      <c r="R27" s="42"/>
      <c r="S27" s="43"/>
      <c r="T27" s="44"/>
      <c r="U27" s="28"/>
      <c r="V27" s="77"/>
      <c r="W27" s="77"/>
      <c r="X27" s="77"/>
      <c r="Y27" s="29"/>
    </row>
    <row r="28" spans="1:27" s="29" customFormat="1">
      <c r="A28" s="45" t="s">
        <v>41</v>
      </c>
      <c r="B28" s="18" t="str">
        <f>VLOOKUP(A28,'Identidad de Codigos'!A:C,2,FALSE)</f>
        <v>ARBHIP5600O4</v>
      </c>
      <c r="C28" s="81">
        <f>VLOOKUP(A28,'Identidad de Codigos'!A:C,3,FALSE)</f>
        <v>52259</v>
      </c>
      <c r="D28" s="18" t="s">
        <v>42</v>
      </c>
      <c r="E28" s="40">
        <v>43881</v>
      </c>
      <c r="F28" s="20" t="s">
        <v>13</v>
      </c>
      <c r="G28" s="20" t="s">
        <v>274</v>
      </c>
      <c r="H28" s="21">
        <f t="shared" ref="H28:H89" si="24">SUM(J28:K28)</f>
        <v>60000000</v>
      </c>
      <c r="I28" s="21">
        <f t="shared" ref="I28:I52" si="25">H28-SUM(J28:L28)</f>
        <v>0</v>
      </c>
      <c r="J28" s="101">
        <v>51500000</v>
      </c>
      <c r="K28" s="101">
        <v>8500000</v>
      </c>
      <c r="L28" s="88"/>
      <c r="M28" s="22"/>
      <c r="N28" s="22">
        <f>VLOOKUP(A28,'Precios para Valuar'!$C:$L,5,FALSE)/100</f>
        <v>0.89444354831181949</v>
      </c>
      <c r="O28" s="23">
        <f t="shared" ref="O28:O52" si="26">H28*N28</f>
        <v>53666612.898709171</v>
      </c>
      <c r="P28" s="23">
        <f t="shared" ref="P28:P52" si="27">O28/$N$109</f>
        <v>1456353.1315796247</v>
      </c>
      <c r="Q28" s="26">
        <f>VLOOKUP(A28,'Precios para Valuar'!C:Z,6,FALSE)</f>
        <v>0.15571408972910283</v>
      </c>
      <c r="R28" s="26">
        <f t="shared" ref="R28:R52" si="28">+Q28+Badlar</f>
        <v>0.51584408972910278</v>
      </c>
      <c r="S28" s="27">
        <f>VLOOKUP(A28,'Precios para Valuar'!C:AC,9,FALSE)</f>
        <v>1.03953372026743</v>
      </c>
      <c r="T28" s="12">
        <f t="shared" ref="T28:T52" ca="1" si="29">O28/$O$113</f>
        <v>1.0806752390029938E-2</v>
      </c>
      <c r="U28" s="127"/>
      <c r="V28" s="77" t="str">
        <f>VLOOKUP(A28,'Precios para Valuar'!$C:$T,8,FALSE)</f>
        <v>devengado</v>
      </c>
      <c r="W28" s="77"/>
      <c r="X28" s="77" t="s">
        <v>309</v>
      </c>
      <c r="Y28" s="6"/>
      <c r="Z28" s="125">
        <f t="shared" ref="Z28:Z52" ca="1" si="30">R28*T28</f>
        <v>5.5745993495627992E-3</v>
      </c>
      <c r="AA28" s="29">
        <f t="shared" ref="AA28:AA52" ca="1" si="31">S28*T28</f>
        <v>1.1233983516016762E-2</v>
      </c>
    </row>
    <row r="29" spans="1:27" s="29" customFormat="1">
      <c r="A29" s="45" t="s">
        <v>275</v>
      </c>
      <c r="B29" s="18" t="str">
        <f>VLOOKUP(A29,'Identidad de Codigos'!A:C,2,FALSE)</f>
        <v>ARBHIP5600W7</v>
      </c>
      <c r="C29" s="81">
        <f>VLOOKUP(A29,'Identidad de Codigos'!A:C,3,FALSE)</f>
        <v>11111</v>
      </c>
      <c r="D29" s="18" t="s">
        <v>294</v>
      </c>
      <c r="E29" s="40">
        <v>43875</v>
      </c>
      <c r="F29" s="20" t="s">
        <v>13</v>
      </c>
      <c r="G29" s="20" t="s">
        <v>274</v>
      </c>
      <c r="H29" s="21">
        <f t="shared" si="24"/>
        <v>19000000</v>
      </c>
      <c r="I29" s="21">
        <f>H29-SUM(J29:L29)</f>
        <v>0</v>
      </c>
      <c r="J29" s="101">
        <v>15000000</v>
      </c>
      <c r="K29" s="101">
        <v>4000000</v>
      </c>
      <c r="L29" s="101"/>
      <c r="M29" s="22"/>
      <c r="N29" s="22">
        <f>VLOOKUP(A29,'Precios para Valuar'!$C:$L,5,FALSE)/100</f>
        <v>0.89170016948671726</v>
      </c>
      <c r="O29" s="23">
        <f t="shared" si="26"/>
        <v>16942303.220247626</v>
      </c>
      <c r="P29" s="23">
        <f t="shared" si="27"/>
        <v>459763.99512205226</v>
      </c>
      <c r="Q29" s="26">
        <f>VLOOKUP(A29,'Precios para Valuar'!C:Z,6,FALSE)</f>
        <v>0.17137989585336089</v>
      </c>
      <c r="R29" s="26">
        <f>+Q29+Badlar</f>
        <v>0.53150989585336084</v>
      </c>
      <c r="S29" s="27">
        <f>VLOOKUP(A29,'Precios para Valuar'!C:AC,9,FALSE)</f>
        <v>1.0193595864434664</v>
      </c>
      <c r="T29" s="12">
        <f t="shared" ca="1" si="29"/>
        <v>3.4116420979201909E-3</v>
      </c>
      <c r="U29" s="127"/>
      <c r="V29" s="77" t="str">
        <f>VLOOKUP(A29,'Precios para Valuar'!$C:$T,8,FALSE)</f>
        <v>devengado</v>
      </c>
      <c r="W29" s="77"/>
      <c r="X29" s="77" t="s">
        <v>309</v>
      </c>
      <c r="Y29" s="6"/>
      <c r="Z29" s="125">
        <f t="shared" ca="1" si="30"/>
        <v>1.8133215361545022E-3</v>
      </c>
      <c r="AA29" s="29">
        <f t="shared" ca="1" si="31"/>
        <v>3.4776900780290458E-3</v>
      </c>
    </row>
    <row r="30" spans="1:27" s="29" customFormat="1">
      <c r="A30" s="45" t="s">
        <v>44</v>
      </c>
      <c r="B30" s="18" t="str">
        <f>VLOOKUP(A30,'Identidad de Codigos'!A:C,2,FALSE)</f>
        <v>ARBRIO5600D9</v>
      </c>
      <c r="C30" s="81">
        <f>VLOOKUP(A30,'Identidad de Codigos'!A:C,3,FALSE)</f>
        <v>52261</v>
      </c>
      <c r="D30" s="18" t="s">
        <v>45</v>
      </c>
      <c r="E30" s="76">
        <v>43885</v>
      </c>
      <c r="F30" s="20" t="s">
        <v>13</v>
      </c>
      <c r="G30" s="20" t="s">
        <v>274</v>
      </c>
      <c r="H30" s="21">
        <f t="shared" si="24"/>
        <v>60000000</v>
      </c>
      <c r="I30" s="21">
        <f t="shared" si="25"/>
        <v>0</v>
      </c>
      <c r="J30" s="101">
        <v>50000000</v>
      </c>
      <c r="K30" s="101">
        <v>10000000</v>
      </c>
      <c r="L30" s="88"/>
      <c r="M30" s="22"/>
      <c r="N30" s="22">
        <f>VLOOKUP(A30,'Precios para Valuar'!$C:$L,5,FALSE)/100</f>
        <v>0.88100554239557682</v>
      </c>
      <c r="O30" s="23">
        <f t="shared" si="26"/>
        <v>52860332.54373461</v>
      </c>
      <c r="P30" s="23">
        <f t="shared" si="27"/>
        <v>1434473.0676725809</v>
      </c>
      <c r="Q30" s="26">
        <f>VLOOKUP(A30,'Precios para Valuar'!C:Z,6,FALSE)</f>
        <v>0.16334124076099443</v>
      </c>
      <c r="R30" s="26">
        <f t="shared" si="28"/>
        <v>0.52347124076099449</v>
      </c>
      <c r="S30" s="27">
        <f>VLOOKUP(A30,'Precios para Valuar'!C:AC,9,FALSE)</f>
        <v>1.048644744363739</v>
      </c>
      <c r="T30" s="12">
        <f t="shared" ca="1" si="29"/>
        <v>1.0644393118920337E-2</v>
      </c>
      <c r="U30" s="127"/>
      <c r="V30" s="77" t="str">
        <f>VLOOKUP(A30,'Precios para Valuar'!$C:$T,8,FALSE)</f>
        <v>devengado</v>
      </c>
      <c r="W30" s="77"/>
      <c r="X30" s="77" t="s">
        <v>310</v>
      </c>
      <c r="Y30" s="6"/>
      <c r="Z30" s="125">
        <f t="shared" ca="1" si="30"/>
        <v>5.5720336731090213E-3</v>
      </c>
      <c r="AA30" s="29">
        <f t="shared" ca="1" si="31"/>
        <v>1.1162186901097359E-2</v>
      </c>
    </row>
    <row r="31" spans="1:27" s="29" customFormat="1">
      <c r="A31" s="45" t="s">
        <v>40</v>
      </c>
      <c r="B31" s="146" t="str">
        <f>VLOOKUP(A31,'Identidad de Codigos'!A:C,2,FALSE)</f>
        <v>ARBRIO5600F4</v>
      </c>
      <c r="C31" s="81">
        <f>VLOOKUP(A31,'Identidad de Codigos'!A:C,3,FALSE)</f>
        <v>52320</v>
      </c>
      <c r="D31" s="146" t="s">
        <v>47</v>
      </c>
      <c r="E31" s="76">
        <v>43922</v>
      </c>
      <c r="F31" s="20" t="s">
        <v>13</v>
      </c>
      <c r="G31" s="20" t="s">
        <v>274</v>
      </c>
      <c r="H31" s="21">
        <f t="shared" ref="H31" si="32">SUM(J31:K31)</f>
        <v>81000000</v>
      </c>
      <c r="I31" s="21">
        <f t="shared" ref="I31" si="33">H31-SUM(J31:L31)</f>
        <v>0</v>
      </c>
      <c r="J31" s="101">
        <v>81000000</v>
      </c>
      <c r="K31" s="101"/>
      <c r="L31" s="101"/>
      <c r="M31" s="22"/>
      <c r="N31" s="22">
        <f>VLOOKUP(A31,'Precios para Valuar'!$C:$L,5,FALSE)/100</f>
        <v>1.0416588382170326</v>
      </c>
      <c r="O31" s="23">
        <f t="shared" ref="O31" si="34">H31*N31</f>
        <v>84374365.895579651</v>
      </c>
      <c r="P31" s="23">
        <f t="shared" si="27"/>
        <v>2289670.7162979553</v>
      </c>
      <c r="Q31" s="26">
        <f>VLOOKUP(A31,'Precios para Valuar'!C:Z,6,FALSE)</f>
        <v>4.6735109168676403E-2</v>
      </c>
      <c r="R31" s="26">
        <f t="shared" ref="R31" si="35">+Q31+Badlar</f>
        <v>0.40686510916867641</v>
      </c>
      <c r="S31" s="27">
        <f>VLOOKUP(A31,'Precios para Valuar'!C:AC,9,FALSE)</f>
        <v>1.0261071307002267</v>
      </c>
      <c r="T31" s="12">
        <f t="shared" ca="1" si="29"/>
        <v>1.6990319139765338E-2</v>
      </c>
      <c r="U31" s="127"/>
      <c r="V31" s="77" t="str">
        <f>VLOOKUP(A31,'Precios para Valuar'!$C:$T,8,FALSE)</f>
        <v>devengado</v>
      </c>
      <c r="W31" s="77"/>
      <c r="X31" s="77" t="s">
        <v>310</v>
      </c>
      <c r="Y31" s="6"/>
      <c r="Z31" s="125">
        <f t="shared" ref="Z31" ca="1" si="36">R31*T31</f>
        <v>6.9127680516112766E-3</v>
      </c>
      <c r="AA31" s="29">
        <f t="shared" ref="AA31" ca="1" si="37">S31*T31</f>
        <v>1.7433887622185756E-2</v>
      </c>
    </row>
    <row r="32" spans="1:27" s="29" customFormat="1">
      <c r="A32" s="45" t="s">
        <v>375</v>
      </c>
      <c r="B32" s="18" t="str">
        <f>VLOOKUP(A32,'Identidad de Codigos'!A:C,2,FALSE)</f>
        <v>ARBRIO5600H0</v>
      </c>
      <c r="C32" s="81" t="str">
        <f>VLOOKUP(A32,'Identidad de Codigos'!A:C,3,FALSE)</f>
        <v>xxxxx</v>
      </c>
      <c r="D32" s="18" t="s">
        <v>379</v>
      </c>
      <c r="E32" s="76">
        <v>44587</v>
      </c>
      <c r="F32" s="20" t="s">
        <v>13</v>
      </c>
      <c r="G32" s="20" t="s">
        <v>274</v>
      </c>
      <c r="H32" s="21">
        <f t="shared" si="24"/>
        <v>11000000</v>
      </c>
      <c r="I32" s="21">
        <f t="shared" si="25"/>
        <v>0</v>
      </c>
      <c r="J32" s="101">
        <v>11000000</v>
      </c>
      <c r="K32" s="101"/>
      <c r="L32" s="88"/>
      <c r="M32" s="22"/>
      <c r="N32" s="22">
        <f>VLOOKUP(A32,'Precios para Valuar'!$C:$L,5,FALSE)/100</f>
        <v>0.86182928486414478</v>
      </c>
      <c r="O32" s="23">
        <f t="shared" si="26"/>
        <v>9480122.1335055921</v>
      </c>
      <c r="P32" s="23">
        <f t="shared" si="27"/>
        <v>257262.47309377455</v>
      </c>
      <c r="Q32" s="26">
        <f>VLOOKUP(A32,'Precios para Valuar'!C:Z,6,FALSE)</f>
        <v>0.14600150787159671</v>
      </c>
      <c r="R32" s="26">
        <f t="shared" si="28"/>
        <v>0.50613150787159666</v>
      </c>
      <c r="S32" s="27">
        <f>VLOOKUP(A32,'Precios para Valuar'!C:AC,9,FALSE)</f>
        <v>1.7290914999031723</v>
      </c>
      <c r="T32" s="12">
        <f t="shared" ca="1" si="29"/>
        <v>1.9089956863385625E-3</v>
      </c>
      <c r="U32" s="127"/>
      <c r="V32" s="77" t="str">
        <f>VLOOKUP(A32,'Precios para Valuar'!$C:$T,8,FALSE)</f>
        <v>devengado</v>
      </c>
      <c r="W32" s="77"/>
      <c r="X32" s="77" t="s">
        <v>310</v>
      </c>
      <c r="Y32" s="6"/>
      <c r="Z32" s="125">
        <f t="shared" ca="1" si="30"/>
        <v>9.6620286524691024E-4</v>
      </c>
      <c r="AA32" s="29">
        <f t="shared" ca="1" si="31"/>
        <v>3.300828214599831E-3</v>
      </c>
    </row>
    <row r="33" spans="1:27" s="29" customFormat="1">
      <c r="A33" s="45" t="s">
        <v>48</v>
      </c>
      <c r="B33" s="18" t="str">
        <f>VLOOKUP(A33,'Identidad de Codigos'!A:C,2,FALSE)</f>
        <v>ARITAU560074</v>
      </c>
      <c r="C33" s="81">
        <f>VLOOKUP(A33,'Identidad de Codigos'!A:C,3,FALSE)</f>
        <v>51630</v>
      </c>
      <c r="D33" s="18" t="s">
        <v>49</v>
      </c>
      <c r="E33" s="40">
        <v>43659</v>
      </c>
      <c r="F33" s="20" t="s">
        <v>13</v>
      </c>
      <c r="G33" s="20" t="s">
        <v>274</v>
      </c>
      <c r="H33" s="21">
        <f t="shared" si="24"/>
        <v>20888888</v>
      </c>
      <c r="I33" s="21">
        <f t="shared" si="25"/>
        <v>0</v>
      </c>
      <c r="J33" s="101">
        <v>15888888</v>
      </c>
      <c r="K33" s="101">
        <v>5000000</v>
      </c>
      <c r="L33" s="88"/>
      <c r="M33" s="22"/>
      <c r="N33" s="22">
        <f>VLOOKUP(A33,'Precios para Valuar'!$C:$L,5,FALSE)/100</f>
        <v>1.0530969114524646</v>
      </c>
      <c r="O33" s="23">
        <f t="shared" si="26"/>
        <v>21998023.43647645</v>
      </c>
      <c r="P33" s="23">
        <f t="shared" si="27"/>
        <v>596961.28728565667</v>
      </c>
      <c r="Q33" s="26">
        <f>VLOOKUP(A33,'Precios para Valuar'!C:Z,6,FALSE)</f>
        <v>3.6095803978669599E-2</v>
      </c>
      <c r="R33" s="26">
        <f t="shared" si="28"/>
        <v>0.39622580397866958</v>
      </c>
      <c r="S33" s="27">
        <f>VLOOKUP(A33,'Precios para Valuar'!C:AC,9,FALSE)</f>
        <v>0.64298965922134643</v>
      </c>
      <c r="T33" s="12">
        <f t="shared" ca="1" si="29"/>
        <v>4.4297036743638886E-3</v>
      </c>
      <c r="U33" s="127"/>
      <c r="V33" s="77" t="str">
        <f>VLOOKUP(A33,'Precios para Valuar'!$C:$T,8,FALSE)</f>
        <v>devengado</v>
      </c>
      <c r="W33" s="77"/>
      <c r="X33" s="77" t="s">
        <v>311</v>
      </c>
      <c r="Y33" s="6"/>
      <c r="Z33" s="125">
        <f t="shared" ca="1" si="30"/>
        <v>1.7551628997620986E-3</v>
      </c>
      <c r="AA33" s="29">
        <f t="shared" ca="1" si="31"/>
        <v>2.8482536560307829E-3</v>
      </c>
    </row>
    <row r="34" spans="1:27" s="29" customFormat="1">
      <c r="A34" s="45" t="s">
        <v>50</v>
      </c>
      <c r="B34" s="18" t="str">
        <f>VLOOKUP(A34,'Identidad de Codigos'!A:C,2,FALSE)</f>
        <v>ARFRAN560094</v>
      </c>
      <c r="C34" s="81">
        <f>VLOOKUP(A34,'Identidad de Codigos'!A:C,3,FALSE)</f>
        <v>51730</v>
      </c>
      <c r="D34" s="18" t="s">
        <v>51</v>
      </c>
      <c r="E34" s="40">
        <v>43685</v>
      </c>
      <c r="F34" s="20" t="s">
        <v>13</v>
      </c>
      <c r="G34" s="20" t="s">
        <v>274</v>
      </c>
      <c r="H34" s="21">
        <f t="shared" si="24"/>
        <v>11546000</v>
      </c>
      <c r="I34" s="21">
        <f t="shared" si="25"/>
        <v>0</v>
      </c>
      <c r="J34" s="101">
        <v>11546000</v>
      </c>
      <c r="K34" s="101"/>
      <c r="L34" s="88"/>
      <c r="M34" s="22"/>
      <c r="N34" s="22">
        <f>VLOOKUP(A34,'Precios para Valuar'!$C:$L,5,FALSE)/100</f>
        <v>0.93442058751189894</v>
      </c>
      <c r="O34" s="23">
        <f t="shared" si="26"/>
        <v>10788820.103412386</v>
      </c>
      <c r="P34" s="23">
        <f t="shared" si="27"/>
        <v>292776.6649501326</v>
      </c>
      <c r="Q34" s="26">
        <f>VLOOKUP(A34,'Precios para Valuar'!C:Z,6,FALSE)</f>
        <v>0.16636184439711782</v>
      </c>
      <c r="R34" s="26">
        <f t="shared" si="28"/>
        <v>0.52649184439711783</v>
      </c>
      <c r="S34" s="27">
        <f>VLOOKUP(A34,'Precios para Valuar'!C:AC,9,FALSE)</f>
        <v>0.72850250034001029</v>
      </c>
      <c r="T34" s="12">
        <f t="shared" ca="1" si="29"/>
        <v>2.1725259177099885E-3</v>
      </c>
      <c r="U34" s="127"/>
      <c r="V34" s="77" t="str">
        <f>VLOOKUP(A34,'Precios para Valuar'!$C:$T,8,FALSE)</f>
        <v>devengado</v>
      </c>
      <c r="W34" s="77"/>
      <c r="X34" s="77" t="s">
        <v>312</v>
      </c>
      <c r="Y34" s="6"/>
      <c r="Z34" s="125">
        <f t="shared" ca="1" si="30"/>
        <v>1.143817177415673E-3</v>
      </c>
      <c r="AA34" s="29">
        <f t="shared" ca="1" si="31"/>
        <v>1.5826905631052021E-3</v>
      </c>
    </row>
    <row r="35" spans="1:27" s="29" customFormat="1">
      <c r="A35" s="45" t="s">
        <v>330</v>
      </c>
      <c r="B35" s="18" t="str">
        <f>VLOOKUP(A35,'Identidad de Codigos'!A:C,2,FALSE)</f>
        <v>ARGALI5602U0</v>
      </c>
      <c r="C35" s="81">
        <f>VLOOKUP(A35,'Identidad de Codigos'!A:C,3,FALSE)</f>
        <v>11111</v>
      </c>
      <c r="D35" s="18">
        <v>0.25979999999999998</v>
      </c>
      <c r="E35" s="40">
        <v>44312</v>
      </c>
      <c r="F35" s="20" t="s">
        <v>78</v>
      </c>
      <c r="G35" s="20" t="s">
        <v>274</v>
      </c>
      <c r="H35" s="21">
        <f t="shared" ref="H35" si="38">SUM(J35:K35)</f>
        <v>60000000</v>
      </c>
      <c r="I35" s="21">
        <f t="shared" ref="I35" si="39">H35-SUM(J35:L35)</f>
        <v>0</v>
      </c>
      <c r="J35" s="101">
        <v>60000000</v>
      </c>
      <c r="K35" s="101"/>
      <c r="L35" s="101"/>
      <c r="M35" s="22"/>
      <c r="N35" s="22">
        <f>VLOOKUP(A35,'Precios para Valuar'!$C:$L,5,FALSE)/100</f>
        <v>0.88645707705880639</v>
      </c>
      <c r="O35" s="23">
        <f t="shared" ref="O35" si="40">H35*N35</f>
        <v>53187424.623528384</v>
      </c>
      <c r="P35" s="23">
        <f t="shared" si="27"/>
        <v>1443349.3792002276</v>
      </c>
      <c r="Q35" s="26">
        <f>VLOOKUP(A35,'Precios para Valuar'!C:Z,6,FALSE)</f>
        <v>0.43498448836567855</v>
      </c>
      <c r="R35" s="26">
        <f t="shared" ref="R35" si="41">+Q35+Badlar</f>
        <v>0.79511448836567855</v>
      </c>
      <c r="S35" s="27">
        <f>VLOOKUP(A35,'Precios para Valuar'!C:AC,9,FALSE)</f>
        <v>1.274312906456907</v>
      </c>
      <c r="T35" s="12">
        <f t="shared" ca="1" si="29"/>
        <v>1.0710259081464737E-2</v>
      </c>
      <c r="U35" s="127"/>
      <c r="V35" s="77" t="str">
        <f>VLOOKUP(A35,'Precios para Valuar'!$C:$T,8,FALSE)</f>
        <v>devengado</v>
      </c>
      <c r="W35" s="77"/>
      <c r="X35" s="77" t="s">
        <v>312</v>
      </c>
      <c r="Y35" s="6"/>
      <c r="Z35" s="125">
        <f t="shared" ca="1" si="30"/>
        <v>8.5158821698226965E-3</v>
      </c>
      <c r="AA35" s="29">
        <f t="shared" ca="1" si="31"/>
        <v>1.3648221379007813E-2</v>
      </c>
    </row>
    <row r="36" spans="1:27" s="29" customFormat="1">
      <c r="A36" s="28" t="s">
        <v>52</v>
      </c>
      <c r="B36" s="18" t="str">
        <f>VLOOKUP(A36,'Identidad de Codigos'!A:C,2,FALSE)</f>
        <v>ARGPAT5600A4</v>
      </c>
      <c r="C36" s="81">
        <f>VLOOKUP(A36,'Identidad de Codigos'!A:C,3,FALSE)</f>
        <v>52167</v>
      </c>
      <c r="D36" s="18" t="s">
        <v>53</v>
      </c>
      <c r="E36" s="76">
        <v>43489</v>
      </c>
      <c r="F36" s="20" t="s">
        <v>13</v>
      </c>
      <c r="G36" s="20" t="s">
        <v>277</v>
      </c>
      <c r="H36" s="21">
        <f t="shared" si="24"/>
        <v>5285714</v>
      </c>
      <c r="I36" s="21">
        <f t="shared" si="25"/>
        <v>0</v>
      </c>
      <c r="J36" s="101">
        <v>5285714</v>
      </c>
      <c r="K36" s="101"/>
      <c r="L36" s="88"/>
      <c r="M36" s="22"/>
      <c r="N36" s="22">
        <f>VLOOKUP(A36,'Precios para Valuar'!$C:$L,5,FALSE)/100</f>
        <v>1.0444018229064524</v>
      </c>
      <c r="O36" s="23">
        <f t="shared" si="26"/>
        <v>5520409.336962156</v>
      </c>
      <c r="P36" s="23">
        <f t="shared" si="27"/>
        <v>149807.58037889161</v>
      </c>
      <c r="Q36" s="26">
        <f>VLOOKUP(A36,'Precios para Valuar'!C:Z,6,FALSE)</f>
        <v>3.44E-2</v>
      </c>
      <c r="R36" s="26">
        <f t="shared" si="28"/>
        <v>0.39452999999999999</v>
      </c>
      <c r="S36" s="27">
        <f>VLOOKUP(A36,'Precios para Valuar'!C:AC,9,FALSE)</f>
        <v>0.3210758636232382</v>
      </c>
      <c r="T36" s="12">
        <f t="shared" ca="1" si="29"/>
        <v>1.1116352155251127E-3</v>
      </c>
      <c r="U36" s="127"/>
      <c r="V36" s="77" t="str">
        <f>VLOOKUP(A36,'Precios para Valuar'!$C:$T,8,FALSE)</f>
        <v>VT</v>
      </c>
      <c r="W36" s="77"/>
      <c r="X36" s="77" t="s">
        <v>313</v>
      </c>
      <c r="Y36" s="6"/>
      <c r="Z36" s="125">
        <f t="shared" ca="1" si="30"/>
        <v>4.3857344158112268E-4</v>
      </c>
      <c r="AA36" s="29">
        <f t="shared" ca="1" si="31"/>
        <v>3.5691923685873009E-4</v>
      </c>
    </row>
    <row r="37" spans="1:27" s="29" customFormat="1">
      <c r="A37" s="28" t="s">
        <v>54</v>
      </c>
      <c r="B37" s="18" t="str">
        <f>VLOOKUP(A37,'Identidad de Codigos'!A:C,2,FALSE)</f>
        <v>ARGPAT560065</v>
      </c>
      <c r="C37" s="81">
        <f>VLOOKUP(A37,'Identidad de Codigos'!A:C,3,FALSE)</f>
        <v>51579</v>
      </c>
      <c r="D37" s="18" t="s">
        <v>55</v>
      </c>
      <c r="E37" s="40">
        <v>43630</v>
      </c>
      <c r="F37" s="20" t="s">
        <v>13</v>
      </c>
      <c r="G37" s="20" t="s">
        <v>277</v>
      </c>
      <c r="H37" s="21">
        <f t="shared" si="24"/>
        <v>15000000</v>
      </c>
      <c r="I37" s="21">
        <f t="shared" si="25"/>
        <v>0</v>
      </c>
      <c r="J37" s="101">
        <v>15000000</v>
      </c>
      <c r="K37" s="101"/>
      <c r="L37" s="88"/>
      <c r="M37" s="22"/>
      <c r="N37" s="22">
        <f>VLOOKUP(A37,'Precios para Valuar'!$C:$L,5,FALSE)/100</f>
        <v>0.98588407484202345</v>
      </c>
      <c r="O37" s="23">
        <f t="shared" si="26"/>
        <v>14788261.122630352</v>
      </c>
      <c r="P37" s="23">
        <f t="shared" si="27"/>
        <v>401309.66411479923</v>
      </c>
      <c r="Q37" s="26">
        <f>VLOOKUP(A37,'Precios para Valuar'!C:Z,6,FALSE)</f>
        <v>0.19920212087205841</v>
      </c>
      <c r="R37" s="26">
        <f t="shared" si="28"/>
        <v>0.55933212087205841</v>
      </c>
      <c r="S37" s="27">
        <f>VLOOKUP(A37,'Precios para Valuar'!C:AC,9,FALSE)</f>
        <v>0.56719922869002426</v>
      </c>
      <c r="T37" s="12">
        <f t="shared" ca="1" si="29"/>
        <v>2.9778863915448689E-3</v>
      </c>
      <c r="U37" s="127"/>
      <c r="V37" s="77" t="str">
        <f>VLOOKUP(A37,'Precios para Valuar'!$C:$T,8,FALSE)</f>
        <v>devengado</v>
      </c>
      <c r="W37" s="77"/>
      <c r="X37" s="77" t="s">
        <v>313</v>
      </c>
      <c r="Y37" s="6"/>
      <c r="Z37" s="125">
        <f t="shared" ca="1" si="30"/>
        <v>1.6656275110988326E-3</v>
      </c>
      <c r="AA37" s="29">
        <f t="shared" ca="1" si="31"/>
        <v>1.6890548644107693E-3</v>
      </c>
    </row>
    <row r="38" spans="1:27" s="29" customFormat="1">
      <c r="A38" s="87" t="s">
        <v>56</v>
      </c>
      <c r="B38" s="18" t="str">
        <f>VLOOKUP(A38,'Identidad de Codigos'!A:C,2,FALSE)</f>
        <v>ARGPAT5600E6</v>
      </c>
      <c r="C38" s="81">
        <f>VLOOKUP(A38,'Identidad de Codigos'!A:C,3,FALSE)</f>
        <v>52584</v>
      </c>
      <c r="D38" s="18" t="s">
        <v>57</v>
      </c>
      <c r="E38" s="40">
        <v>43630</v>
      </c>
      <c r="F38" s="20" t="s">
        <v>13</v>
      </c>
      <c r="G38" s="20" t="s">
        <v>277</v>
      </c>
      <c r="H38" s="21">
        <f t="shared" si="24"/>
        <v>24666666</v>
      </c>
      <c r="I38" s="21">
        <f t="shared" ref="I38" si="42">H38-SUM(J38:L38)</f>
        <v>0</v>
      </c>
      <c r="J38" s="101">
        <v>24666666</v>
      </c>
      <c r="K38" s="101"/>
      <c r="L38" s="88"/>
      <c r="M38" s="22"/>
      <c r="N38" s="22">
        <f>VLOOKUP(A38,'Precios para Valuar'!$C:$L,5,FALSE)/100</f>
        <v>1.0714562017648508</v>
      </c>
      <c r="O38" s="23">
        <f t="shared" si="26"/>
        <v>26429252.262562186</v>
      </c>
      <c r="P38" s="23">
        <f t="shared" si="27"/>
        <v>717211.73032733204</v>
      </c>
      <c r="Q38" s="26">
        <f>VLOOKUP(A38,'Precios para Valuar'!C:Z,6,FALSE)</f>
        <v>3.9699999999999999E-2</v>
      </c>
      <c r="R38" s="26">
        <f t="shared" si="28"/>
        <v>0.39983000000000002</v>
      </c>
      <c r="S38" s="27">
        <f>VLOOKUP(A38,'Precios para Valuar'!C:AC,9,FALSE)</f>
        <v>1.1167540291020452</v>
      </c>
      <c r="T38" s="12">
        <f t="shared" ca="1" si="29"/>
        <v>5.3220125069979559E-3</v>
      </c>
      <c r="U38" s="127"/>
      <c r="V38" s="77" t="str">
        <f>VLOOKUP(A38,'Precios para Valuar'!$C:$T,8,FALSE)</f>
        <v>VT</v>
      </c>
      <c r="W38" s="77"/>
      <c r="X38" s="77" t="s">
        <v>313</v>
      </c>
      <c r="Y38" s="6"/>
      <c r="Z38" s="125">
        <f t="shared" ca="1" si="30"/>
        <v>2.1279002606729926E-3</v>
      </c>
      <c r="AA38" s="29">
        <f t="shared" ca="1" si="31"/>
        <v>5.9433789101214444E-3</v>
      </c>
    </row>
    <row r="39" spans="1:27" s="29" customFormat="1">
      <c r="A39" s="28" t="s">
        <v>278</v>
      </c>
      <c r="B39" s="18" t="str">
        <f>VLOOKUP(A39,'Identidad de Codigos'!A:C,2,FALSE)</f>
        <v>ARGPAT5600H9</v>
      </c>
      <c r="C39" s="81">
        <f>VLOOKUP(A39,'Identidad de Codigos'!A:C,3,FALSE)</f>
        <v>52897</v>
      </c>
      <c r="D39" s="18" t="s">
        <v>279</v>
      </c>
      <c r="E39" s="40">
        <v>43630</v>
      </c>
      <c r="F39" s="20" t="s">
        <v>13</v>
      </c>
      <c r="G39" s="20" t="s">
        <v>277</v>
      </c>
      <c r="H39" s="21">
        <f t="shared" si="24"/>
        <v>10000000</v>
      </c>
      <c r="I39" s="21">
        <f t="shared" si="25"/>
        <v>0</v>
      </c>
      <c r="J39" s="101">
        <v>10000000</v>
      </c>
      <c r="K39" s="101"/>
      <c r="L39" s="88"/>
      <c r="M39" s="22"/>
      <c r="N39" s="22">
        <f>VLOOKUP(A39,'Precios para Valuar'!$C:$L,5,FALSE)/100</f>
        <v>1.0637250863549559</v>
      </c>
      <c r="O39" s="23">
        <f t="shared" si="26"/>
        <v>10637250.863549558</v>
      </c>
      <c r="P39" s="23">
        <f t="shared" si="27"/>
        <v>288663.52411260671</v>
      </c>
      <c r="Q39" s="26">
        <f>VLOOKUP(A39,'Precios para Valuar'!C:Z,6,FALSE)</f>
        <v>4.1700000000000001E-2</v>
      </c>
      <c r="R39" s="26">
        <f t="shared" si="28"/>
        <v>0.40183000000000002</v>
      </c>
      <c r="S39" s="27">
        <f>VLOOKUP(A39,'Precios para Valuar'!C:AC,9,FALSE)</f>
        <v>1.235821904553756</v>
      </c>
      <c r="T39" s="12">
        <f t="shared" ca="1" si="29"/>
        <v>2.1420046838055095E-3</v>
      </c>
      <c r="U39" s="127"/>
      <c r="V39" s="77" t="str">
        <f>VLOOKUP(A39,'Precios para Valuar'!$C:$T,8,FALSE)</f>
        <v>VT</v>
      </c>
      <c r="W39" s="77"/>
      <c r="X39" s="77" t="s">
        <v>313</v>
      </c>
      <c r="Y39" s="6"/>
      <c r="Z39" s="125">
        <f t="shared" ca="1" si="30"/>
        <v>8.6072174209356797E-4</v>
      </c>
      <c r="AA39" s="29">
        <f t="shared" ca="1" si="31"/>
        <v>2.6471363079035907E-3</v>
      </c>
    </row>
    <row r="40" spans="1:27" s="29" customFormat="1">
      <c r="A40" s="87" t="s">
        <v>333</v>
      </c>
      <c r="B40" s="18" t="str">
        <f>VLOOKUP(A40,'Identidad de Codigos'!A:C,2,FALSE)</f>
        <v>ARGPAT5600J5</v>
      </c>
      <c r="C40" s="81">
        <f>VLOOKUP(A40,'Identidad de Codigos'!A:C,3,FALSE)</f>
        <v>11111</v>
      </c>
      <c r="D40" s="18">
        <v>0.25750000000000001</v>
      </c>
      <c r="E40" s="40">
        <v>43763</v>
      </c>
      <c r="F40" s="20" t="s">
        <v>78</v>
      </c>
      <c r="G40" s="20" t="s">
        <v>277</v>
      </c>
      <c r="H40" s="21">
        <f t="shared" ref="H40" si="43">SUM(J40:K40)</f>
        <v>17000000</v>
      </c>
      <c r="I40" s="21">
        <f t="shared" ref="I40" si="44">H40-SUM(J40:L40)</f>
        <v>0</v>
      </c>
      <c r="J40" s="101">
        <v>17000000</v>
      </c>
      <c r="K40" s="101"/>
      <c r="L40" s="101"/>
      <c r="M40" s="22"/>
      <c r="N40" s="22">
        <f>VLOOKUP(A40,'Precios para Valuar'!$C:$L,5,FALSE)/100</f>
        <v>0.83484786656529042</v>
      </c>
      <c r="O40" s="23">
        <f t="shared" ref="O40" si="45">H40*N40</f>
        <v>14192413.731609937</v>
      </c>
      <c r="P40" s="23">
        <f t="shared" si="27"/>
        <v>385140.12840189785</v>
      </c>
      <c r="Q40" s="26">
        <f>VLOOKUP(A40,'Precios para Valuar'!C:Z,6,FALSE)</f>
        <v>0.4883697260258808</v>
      </c>
      <c r="R40" s="26">
        <f t="shared" ref="R40" si="46">+Q40+Badlar</f>
        <v>0.84849972602588086</v>
      </c>
      <c r="S40" s="27">
        <f>VLOOKUP(A40,'Precios para Valuar'!C:AC,9,FALSE)</f>
        <v>0.93431661957353729</v>
      </c>
      <c r="T40" s="12">
        <f t="shared" ca="1" si="29"/>
        <v>2.857901639960931E-3</v>
      </c>
      <c r="U40" s="127"/>
      <c r="V40" s="77" t="str">
        <f>VLOOKUP(A40,'Precios para Valuar'!$C:$T,8,FALSE)</f>
        <v>devengado</v>
      </c>
      <c r="W40" s="77"/>
      <c r="X40" s="77" t="s">
        <v>313</v>
      </c>
      <c r="Y40" s="6"/>
      <c r="Z40" s="125">
        <f t="shared" ca="1" si="30"/>
        <v>2.4249287585157656E-3</v>
      </c>
      <c r="AA40" s="29">
        <f t="shared" ca="1" si="31"/>
        <v>2.6701849993219654E-3</v>
      </c>
    </row>
    <row r="41" spans="1:27" s="29" customFormat="1">
      <c r="A41" s="45" t="s">
        <v>280</v>
      </c>
      <c r="B41" s="18" t="str">
        <f>VLOOKUP(A41,'Identidad de Codigos'!A:C,2,FALSE)</f>
        <v>ARROBE560051</v>
      </c>
      <c r="C41" s="81">
        <f>VLOOKUP(A41,'Identidad de Codigos'!A:C,3,FALSE)</f>
        <v>53068</v>
      </c>
      <c r="D41" s="18" t="s">
        <v>292</v>
      </c>
      <c r="E41" s="40">
        <v>43189</v>
      </c>
      <c r="F41" s="20" t="s">
        <v>289</v>
      </c>
      <c r="G41" s="20" t="s">
        <v>274</v>
      </c>
      <c r="H41" s="21">
        <f t="shared" si="24"/>
        <v>50000000</v>
      </c>
      <c r="I41" s="21">
        <f t="shared" ref="I41" si="47">H41-SUM(J41:L41)</f>
        <v>0</v>
      </c>
      <c r="J41" s="101">
        <v>50000000</v>
      </c>
      <c r="K41" s="101"/>
      <c r="L41" s="88"/>
      <c r="M41" s="22"/>
      <c r="N41" s="22">
        <f>VLOOKUP(A41,'Precios para Valuar'!$C:$L,5,FALSE)/100</f>
        <v>0.92126116362004795</v>
      </c>
      <c r="O41" s="23">
        <f>H41*N41</f>
        <v>46063058.181002401</v>
      </c>
      <c r="P41" s="23">
        <f t="shared" si="27"/>
        <v>1250015.1473813406</v>
      </c>
      <c r="Q41" s="26">
        <f>VLOOKUP(A41,'Precios para Valuar'!C:Z,6,FALSE)</f>
        <v>0.12441270352654366</v>
      </c>
      <c r="R41" s="26">
        <f>+Q41+Badlar</f>
        <v>0.48454270352654366</v>
      </c>
      <c r="S41" s="27">
        <f>VLOOKUP(A41,'Precios para Valuar'!C:AC,9,FALSE)</f>
        <v>1.5847358997523198</v>
      </c>
      <c r="T41" s="12">
        <f t="shared" ca="1" si="29"/>
        <v>9.2756378165540793E-3</v>
      </c>
      <c r="U41" s="127"/>
      <c r="V41" s="77" t="str">
        <f>VLOOKUP(A41,'Precios para Valuar'!$C:$T,8,FALSE)</f>
        <v>devengado</v>
      </c>
      <c r="W41" s="77"/>
      <c r="X41" s="77" t="s">
        <v>312</v>
      </c>
      <c r="Y41" s="6"/>
      <c r="Z41" s="125">
        <f t="shared" ca="1" si="30"/>
        <v>4.4944426245661596E-3</v>
      </c>
      <c r="AA41" s="29">
        <f t="shared" ca="1" si="31"/>
        <v>1.4699436240993471E-2</v>
      </c>
    </row>
    <row r="42" spans="1:27" s="29" customFormat="1">
      <c r="A42" s="45" t="s">
        <v>306</v>
      </c>
      <c r="B42" s="18" t="str">
        <f>VLOOKUP(A42,'Identidad de Codigos'!A:C,2,FALSE)</f>
        <v>ARROBE560069</v>
      </c>
      <c r="C42" s="81">
        <f>VLOOKUP(A42,'Identidad de Codigos'!A:C,3,FALSE)</f>
        <v>11111</v>
      </c>
      <c r="D42" s="18" t="s">
        <v>307</v>
      </c>
      <c r="E42" s="40">
        <v>44282</v>
      </c>
      <c r="F42" s="20" t="s">
        <v>289</v>
      </c>
      <c r="G42" s="20" t="s">
        <v>274</v>
      </c>
      <c r="H42" s="21">
        <f t="shared" si="24"/>
        <v>106000000</v>
      </c>
      <c r="I42" s="21">
        <f t="shared" ref="I42" si="48">H42-SUM(J42:L42)</f>
        <v>0</v>
      </c>
      <c r="J42" s="101">
        <v>100000000</v>
      </c>
      <c r="K42" s="101">
        <v>6000000</v>
      </c>
      <c r="L42" s="101"/>
      <c r="M42" s="22"/>
      <c r="N42" s="22">
        <f>VLOOKUP(A42,'Precios para Valuar'!$C:$L,5,FALSE)/100</f>
        <v>0.94710476098064045</v>
      </c>
      <c r="O42" s="23">
        <f>H42*N42</f>
        <v>100393104.66394788</v>
      </c>
      <c r="P42" s="23">
        <f t="shared" si="27"/>
        <v>2724371.9040420046</v>
      </c>
      <c r="Q42" s="26">
        <f>VLOOKUP(A42,'Precios para Valuar'!C:Z,6,FALSE)</f>
        <v>0.11873408176602984</v>
      </c>
      <c r="R42" s="26">
        <f>+Q42+Badlar</f>
        <v>0.47886408176602985</v>
      </c>
      <c r="S42" s="27">
        <f>VLOOKUP(A42,'Precios para Valuar'!C:AC,9,FALSE)</f>
        <v>1.3776685834151892</v>
      </c>
      <c r="T42" s="12">
        <f t="shared" ca="1" si="29"/>
        <v>2.0215984672208368E-2</v>
      </c>
      <c r="U42" s="127"/>
      <c r="V42" s="77" t="str">
        <f>VLOOKUP(A42,'Precios para Valuar'!$C:$T,8,FALSE)</f>
        <v>devengado</v>
      </c>
      <c r="W42" s="77"/>
      <c r="X42" s="77" t="s">
        <v>312</v>
      </c>
      <c r="Y42" s="6"/>
      <c r="Z42" s="125">
        <f t="shared" ca="1" si="30"/>
        <v>9.6807089370531934E-3</v>
      </c>
      <c r="AA42" s="29">
        <f t="shared" ca="1" si="31"/>
        <v>2.785092696570448E-2</v>
      </c>
    </row>
    <row r="43" spans="1:27" s="29" customFormat="1">
      <c r="A43" s="28" t="s">
        <v>58</v>
      </c>
      <c r="B43" s="18" t="str">
        <f>VLOOKUP(A43,'Identidad de Codigos'!A:C,2,FALSE)</f>
        <v>ARTACU5600D7</v>
      </c>
      <c r="C43" s="81">
        <f>VLOOKUP(A43,'Identidad de Codigos'!A:C,3,FALSE)</f>
        <v>51685</v>
      </c>
      <c r="D43" s="18" t="s">
        <v>59</v>
      </c>
      <c r="E43" s="40">
        <v>44039</v>
      </c>
      <c r="F43" s="20" t="s">
        <v>13</v>
      </c>
      <c r="G43" s="20" t="s">
        <v>277</v>
      </c>
      <c r="H43" s="21">
        <f t="shared" si="24"/>
        <v>28000000</v>
      </c>
      <c r="I43" s="21">
        <f t="shared" si="25"/>
        <v>0</v>
      </c>
      <c r="J43" s="101">
        <v>21900000</v>
      </c>
      <c r="K43" s="101">
        <v>6100000</v>
      </c>
      <c r="L43" s="88"/>
      <c r="M43" s="22"/>
      <c r="N43" s="22">
        <f>VLOOKUP(A43,'Precios para Valuar'!$C:$L,5,FALSE)/100</f>
        <v>0.89956998812885747</v>
      </c>
      <c r="O43" s="23">
        <f t="shared" si="26"/>
        <v>25187959.667608008</v>
      </c>
      <c r="P43" s="23">
        <f t="shared" si="27"/>
        <v>683526.72096629592</v>
      </c>
      <c r="Q43" s="26">
        <f>VLOOKUP(A43,'Precios para Valuar'!C:Z,6,FALSE)</f>
        <v>0.16362747733996913</v>
      </c>
      <c r="R43" s="26">
        <f t="shared" si="28"/>
        <v>0.52375747733996914</v>
      </c>
      <c r="S43" s="27">
        <f>VLOOKUP(A43,'Precios para Valuar'!C:AC,9,FALSE)</f>
        <v>1.2184965807939472</v>
      </c>
      <c r="T43" s="12">
        <f t="shared" ca="1" si="29"/>
        <v>5.072055578608123E-3</v>
      </c>
      <c r="U43" s="127"/>
      <c r="V43" s="77" t="str">
        <f>VLOOKUP(A43,'Precios para Valuar'!$C:$T,8,FALSE)</f>
        <v>devengado</v>
      </c>
      <c r="W43" s="77"/>
      <c r="X43" s="77" t="s">
        <v>314</v>
      </c>
      <c r="Y43" s="6"/>
      <c r="Z43" s="125">
        <f t="shared" ca="1" si="30"/>
        <v>2.6565270347799082E-3</v>
      </c>
      <c r="AA43" s="29">
        <f t="shared" ca="1" si="31"/>
        <v>6.180282380130863E-3</v>
      </c>
    </row>
    <row r="44" spans="1:27" s="29" customFormat="1">
      <c r="A44" s="28" t="s">
        <v>61</v>
      </c>
      <c r="B44" s="18" t="str">
        <f>VLOOKUP(A44,'Identidad de Codigos'!A:C,2,FALSE)</f>
        <v>ARTANA5600C8</v>
      </c>
      <c r="C44" s="81">
        <f>VLOOKUP(A44,'Identidad de Codigos'!A:C,3,FALSE)</f>
        <v>51856</v>
      </c>
      <c r="D44" s="18" t="s">
        <v>62</v>
      </c>
      <c r="E44" s="40">
        <v>44102</v>
      </c>
      <c r="F44" s="20" t="s">
        <v>13</v>
      </c>
      <c r="G44" s="20" t="s">
        <v>277</v>
      </c>
      <c r="H44" s="21">
        <f t="shared" si="24"/>
        <v>46463333</v>
      </c>
      <c r="I44" s="21">
        <f t="shared" si="25"/>
        <v>0</v>
      </c>
      <c r="J44" s="101">
        <v>46463333</v>
      </c>
      <c r="K44" s="101"/>
      <c r="L44" s="88"/>
      <c r="M44" s="22"/>
      <c r="N44" s="22">
        <f>VLOOKUP(A44,'Precios para Valuar'!$C:$L,5,FALSE)/100</f>
        <v>0.93039510049041652</v>
      </c>
      <c r="O44" s="23">
        <f t="shared" si="26"/>
        <v>43229257.375654683</v>
      </c>
      <c r="P44" s="23">
        <f t="shared" si="27"/>
        <v>1173114.1757301134</v>
      </c>
      <c r="Q44" s="26">
        <f>VLOOKUP(A44,'Precios para Valuar'!C:Z,6,FALSE)</f>
        <v>0.15643694276371956</v>
      </c>
      <c r="R44" s="26">
        <f t="shared" si="28"/>
        <v>0.51656694276371962</v>
      </c>
      <c r="S44" s="27">
        <f>VLOOKUP(A44,'Precios para Valuar'!C:AC,9,FALSE)</f>
        <v>1.2101932588927984</v>
      </c>
      <c r="T44" s="12">
        <f t="shared" ca="1" si="29"/>
        <v>8.7050002828632442E-3</v>
      </c>
      <c r="U44" s="127"/>
      <c r="V44" s="77" t="str">
        <f>VLOOKUP(A44,'Precios para Valuar'!$C:$T,8,FALSE)</f>
        <v>devengado</v>
      </c>
      <c r="W44" s="77"/>
      <c r="X44" s="77" t="s">
        <v>314</v>
      </c>
      <c r="Y44" s="6"/>
      <c r="Z44" s="125">
        <f t="shared" ca="1" si="30"/>
        <v>4.4967153828759801E-3</v>
      </c>
      <c r="AA44" s="29">
        <f t="shared" ca="1" si="31"/>
        <v>1.0534732660981001E-2</v>
      </c>
    </row>
    <row r="45" spans="1:27" s="29" customFormat="1">
      <c r="A45" s="87" t="s">
        <v>335</v>
      </c>
      <c r="B45" s="18" t="str">
        <f>VLOOKUP(A45,'Identidad de Codigos'!A:C,2,FALSE)</f>
        <v>ARTANA5600J3</v>
      </c>
      <c r="C45" s="81">
        <f>VLOOKUP(A45,'Identidad de Codigos'!A:C,3,FALSE)</f>
        <v>11111</v>
      </c>
      <c r="D45" s="18" t="s">
        <v>337</v>
      </c>
      <c r="E45" s="40">
        <v>44114</v>
      </c>
      <c r="F45" s="20" t="s">
        <v>13</v>
      </c>
      <c r="G45" s="20" t="s">
        <v>277</v>
      </c>
      <c r="H45" s="21">
        <f t="shared" ref="H45" si="49">SUM(J45:K45)</f>
        <v>31000000</v>
      </c>
      <c r="I45" s="21">
        <f t="shared" ref="I45" si="50">H45-SUM(J45:L45)</f>
        <v>0</v>
      </c>
      <c r="J45" s="101">
        <v>28000000</v>
      </c>
      <c r="K45" s="101">
        <v>3000000</v>
      </c>
      <c r="L45" s="101"/>
      <c r="M45" s="22"/>
      <c r="N45" s="22">
        <f>VLOOKUP(A45,'Precios para Valuar'!$C:$L,5,FALSE)/100</f>
        <v>0.80612683418477116</v>
      </c>
      <c r="O45" s="23">
        <f t="shared" ref="O45" si="51">H45*N45</f>
        <v>24989931.859727904</v>
      </c>
      <c r="P45" s="23">
        <f t="shared" si="27"/>
        <v>678152.83201432577</v>
      </c>
      <c r="Q45" s="26">
        <f>VLOOKUP(A45,'Precios para Valuar'!C:Z,6,FALSE)</f>
        <v>0.26238252298326903</v>
      </c>
      <c r="R45" s="26">
        <f t="shared" ref="R45" si="52">+Q45+Badlar</f>
        <v>0.62251252298326909</v>
      </c>
      <c r="S45" s="27">
        <f>VLOOKUP(A45,'Precios para Valuar'!C:AC,9,FALSE)</f>
        <v>1.2705916678702345</v>
      </c>
      <c r="T45" s="12">
        <f t="shared" ca="1" si="29"/>
        <v>5.0321790637600592E-3</v>
      </c>
      <c r="U45" s="127"/>
      <c r="V45" s="77" t="str">
        <f>VLOOKUP(A45,'Precios para Valuar'!$C:$T,8,FALSE)</f>
        <v>devengado</v>
      </c>
      <c r="W45" s="77"/>
      <c r="X45" s="77" t="s">
        <v>314</v>
      </c>
      <c r="Y45" s="6"/>
      <c r="Z45" s="125">
        <f t="shared" ca="1" si="30"/>
        <v>3.1325944850848593E-3</v>
      </c>
      <c r="AA45" s="29">
        <f t="shared" ca="1" si="31"/>
        <v>6.3938447896445686E-3</v>
      </c>
    </row>
    <row r="46" spans="1:27" s="29" customFormat="1">
      <c r="A46" s="45" t="s">
        <v>282</v>
      </c>
      <c r="B46" s="18" t="str">
        <f>VLOOKUP(A46,'Identidad de Codigos'!A:C,2,FALSE)</f>
        <v>ARPSAF560083</v>
      </c>
      <c r="C46" s="81">
        <f>VLOOKUP(A46,'Identidad de Codigos'!A:C,3,FALSE)</f>
        <v>11111</v>
      </c>
      <c r="D46" s="18" t="s">
        <v>291</v>
      </c>
      <c r="E46" s="40">
        <v>43862</v>
      </c>
      <c r="F46" s="20" t="s">
        <v>289</v>
      </c>
      <c r="G46" s="20" t="s">
        <v>277</v>
      </c>
      <c r="H46" s="21">
        <f t="shared" si="24"/>
        <v>18700000</v>
      </c>
      <c r="I46" s="21">
        <f t="shared" ref="I46" si="53">H46-SUM(J46:L46)</f>
        <v>0</v>
      </c>
      <c r="J46" s="101">
        <v>15000000</v>
      </c>
      <c r="K46" s="101">
        <v>3700000</v>
      </c>
      <c r="L46" s="101"/>
      <c r="M46" s="22"/>
      <c r="N46" s="22">
        <f>VLOOKUP(A46,'Precios para Valuar'!$C:$L,5,FALSE)/100</f>
        <v>1.042900274616132</v>
      </c>
      <c r="O46" s="23">
        <f>H46*N46</f>
        <v>19502235.135321669</v>
      </c>
      <c r="P46" s="23">
        <f t="shared" si="27"/>
        <v>529232.97517833568</v>
      </c>
      <c r="Q46" s="26">
        <f>VLOOKUP(A46,'Precios para Valuar'!C:Z,6,FALSE)</f>
        <v>8.6785135075589381E-3</v>
      </c>
      <c r="R46" s="26">
        <f t="shared" ref="R46" si="54">+Q46+Badlar</f>
        <v>0.36880851350755894</v>
      </c>
      <c r="S46" s="27">
        <f>VLOOKUP(A46,'Precios para Valuar'!C:AC,9,FALSE)</f>
        <v>0.94486346289056378</v>
      </c>
      <c r="T46" s="12">
        <f t="shared" ca="1" si="29"/>
        <v>3.9271311300630362E-3</v>
      </c>
      <c r="U46" s="127"/>
      <c r="V46" s="77" t="str">
        <f>VLOOKUP(A46,'Precios para Valuar'!$C:$T,8,FALSE)</f>
        <v>devengado</v>
      </c>
      <c r="W46" s="77"/>
      <c r="X46" s="77"/>
      <c r="Y46" s="6"/>
      <c r="Z46" s="125">
        <f t="shared" ca="1" si="30"/>
        <v>1.4483593944278085E-3</v>
      </c>
      <c r="AA46" s="29">
        <f t="shared" ca="1" si="31"/>
        <v>3.7106027187766935E-3</v>
      </c>
    </row>
    <row r="47" spans="1:27" s="29" customFormat="1">
      <c r="A47" s="28" t="s">
        <v>363</v>
      </c>
      <c r="B47" s="18" t="e">
        <f>VLOOKUP(A47,'Identidad de Codigos'!A:C,2,FALSE)</f>
        <v>#N/A</v>
      </c>
      <c r="C47" s="81" t="e">
        <f>VLOOKUP(A47,'Identidad de Codigos'!A:C,3,FALSE)</f>
        <v>#N/A</v>
      </c>
      <c r="D47" s="18" t="s">
        <v>63</v>
      </c>
      <c r="E47" s="40">
        <v>43766</v>
      </c>
      <c r="F47" s="20" t="s">
        <v>13</v>
      </c>
      <c r="G47" s="20" t="s">
        <v>277</v>
      </c>
      <c r="H47" s="21">
        <f t="shared" si="24"/>
        <v>26277777</v>
      </c>
      <c r="I47" s="21">
        <f t="shared" si="25"/>
        <v>0</v>
      </c>
      <c r="J47" s="101">
        <v>26277777</v>
      </c>
      <c r="K47" s="101"/>
      <c r="L47" s="88"/>
      <c r="M47" s="22"/>
      <c r="N47" s="22">
        <f>VLOOKUP(A47,'Precios para Valuar'!$C:$L,5,FALSE)/100</f>
        <v>0.95052995193350254</v>
      </c>
      <c r="O47" s="23">
        <f t="shared" si="26"/>
        <v>24977814.108729299</v>
      </c>
      <c r="P47" s="23">
        <f t="shared" si="27"/>
        <v>677823.99209577474</v>
      </c>
      <c r="Q47" s="26">
        <f>VLOOKUP(A47,'Precios para Valuar'!C:Z,6,FALSE)</f>
        <v>0.17328492599898465</v>
      </c>
      <c r="R47" s="26">
        <f t="shared" si="28"/>
        <v>0.53341492599898466</v>
      </c>
      <c r="S47" s="27">
        <f>VLOOKUP(A47,'Precios para Valuar'!C:AC,9,FALSE)</f>
        <v>0.69417599757452553</v>
      </c>
      <c r="T47" s="12">
        <f t="shared" ca="1" si="29"/>
        <v>5.029738933342044E-3</v>
      </c>
      <c r="U47" s="127"/>
      <c r="V47" s="77" t="str">
        <f>VLOOKUP(A47,'Precios para Valuar'!$C:$T,8,FALSE)</f>
        <v>devengado</v>
      </c>
      <c r="W47" s="77"/>
      <c r="X47" s="77" t="s">
        <v>309</v>
      </c>
      <c r="Y47" s="6"/>
      <c r="Z47" s="125">
        <f t="shared" ca="1" si="30"/>
        <v>2.6829378209228586E-3</v>
      </c>
      <c r="AA47" s="29">
        <f t="shared" ca="1" si="31"/>
        <v>3.4915240415921435E-3</v>
      </c>
    </row>
    <row r="48" spans="1:27" s="29" customFormat="1">
      <c r="A48" s="28" t="s">
        <v>64</v>
      </c>
      <c r="B48" s="18" t="str">
        <f>VLOOKUP(A48,'Identidad de Codigos'!A:C,2,FALSE)</f>
        <v>ARROMB5600B5</v>
      </c>
      <c r="C48" s="81">
        <f>VLOOKUP(A48,'Identidad de Codigos'!A:C,3,FALSE)</f>
        <v>52186</v>
      </c>
      <c r="D48" s="18" t="s">
        <v>65</v>
      </c>
      <c r="E48" s="76">
        <v>43495</v>
      </c>
      <c r="F48" s="20" t="s">
        <v>13</v>
      </c>
      <c r="G48" s="20" t="s">
        <v>277</v>
      </c>
      <c r="H48" s="21">
        <f t="shared" si="24"/>
        <v>4900000</v>
      </c>
      <c r="I48" s="21">
        <f t="shared" si="25"/>
        <v>0</v>
      </c>
      <c r="J48" s="101">
        <v>4900000</v>
      </c>
      <c r="K48" s="101"/>
      <c r="L48" s="88"/>
      <c r="M48" s="22"/>
      <c r="N48" s="22">
        <f>VLOOKUP(A48,'Precios para Valuar'!$C:$L,5,FALSE)/100</f>
        <v>1.0116333140878979</v>
      </c>
      <c r="O48" s="23">
        <f t="shared" si="26"/>
        <v>4957003.2390307002</v>
      </c>
      <c r="P48" s="23">
        <f t="shared" si="27"/>
        <v>134518.40540110448</v>
      </c>
      <c r="Q48" s="26">
        <f>VLOOKUP(A48,'Precios para Valuar'!C:Z,6,FALSE)</f>
        <v>0.13552236016536101</v>
      </c>
      <c r="R48" s="26">
        <f t="shared" si="28"/>
        <v>0.49565236016536102</v>
      </c>
      <c r="S48" s="27">
        <f>VLOOKUP(A48,'Precios para Valuar'!C:AC,9,FALSE)</f>
        <v>0.23382470881483766</v>
      </c>
      <c r="T48" s="12">
        <f t="shared" ca="1" si="29"/>
        <v>9.9818311064065021E-4</v>
      </c>
      <c r="U48" s="127"/>
      <c r="V48" s="77" t="str">
        <f>VLOOKUP(A48,'Precios para Valuar'!$C:$T,8,FALSE)</f>
        <v>devengado</v>
      </c>
      <c r="W48" s="77"/>
      <c r="X48" s="77" t="s">
        <v>309</v>
      </c>
      <c r="Y48" s="6"/>
      <c r="Z48" s="125">
        <f t="shared" ca="1" si="30"/>
        <v>4.9475181466623994E-4</v>
      </c>
      <c r="AA48" s="29">
        <f t="shared" ca="1" si="31"/>
        <v>2.3339987518943892E-4</v>
      </c>
    </row>
    <row r="49" spans="1:27" s="29" customFormat="1">
      <c r="A49" s="28" t="s">
        <v>67</v>
      </c>
      <c r="B49" s="18" t="str">
        <f>VLOOKUP(A49,'Identidad de Codigos'!A:C,2,FALSE)</f>
        <v>ARROMB560069</v>
      </c>
      <c r="C49" s="81">
        <f>VLOOKUP(A49,'Identidad de Codigos'!A:C,3,FALSE)</f>
        <v>51769</v>
      </c>
      <c r="D49" s="18" t="s">
        <v>65</v>
      </c>
      <c r="E49" s="40">
        <v>43696</v>
      </c>
      <c r="F49" s="20" t="s">
        <v>13</v>
      </c>
      <c r="G49" s="20" t="s">
        <v>277</v>
      </c>
      <c r="H49" s="21">
        <f t="shared" si="24"/>
        <v>10821428</v>
      </c>
      <c r="I49" s="21">
        <f t="shared" si="25"/>
        <v>0</v>
      </c>
      <c r="J49" s="101">
        <v>10821428</v>
      </c>
      <c r="K49" s="101"/>
      <c r="L49" s="88"/>
      <c r="M49" s="22"/>
      <c r="N49" s="22">
        <f>VLOOKUP(A49,'Precios para Valuar'!$C:$L,5,FALSE)/100</f>
        <v>1.0162912778290032</v>
      </c>
      <c r="O49" s="23">
        <f t="shared" si="26"/>
        <v>10997722.890054554</v>
      </c>
      <c r="P49" s="23">
        <f t="shared" si="27"/>
        <v>298445.66865819681</v>
      </c>
      <c r="Q49" s="26">
        <f>VLOOKUP(A49,'Precios para Valuar'!C:Z,6,FALSE)</f>
        <v>3.2399999999999998E-2</v>
      </c>
      <c r="R49" s="26">
        <f t="shared" si="28"/>
        <v>0.39252999999999999</v>
      </c>
      <c r="S49" s="27">
        <f>VLOOKUP(A49,'Precios para Valuar'!C:AC,9,FALSE)</f>
        <v>0.56960922494611677</v>
      </c>
      <c r="T49" s="12">
        <f t="shared" ca="1" si="29"/>
        <v>2.2145923080948279E-3</v>
      </c>
      <c r="U49" s="127"/>
      <c r="V49" s="77" t="str">
        <f>VLOOKUP(A49,'Precios para Valuar'!$C:$T,8,FALSE)</f>
        <v>VT</v>
      </c>
      <c r="W49" s="77"/>
      <c r="X49" s="77" t="s">
        <v>309</v>
      </c>
      <c r="Y49" s="6"/>
      <c r="Z49" s="125">
        <f t="shared" ca="1" si="30"/>
        <v>8.692939186964628E-4</v>
      </c>
      <c r="AA49" s="29">
        <f t="shared" ca="1" si="31"/>
        <v>1.2614522081855267E-3</v>
      </c>
    </row>
    <row r="50" spans="1:27" s="29" customFormat="1">
      <c r="A50" s="28" t="s">
        <v>369</v>
      </c>
      <c r="B50" s="18" t="str">
        <f>VLOOKUP(A50,'Identidad de Codigos'!A:C,2,FALSE)</f>
        <v>ARARCS560050</v>
      </c>
      <c r="C50" s="81">
        <f>VLOOKUP(A50,'Identidad de Codigos'!A:C,3,FALSE)</f>
        <v>52407</v>
      </c>
      <c r="D50" s="18" t="s">
        <v>69</v>
      </c>
      <c r="E50" s="76">
        <v>44319</v>
      </c>
      <c r="F50" s="20" t="s">
        <v>13</v>
      </c>
      <c r="G50" s="20" t="s">
        <v>277</v>
      </c>
      <c r="H50" s="21">
        <f t="shared" si="24"/>
        <v>95735000</v>
      </c>
      <c r="I50" s="21">
        <f t="shared" si="25"/>
        <v>0</v>
      </c>
      <c r="J50" s="101">
        <v>88735000</v>
      </c>
      <c r="K50" s="101">
        <v>7000000</v>
      </c>
      <c r="L50" s="88"/>
      <c r="M50" s="22"/>
      <c r="N50" s="22">
        <f>VLOOKUP(A50,'Precios para Valuar'!$C:$L,5,FALSE)/100</f>
        <v>0.86228270555536712</v>
      </c>
      <c r="O50" s="23">
        <f t="shared" si="26"/>
        <v>82550634.816343069</v>
      </c>
      <c r="P50" s="23">
        <f t="shared" si="27"/>
        <v>2240180.0492901783</v>
      </c>
      <c r="Q50" s="26">
        <f>VLOOKUP(A50,'Precios para Valuar'!C:Z,6,FALSE)</f>
        <v>0.15247398300616349</v>
      </c>
      <c r="R50" s="26">
        <f t="shared" si="28"/>
        <v>0.5126039830061635</v>
      </c>
      <c r="S50" s="27">
        <f>VLOOKUP(A50,'Precios para Valuar'!C:AC,9,FALSE)</f>
        <v>1.5076587462217828</v>
      </c>
      <c r="T50" s="12">
        <f t="shared" ca="1" si="29"/>
        <v>1.6623077587992544E-2</v>
      </c>
      <c r="U50" s="127"/>
      <c r="V50" s="77" t="str">
        <f>VLOOKUP(A50,'Precios para Valuar'!$C:$T,8,FALSE)</f>
        <v>devengado</v>
      </c>
      <c r="W50" s="77"/>
      <c r="X50" s="77" t="s">
        <v>312</v>
      </c>
      <c r="Y50" s="6"/>
      <c r="Z50" s="125">
        <f t="shared" ca="1" si="30"/>
        <v>8.5210557814254673E-3</v>
      </c>
      <c r="AA50" s="29">
        <f t="shared" ca="1" si="31"/>
        <v>2.5061928314660253E-2</v>
      </c>
    </row>
    <row r="51" spans="1:27" s="29" customFormat="1">
      <c r="A51" s="28" t="s">
        <v>70</v>
      </c>
      <c r="B51" s="18" t="str">
        <f>VLOOKUP(A51,'Identidad de Codigos'!A:C,2,FALSE)</f>
        <v>ARTACU5600F2</v>
      </c>
      <c r="C51" s="81">
        <f>VLOOKUP(A51,'Identidad de Codigos'!A:C,3,FALSE)</f>
        <v>51916</v>
      </c>
      <c r="D51" s="18" t="s">
        <v>71</v>
      </c>
      <c r="E51" s="76">
        <v>44130</v>
      </c>
      <c r="F51" s="20" t="s">
        <v>13</v>
      </c>
      <c r="G51" s="20" t="s">
        <v>277</v>
      </c>
      <c r="H51" s="21">
        <f t="shared" si="24"/>
        <v>35023666</v>
      </c>
      <c r="I51" s="21">
        <f t="shared" si="25"/>
        <v>0</v>
      </c>
      <c r="J51" s="101">
        <v>35023666</v>
      </c>
      <c r="K51" s="101"/>
      <c r="L51" s="88"/>
      <c r="M51" s="22"/>
      <c r="N51" s="22">
        <f>VLOOKUP(A51,'Precios para Valuar'!$C:$L,5,FALSE)/100</f>
        <v>0.89813755771974324</v>
      </c>
      <c r="O51" s="23">
        <f t="shared" si="26"/>
        <v>31456069.843632009</v>
      </c>
      <c r="P51" s="23">
        <f t="shared" si="27"/>
        <v>853624.69046491198</v>
      </c>
      <c r="Q51" s="26">
        <f>VLOOKUP(A51,'Precios para Valuar'!C:Z,6,FALSE)</f>
        <v>0.1581247491952506</v>
      </c>
      <c r="R51" s="26">
        <f t="shared" si="28"/>
        <v>0.51825474919525061</v>
      </c>
      <c r="S51" s="27">
        <f>VLOOKUP(A51,'Precios para Valuar'!C:AC,9,FALSE)</f>
        <v>1.3147950570722984</v>
      </c>
      <c r="T51" s="12">
        <f t="shared" ca="1" si="29"/>
        <v>6.3342540101276879E-3</v>
      </c>
      <c r="U51" s="127"/>
      <c r="V51" s="77" t="str">
        <f>VLOOKUP(A51,'Precios para Valuar'!$C:$T,8,FALSE)</f>
        <v>devengado</v>
      </c>
      <c r="W51" s="77"/>
      <c r="X51" s="77" t="s">
        <v>314</v>
      </c>
      <c r="Y51" s="6"/>
      <c r="Z51" s="125">
        <f t="shared" ca="1" si="30"/>
        <v>3.2827572233577354E-3</v>
      </c>
      <c r="AA51" s="29">
        <f t="shared" ca="1" si="31"/>
        <v>8.3282458627562689E-3</v>
      </c>
    </row>
    <row r="52" spans="1:27" s="29" customFormat="1">
      <c r="A52" s="45" t="s">
        <v>73</v>
      </c>
      <c r="B52" s="18" t="str">
        <f>VLOOKUP(A52,'Identidad de Codigos'!A:C,2,FALSE)</f>
        <v>ARTCFA5600E6</v>
      </c>
      <c r="C52" s="81">
        <f>VLOOKUP(A52,'Identidad de Codigos'!A:C,3,FALSE)</f>
        <v>51863</v>
      </c>
      <c r="D52" s="18" t="s">
        <v>74</v>
      </c>
      <c r="E52" s="40">
        <v>43371</v>
      </c>
      <c r="F52" s="20" t="s">
        <v>13</v>
      </c>
      <c r="G52" s="20" t="s">
        <v>277</v>
      </c>
      <c r="H52" s="21">
        <f t="shared" si="24"/>
        <v>8500000</v>
      </c>
      <c r="I52" s="21">
        <f t="shared" si="25"/>
        <v>0</v>
      </c>
      <c r="J52" s="101">
        <v>8500000</v>
      </c>
      <c r="K52" s="101"/>
      <c r="L52" s="88"/>
      <c r="M52" s="22"/>
      <c r="N52" s="22">
        <f>VLOOKUP(A52,'Precios para Valuar'!$C:$L,5,FALSE)/100</f>
        <v>0.35626617438817582</v>
      </c>
      <c r="O52" s="23">
        <f t="shared" si="26"/>
        <v>3028262.4822994946</v>
      </c>
      <c r="P52" s="23">
        <f t="shared" si="27"/>
        <v>82178.086358195229</v>
      </c>
      <c r="Q52" s="26">
        <f>VLOOKUP(A52,'Precios para Valuar'!C:Z,6,FALSE)</f>
        <v>3.6517997107349681E-2</v>
      </c>
      <c r="R52" s="26">
        <f t="shared" si="28"/>
        <v>0.39664799710734966</v>
      </c>
      <c r="S52" s="27">
        <f>VLOOKUP(A52,'Precios para Valuar'!C:AC,9,FALSE)</f>
        <v>3.0987965708952525</v>
      </c>
      <c r="T52" s="12">
        <f t="shared" ca="1" si="29"/>
        <v>6.0979594296354774E-4</v>
      </c>
      <c r="U52" s="127"/>
      <c r="V52" s="77" t="str">
        <f>VLOOKUP(A52,'Precios para Valuar'!$C:$T,8,FALSE)</f>
        <v>devengado</v>
      </c>
      <c r="W52" s="77"/>
      <c r="X52" s="77" t="s">
        <v>310</v>
      </c>
      <c r="Z52" s="125">
        <f t="shared" ca="1" si="30"/>
        <v>2.4187433942067884E-4</v>
      </c>
      <c r="AA52" s="29">
        <f t="shared" ca="1" si="31"/>
        <v>1.8896335770012787E-3</v>
      </c>
    </row>
    <row r="53" spans="1:27" s="29" customFormat="1">
      <c r="A53" s="31" t="s">
        <v>30</v>
      </c>
      <c r="B53" s="18"/>
      <c r="C53" s="18"/>
      <c r="D53" s="18"/>
      <c r="E53" s="40"/>
      <c r="F53" s="20"/>
      <c r="G53" s="20"/>
      <c r="H53" s="21"/>
      <c r="I53" s="21"/>
      <c r="J53" s="88"/>
      <c r="K53" s="88"/>
      <c r="L53" s="88"/>
      <c r="M53" s="22"/>
      <c r="N53" s="22"/>
      <c r="O53" s="23"/>
      <c r="P53" s="23"/>
      <c r="Q53" s="26"/>
      <c r="R53" s="26"/>
      <c r="S53" s="27"/>
      <c r="T53" s="12"/>
      <c r="U53" s="23"/>
      <c r="V53" s="77"/>
      <c r="W53" s="77"/>
      <c r="X53" s="77"/>
    </row>
    <row r="54" spans="1:27" s="29" customFormat="1">
      <c r="A54" s="45" t="s">
        <v>46</v>
      </c>
      <c r="B54" s="18" t="str">
        <f>VLOOKUP(A54,'Identidad de Codigos'!A:C,2,FALSE)</f>
        <v>ARBHIP5600P1</v>
      </c>
      <c r="C54" s="81">
        <f>VLOOKUP(A54,'Identidad de Codigos'!A:C,3,FALSE)</f>
        <v>52435</v>
      </c>
      <c r="D54" s="18" t="s">
        <v>76</v>
      </c>
      <c r="E54" s="40">
        <v>43959</v>
      </c>
      <c r="F54" s="20" t="s">
        <v>33</v>
      </c>
      <c r="G54" s="20" t="s">
        <v>274</v>
      </c>
      <c r="H54" s="21">
        <f t="shared" si="24"/>
        <v>3276500</v>
      </c>
      <c r="I54" s="21">
        <f>H54-SUM(J54:L54)</f>
        <v>0</v>
      </c>
      <c r="J54" s="101">
        <v>3276500</v>
      </c>
      <c r="K54" s="101"/>
      <c r="L54" s="101"/>
      <c r="M54" s="22"/>
      <c r="N54" s="22">
        <f>VLOOKUP(A54,'Precios para Valuar'!$C:$L,5,FALSE)/100</f>
        <v>23.780441307316725</v>
      </c>
      <c r="O54" s="23">
        <f>H54*N54/100</f>
        <v>779166.1594342324</v>
      </c>
      <c r="P54" s="23">
        <f>O54/$N$109</f>
        <v>21144.264842177268</v>
      </c>
      <c r="Q54" s="26">
        <f>VLOOKUP(A54,'Precios para Valuar'!C:Z,6,FALSE)</f>
        <v>7.9107328944986399E-2</v>
      </c>
      <c r="R54" s="26">
        <f>+Q54+CER</f>
        <v>0.3941073289449864</v>
      </c>
      <c r="S54" s="27">
        <f>VLOOKUP(A54,'Precios para Valuar'!C:AC,9,FALSE)</f>
        <v>1.5812721791868323</v>
      </c>
      <c r="T54" s="12">
        <f ca="1">O54/$O$113</f>
        <v>1.5689933276744709E-4</v>
      </c>
      <c r="U54" s="127"/>
      <c r="V54" s="77" t="str">
        <f>VLOOKUP(A54,'Precios para Valuar'!$C:$T,8,FALSE)</f>
        <v>devengado</v>
      </c>
      <c r="W54" s="77"/>
      <c r="X54" s="77" t="s">
        <v>309</v>
      </c>
      <c r="Z54" s="125">
        <f ca="1">R54*T54</f>
        <v>6.1835176950229148E-5</v>
      </c>
      <c r="AA54" s="29">
        <f ca="1">S54*T54</f>
        <v>2.4810054983814101E-4</v>
      </c>
    </row>
    <row r="55" spans="1:27" s="29" customFormat="1">
      <c r="A55" s="45" t="s">
        <v>281</v>
      </c>
      <c r="B55" s="18" t="str">
        <f>VLOOKUP(A55,'Identidad de Codigos'!A:C,2,FALSE)</f>
        <v>ARBBOS560053</v>
      </c>
      <c r="C55" s="81">
        <f>VLOOKUP(A55,'Identidad de Codigos'!A:C,3,FALSE)</f>
        <v>11111</v>
      </c>
      <c r="D55" s="18" t="s">
        <v>76</v>
      </c>
      <c r="E55" s="40">
        <v>43959</v>
      </c>
      <c r="F55" s="20" t="s">
        <v>33</v>
      </c>
      <c r="G55" s="20" t="s">
        <v>274</v>
      </c>
      <c r="H55" s="21">
        <f t="shared" si="24"/>
        <v>1270795</v>
      </c>
      <c r="I55" s="21">
        <f>H55-SUM(J55:L55)</f>
        <v>0</v>
      </c>
      <c r="J55" s="101">
        <v>1155268</v>
      </c>
      <c r="K55" s="101">
        <v>115527</v>
      </c>
      <c r="L55" s="88"/>
      <c r="M55" s="22"/>
      <c r="N55" s="22">
        <f>VLOOKUP(A55,'Precios para Valuar'!$C:$L,5,FALSE)/100</f>
        <v>25.918789868554033</v>
      </c>
      <c r="O55" s="23">
        <f>H55*N55/100</f>
        <v>329374.6857100912</v>
      </c>
      <c r="P55" s="23">
        <f>O55/$N$109</f>
        <v>8938.2547004095304</v>
      </c>
      <c r="Q55" s="26">
        <f>VLOOKUP(A55,'Precios para Valuar'!C:Z,6,FALSE)</f>
        <v>3.5694337054590797E-2</v>
      </c>
      <c r="R55" s="26">
        <f>+Q55+CER</f>
        <v>0.3506943370545908</v>
      </c>
      <c r="S55" s="27">
        <f>VLOOKUP(A55,'Precios para Valuar'!C:AC,9,FALSE)</f>
        <v>1.3297193231065696</v>
      </c>
      <c r="T55" s="12">
        <f ca="1">O55/$O$113</f>
        <v>6.6325606923080152E-5</v>
      </c>
      <c r="U55" s="127"/>
      <c r="V55" s="77" t="str">
        <f>VLOOKUP(A55,'Precios para Valuar'!$C:$T,8,FALSE)</f>
        <v>devengado</v>
      </c>
      <c r="W55" s="77"/>
      <c r="X55" s="77"/>
      <c r="Y55" s="6"/>
      <c r="Z55" s="125">
        <f ca="1">R55*T55</f>
        <v>2.3260014749632973E-5</v>
      </c>
      <c r="AA55" s="29">
        <f ca="1">S55*T55</f>
        <v>8.8194441142390551E-5</v>
      </c>
    </row>
    <row r="56" spans="1:27" s="29" customFormat="1" ht="15" customHeight="1">
      <c r="A56" s="46" t="s">
        <v>77</v>
      </c>
      <c r="B56" s="32"/>
      <c r="C56" s="32"/>
      <c r="D56" s="32"/>
      <c r="E56" s="33"/>
      <c r="F56" s="32"/>
      <c r="G56" s="32"/>
      <c r="H56" s="34"/>
      <c r="I56" s="34"/>
      <c r="J56" s="34"/>
      <c r="K56" s="34"/>
      <c r="L56" s="34"/>
      <c r="M56" s="35"/>
      <c r="N56" s="35"/>
      <c r="O56" s="47"/>
      <c r="P56" s="47"/>
      <c r="Q56" s="48"/>
      <c r="R56" s="48"/>
      <c r="S56" s="49"/>
      <c r="T56" s="50"/>
      <c r="U56" s="23"/>
      <c r="V56" s="77"/>
      <c r="W56" s="77"/>
      <c r="X56" s="77"/>
    </row>
    <row r="57" spans="1:27" s="29" customFormat="1" ht="15" customHeight="1">
      <c r="A57" s="45" t="s">
        <v>368</v>
      </c>
      <c r="B57" s="144"/>
      <c r="C57" s="144"/>
      <c r="D57" s="144">
        <v>0.25900000000000001</v>
      </c>
      <c r="E57" s="40">
        <v>43543</v>
      </c>
      <c r="F57" s="20" t="s">
        <v>78</v>
      </c>
      <c r="G57" s="20" t="s">
        <v>77</v>
      </c>
      <c r="H57" s="21">
        <v>65000000</v>
      </c>
      <c r="I57" s="21"/>
      <c r="J57" s="93">
        <v>43181</v>
      </c>
      <c r="K57" s="101"/>
      <c r="L57" s="101"/>
      <c r="M57" s="22"/>
      <c r="N57" s="22"/>
      <c r="O57" s="23">
        <f>H57*(1+D57/365*("31/08/2018"-J57))</f>
        <v>72471972.602739736</v>
      </c>
      <c r="P57" s="23">
        <f t="shared" ref="P57:P64" si="55">O57/$N$109</f>
        <v>1966674.9688667499</v>
      </c>
      <c r="Q57" s="51">
        <f t="shared" ref="Q57:Q78" si="56">+D57</f>
        <v>0.25900000000000001</v>
      </c>
      <c r="R57" s="51">
        <f t="shared" ref="R57:R68" si="57">+Q57</f>
        <v>0.25900000000000001</v>
      </c>
      <c r="S57" s="27">
        <f>((E57-"31/08/2018")/365)/(1+Q57)</f>
        <v>0.43522256193761083</v>
      </c>
      <c r="T57" s="143">
        <f t="shared" ref="T57:T64" ca="1" si="58">O57/$O$113</f>
        <v>1.4593554927959308E-2</v>
      </c>
      <c r="U57" s="23"/>
      <c r="V57" s="145" t="s">
        <v>266</v>
      </c>
      <c r="W57" s="145"/>
      <c r="X57" s="145"/>
      <c r="Z57" s="125">
        <f t="shared" ref="Z57:Z78" ca="1" si="59">R57*T57</f>
        <v>3.7797307263414607E-3</v>
      </c>
      <c r="AA57" s="29">
        <f t="shared" ref="AA57:AA78" ca="1" si="60">S57*T57</f>
        <v>6.3514443635236959E-3</v>
      </c>
    </row>
    <row r="58" spans="1:27" s="29" customFormat="1" ht="15" customHeight="1">
      <c r="A58" s="45" t="s">
        <v>175</v>
      </c>
      <c r="B58" s="144"/>
      <c r="C58" s="144"/>
      <c r="D58" s="144">
        <v>0.33</v>
      </c>
      <c r="E58" s="40">
        <v>43367</v>
      </c>
      <c r="F58" s="20" t="s">
        <v>78</v>
      </c>
      <c r="G58" s="20" t="s">
        <v>77</v>
      </c>
      <c r="H58" s="21">
        <v>50000000</v>
      </c>
      <c r="I58" s="21"/>
      <c r="J58" s="93">
        <v>43244</v>
      </c>
      <c r="K58" s="101"/>
      <c r="L58" s="101"/>
      <c r="M58" s="22"/>
      <c r="N58" s="22"/>
      <c r="O58" s="23">
        <f t="shared" ref="O58:O78" si="61">H58*(1+D58/365*("31/08/2018"-J58))</f>
        <v>54475342.465753429</v>
      </c>
      <c r="P58" s="23">
        <f t="shared" si="55"/>
        <v>1478299.6598576235</v>
      </c>
      <c r="Q58" s="51">
        <f t="shared" si="56"/>
        <v>0.33</v>
      </c>
      <c r="R58" s="51">
        <f t="shared" si="57"/>
        <v>0.33</v>
      </c>
      <c r="S58" s="27">
        <f t="shared" ref="S58:S78" si="62">((E58-"31/08/2018")/365)/(1+Q58)</f>
        <v>4.9438665156040777E-2</v>
      </c>
      <c r="T58" s="143">
        <f t="shared" ca="1" si="58"/>
        <v>1.0969604854709214E-2</v>
      </c>
      <c r="U58" s="23"/>
      <c r="V58" s="145" t="s">
        <v>266</v>
      </c>
      <c r="W58" s="145"/>
      <c r="X58" s="145"/>
      <c r="Z58" s="125">
        <f t="shared" ca="1" si="59"/>
        <v>3.619969602054041E-3</v>
      </c>
      <c r="AA58" s="29">
        <f t="shared" ca="1" si="60"/>
        <v>5.423226213060482E-4</v>
      </c>
    </row>
    <row r="59" spans="1:27" s="29" customFormat="1" ht="15" customHeight="1">
      <c r="A59" s="45" t="s">
        <v>175</v>
      </c>
      <c r="B59" s="144"/>
      <c r="C59" s="144"/>
      <c r="D59" s="144">
        <v>0.35</v>
      </c>
      <c r="E59" s="40">
        <v>43349</v>
      </c>
      <c r="F59" s="20" t="s">
        <v>78</v>
      </c>
      <c r="G59" s="20" t="s">
        <v>77</v>
      </c>
      <c r="H59" s="21">
        <v>10151534.6</v>
      </c>
      <c r="I59" s="21"/>
      <c r="J59" s="93">
        <v>43230</v>
      </c>
      <c r="K59" s="101"/>
      <c r="L59" s="101"/>
      <c r="M59" s="22"/>
      <c r="N59" s="22"/>
      <c r="O59" s="23">
        <f t="shared" si="61"/>
        <v>11251515.951863013</v>
      </c>
      <c r="P59" s="23">
        <f t="shared" si="55"/>
        <v>305332.86165164213</v>
      </c>
      <c r="Q59" s="51">
        <f t="shared" ref="Q59:Q60" si="63">+D59</f>
        <v>0.35</v>
      </c>
      <c r="R59" s="51">
        <f t="shared" ref="R59:R60" si="64">+Q59</f>
        <v>0.35</v>
      </c>
      <c r="S59" s="27">
        <f t="shared" si="62"/>
        <v>1.2176560121765599E-2</v>
      </c>
      <c r="T59" s="143">
        <f t="shared" ca="1" si="58"/>
        <v>2.2656981750227099E-3</v>
      </c>
      <c r="U59" s="23"/>
      <c r="V59" s="145" t="s">
        <v>266</v>
      </c>
      <c r="W59" s="145"/>
      <c r="X59" s="145"/>
      <c r="Z59" s="125">
        <f t="shared" ref="Z59:Z60" ca="1" si="65">R59*T59</f>
        <v>7.9299436125794846E-4</v>
      </c>
      <c r="AA59" s="29">
        <f t="shared" ref="AA59:AA60" ca="1" si="66">S59*T59</f>
        <v>2.7588410045938624E-5</v>
      </c>
    </row>
    <row r="60" spans="1:27" s="29" customFormat="1" ht="15" customHeight="1">
      <c r="A60" s="45" t="s">
        <v>175</v>
      </c>
      <c r="B60" s="144"/>
      <c r="C60" s="144"/>
      <c r="D60" s="144">
        <v>0.26</v>
      </c>
      <c r="E60" s="40">
        <v>43389</v>
      </c>
      <c r="F60" s="20" t="s">
        <v>78</v>
      </c>
      <c r="G60" s="20" t="s">
        <v>77</v>
      </c>
      <c r="H60" s="21">
        <v>120000000</v>
      </c>
      <c r="I60" s="21"/>
      <c r="J60" s="93">
        <v>43209</v>
      </c>
      <c r="K60" s="101"/>
      <c r="L60" s="101"/>
      <c r="M60" s="22"/>
      <c r="N60" s="22"/>
      <c r="O60" s="23">
        <f t="shared" si="61"/>
        <v>131454246.57534246</v>
      </c>
      <c r="P60" s="23">
        <f t="shared" si="55"/>
        <v>3567279.4185981671</v>
      </c>
      <c r="Q60" s="51">
        <f t="shared" si="63"/>
        <v>0.26</v>
      </c>
      <c r="R60" s="51">
        <f t="shared" si="64"/>
        <v>0.26</v>
      </c>
      <c r="S60" s="27">
        <f t="shared" si="62"/>
        <v>0.1000217438573603</v>
      </c>
      <c r="T60" s="143">
        <f t="shared" ca="1" si="58"/>
        <v>2.6470712732307278E-2</v>
      </c>
      <c r="U60" s="87"/>
      <c r="V60" s="145" t="s">
        <v>266</v>
      </c>
      <c r="W60" s="145"/>
      <c r="X60" s="145"/>
      <c r="Z60" s="125">
        <f t="shared" ca="1" si="65"/>
        <v>6.8823853103998928E-3</v>
      </c>
      <c r="AA60" s="29">
        <f t="shared" ca="1" si="66"/>
        <v>2.6476468486326048E-3</v>
      </c>
    </row>
    <row r="61" spans="1:27" s="29" customFormat="1" ht="15" customHeight="1">
      <c r="A61" s="45" t="s">
        <v>175</v>
      </c>
      <c r="B61" s="144"/>
      <c r="C61" s="144"/>
      <c r="D61" s="144">
        <v>0.34</v>
      </c>
      <c r="E61" s="40">
        <v>43354</v>
      </c>
      <c r="F61" s="20" t="s">
        <v>78</v>
      </c>
      <c r="G61" s="20" t="s">
        <v>77</v>
      </c>
      <c r="H61" s="21">
        <v>52400000</v>
      </c>
      <c r="I61" s="21"/>
      <c r="J61" s="93">
        <v>43234</v>
      </c>
      <c r="K61" s="101"/>
      <c r="L61" s="101"/>
      <c r="M61" s="22"/>
      <c r="N61" s="22"/>
      <c r="O61" s="23">
        <f t="shared" si="61"/>
        <v>57720394.520547941</v>
      </c>
      <c r="P61" s="23">
        <f t="shared" si="55"/>
        <v>1566360.7739633091</v>
      </c>
      <c r="Q61" s="51">
        <f t="shared" si="56"/>
        <v>0.34</v>
      </c>
      <c r="R61" s="51">
        <f t="shared" si="57"/>
        <v>0.34</v>
      </c>
      <c r="S61" s="27">
        <f t="shared" si="62"/>
        <v>2.2490288284604375E-2</v>
      </c>
      <c r="T61" s="143">
        <f t="shared" ca="1" si="58"/>
        <v>1.1623055336391571E-2</v>
      </c>
      <c r="U61" s="87"/>
      <c r="V61" s="145" t="s">
        <v>266</v>
      </c>
      <c r="W61" s="145"/>
      <c r="X61" s="145"/>
      <c r="Z61" s="125">
        <f t="shared" ca="1" si="59"/>
        <v>3.9518388143731341E-3</v>
      </c>
      <c r="AA61" s="29">
        <f t="shared" ca="1" si="60"/>
        <v>2.6140586526335574E-4</v>
      </c>
    </row>
    <row r="62" spans="1:27" s="29" customFormat="1" ht="15" customHeight="1">
      <c r="A62" s="45" t="s">
        <v>263</v>
      </c>
      <c r="B62" s="144"/>
      <c r="C62" s="144"/>
      <c r="D62" s="144">
        <v>0.375</v>
      </c>
      <c r="E62" s="40">
        <v>43367</v>
      </c>
      <c r="F62" s="20" t="s">
        <v>78</v>
      </c>
      <c r="G62" s="20" t="s">
        <v>77</v>
      </c>
      <c r="H62" s="21">
        <v>60000000</v>
      </c>
      <c r="I62" s="21"/>
      <c r="J62" s="93">
        <v>43335</v>
      </c>
      <c r="K62" s="101"/>
      <c r="L62" s="101"/>
      <c r="M62" s="22"/>
      <c r="N62" s="22"/>
      <c r="O62" s="23">
        <f t="shared" si="61"/>
        <v>60493150.684931509</v>
      </c>
      <c r="P62" s="23">
        <f t="shared" si="55"/>
        <v>1641605.174625007</v>
      </c>
      <c r="Q62" s="51">
        <f t="shared" ref="Q62:Q64" si="67">+D62</f>
        <v>0.375</v>
      </c>
      <c r="R62" s="51">
        <f t="shared" ref="R62:R64" si="68">+Q62</f>
        <v>0.375</v>
      </c>
      <c r="S62" s="27">
        <f t="shared" si="62"/>
        <v>4.7820672478206719E-2</v>
      </c>
      <c r="T62" s="143">
        <f t="shared" ca="1" si="58"/>
        <v>1.218140041702816E-2</v>
      </c>
      <c r="U62" s="87"/>
      <c r="V62" s="145" t="s">
        <v>266</v>
      </c>
      <c r="W62" s="145"/>
      <c r="X62" s="145"/>
      <c r="Z62" s="125">
        <f t="shared" ref="Z62:Z64" ca="1" si="69">R62*T62</f>
        <v>4.5680251563855606E-3</v>
      </c>
      <c r="AA62" s="29">
        <f t="shared" ref="AA62:AA64" ca="1" si="70">S62*T62</f>
        <v>5.8252275966859445E-4</v>
      </c>
    </row>
    <row r="63" spans="1:27" s="29" customFormat="1" ht="15" customHeight="1">
      <c r="A63" s="45" t="s">
        <v>263</v>
      </c>
      <c r="B63" s="144"/>
      <c r="C63" s="144"/>
      <c r="D63" s="144">
        <v>0.39500000000000002</v>
      </c>
      <c r="E63" s="40">
        <v>43487</v>
      </c>
      <c r="F63" s="20" t="s">
        <v>78</v>
      </c>
      <c r="G63" s="20" t="s">
        <v>77</v>
      </c>
      <c r="H63" s="21">
        <v>60000000</v>
      </c>
      <c r="I63" s="21"/>
      <c r="J63" s="93">
        <v>43307</v>
      </c>
      <c r="K63" s="101"/>
      <c r="L63" s="101"/>
      <c r="M63" s="22"/>
      <c r="N63" s="22"/>
      <c r="O63" s="23">
        <f t="shared" si="61"/>
        <v>62337534.246575341</v>
      </c>
      <c r="P63" s="23">
        <f t="shared" si="55"/>
        <v>1691656.2889165627</v>
      </c>
      <c r="Q63" s="51">
        <f t="shared" si="67"/>
        <v>0.39500000000000002</v>
      </c>
      <c r="R63" s="51">
        <f t="shared" si="68"/>
        <v>0.39500000000000002</v>
      </c>
      <c r="S63" s="27">
        <f t="shared" si="62"/>
        <v>0.28281042863455591</v>
      </c>
      <c r="T63" s="143">
        <f t="shared" ca="1" si="58"/>
        <v>1.2552800723221246E-2</v>
      </c>
      <c r="U63" s="87"/>
      <c r="V63" s="145" t="s">
        <v>266</v>
      </c>
      <c r="W63" s="145"/>
      <c r="X63" s="145"/>
      <c r="Z63" s="125">
        <f t="shared" ca="1" si="69"/>
        <v>4.9583562856723926E-3</v>
      </c>
      <c r="AA63" s="29">
        <f t="shared" ca="1" si="70"/>
        <v>3.5500629530983642E-3</v>
      </c>
    </row>
    <row r="64" spans="1:27" s="29" customFormat="1" ht="15" customHeight="1">
      <c r="A64" s="45" t="s">
        <v>263</v>
      </c>
      <c r="B64" s="144"/>
      <c r="C64" s="144"/>
      <c r="D64" s="144">
        <v>0.4</v>
      </c>
      <c r="E64" s="40">
        <v>43493</v>
      </c>
      <c r="F64" s="20" t="s">
        <v>78</v>
      </c>
      <c r="G64" s="20" t="s">
        <v>77</v>
      </c>
      <c r="H64" s="21">
        <v>50000000</v>
      </c>
      <c r="I64" s="21"/>
      <c r="J64" s="93">
        <v>43311</v>
      </c>
      <c r="K64" s="101"/>
      <c r="L64" s="101"/>
      <c r="M64" s="22"/>
      <c r="N64" s="22"/>
      <c r="O64" s="23">
        <f t="shared" si="61"/>
        <v>51753424.657534242</v>
      </c>
      <c r="P64" s="23">
        <f t="shared" si="55"/>
        <v>1404434.8618055424</v>
      </c>
      <c r="Q64" s="51">
        <f t="shared" si="67"/>
        <v>0.4</v>
      </c>
      <c r="R64" s="51">
        <f t="shared" si="68"/>
        <v>0.4</v>
      </c>
      <c r="S64" s="27">
        <f t="shared" si="62"/>
        <v>0.29354207436399216</v>
      </c>
      <c r="T64" s="143">
        <f t="shared" ca="1" si="58"/>
        <v>1.0421497005328892E-2</v>
      </c>
      <c r="U64" s="87"/>
      <c r="V64" s="145" t="s">
        <v>266</v>
      </c>
      <c r="W64" s="145"/>
      <c r="X64" s="145"/>
      <c r="Z64" s="125">
        <f t="shared" ca="1" si="69"/>
        <v>4.1685988021315573E-3</v>
      </c>
      <c r="AA64" s="29">
        <f t="shared" ca="1" si="70"/>
        <v>3.059147848922375E-3</v>
      </c>
    </row>
    <row r="65" spans="1:27" s="29" customFormat="1" ht="15" customHeight="1">
      <c r="A65" s="45" t="s">
        <v>174</v>
      </c>
      <c r="B65" s="144"/>
      <c r="C65" s="144"/>
      <c r="D65" s="144">
        <v>0.34599999999999997</v>
      </c>
      <c r="E65" s="40">
        <v>43437</v>
      </c>
      <c r="F65" s="20" t="s">
        <v>78</v>
      </c>
      <c r="G65" s="20" t="s">
        <v>77</v>
      </c>
      <c r="H65" s="21">
        <v>60000000</v>
      </c>
      <c r="I65" s="21"/>
      <c r="J65" s="93">
        <v>43257</v>
      </c>
      <c r="K65" s="101"/>
      <c r="L65" s="101"/>
      <c r="M65" s="22"/>
      <c r="N65" s="22"/>
      <c r="O65" s="23">
        <f t="shared" si="61"/>
        <v>64891397.260273971</v>
      </c>
      <c r="P65" s="23">
        <f t="shared" ref="P65:P78" si="71">O65/$N$109</f>
        <v>1760960.5769409488</v>
      </c>
      <c r="Q65" s="51">
        <f t="shared" ref="Q65" si="72">+D65</f>
        <v>0.34599999999999997</v>
      </c>
      <c r="R65" s="51">
        <f t="shared" ref="R65" si="73">+Q65</f>
        <v>0.34599999999999997</v>
      </c>
      <c r="S65" s="27">
        <f t="shared" si="62"/>
        <v>0.19133302122982351</v>
      </c>
      <c r="T65" s="143">
        <f t="shared" ref="T65:T78" ca="1" si="74">O65/$O$113</f>
        <v>1.3067067671261871E-2</v>
      </c>
      <c r="U65" s="87"/>
      <c r="V65" s="145" t="s">
        <v>266</v>
      </c>
      <c r="W65" s="145"/>
      <c r="X65" s="145"/>
      <c r="Z65" s="125">
        <f t="shared" ca="1" si="59"/>
        <v>4.5212054142566068E-3</v>
      </c>
      <c r="AA65" s="29">
        <f t="shared" ca="1" si="60"/>
        <v>2.5001615361570878E-3</v>
      </c>
    </row>
    <row r="66" spans="1:27" s="29" customFormat="1" ht="15" customHeight="1">
      <c r="A66" s="45" t="s">
        <v>174</v>
      </c>
      <c r="B66" s="144"/>
      <c r="C66" s="144"/>
      <c r="D66" s="144">
        <f>+'Pos PF Sura'!I7/100</f>
        <v>0.27</v>
      </c>
      <c r="E66" s="40">
        <f>+'Pos PF Sura'!E7</f>
        <v>43416</v>
      </c>
      <c r="F66" s="20" t="s">
        <v>78</v>
      </c>
      <c r="G66" s="20" t="s">
        <v>77</v>
      </c>
      <c r="H66" s="21">
        <v>40000000</v>
      </c>
      <c r="I66" s="21"/>
      <c r="J66" s="93">
        <v>43055</v>
      </c>
      <c r="K66" s="101"/>
      <c r="L66" s="101"/>
      <c r="M66" s="22"/>
      <c r="N66" s="22"/>
      <c r="O66" s="23">
        <f t="shared" si="61"/>
        <v>48521643.83561644</v>
      </c>
      <c r="P66" s="23">
        <f t="shared" si="71"/>
        <v>1316733.8897046524</v>
      </c>
      <c r="Q66" s="51">
        <f t="shared" si="56"/>
        <v>0.27</v>
      </c>
      <c r="R66" s="51">
        <f t="shared" si="57"/>
        <v>0.27</v>
      </c>
      <c r="S66" s="27">
        <f t="shared" si="62"/>
        <v>0.15748031496062992</v>
      </c>
      <c r="T66" s="143">
        <f t="shared" ca="1" si="74"/>
        <v>9.7707189287017902E-3</v>
      </c>
      <c r="U66" s="87"/>
      <c r="V66" s="145" t="s">
        <v>266</v>
      </c>
      <c r="W66" s="145"/>
      <c r="X66" s="145"/>
      <c r="Z66" s="125">
        <f t="shared" ca="1" si="59"/>
        <v>2.6380941107494835E-3</v>
      </c>
      <c r="AA66" s="29">
        <f t="shared" ca="1" si="60"/>
        <v>1.5386958942837465E-3</v>
      </c>
    </row>
    <row r="67" spans="1:27" s="29" customFormat="1" ht="15" customHeight="1">
      <c r="A67" s="45" t="s">
        <v>174</v>
      </c>
      <c r="B67" s="144"/>
      <c r="C67" s="144"/>
      <c r="D67" s="144">
        <f>+'Pos PF Sura'!I8/100</f>
        <v>0.27</v>
      </c>
      <c r="E67" s="40">
        <f>+'Pos PF Sura'!E8</f>
        <v>43416</v>
      </c>
      <c r="F67" s="20" t="s">
        <v>78</v>
      </c>
      <c r="G67" s="20" t="s">
        <v>77</v>
      </c>
      <c r="H67" s="21">
        <v>40000000</v>
      </c>
      <c r="I67" s="21"/>
      <c r="J67" s="93">
        <v>43055</v>
      </c>
      <c r="K67" s="101"/>
      <c r="L67" s="101"/>
      <c r="M67" s="22"/>
      <c r="N67" s="22"/>
      <c r="O67" s="23">
        <f t="shared" si="61"/>
        <v>48521643.83561644</v>
      </c>
      <c r="P67" s="23">
        <f t="shared" si="71"/>
        <v>1316733.8897046524</v>
      </c>
      <c r="Q67" s="51">
        <f t="shared" si="56"/>
        <v>0.27</v>
      </c>
      <c r="R67" s="51">
        <f t="shared" si="57"/>
        <v>0.27</v>
      </c>
      <c r="S67" s="27">
        <f t="shared" si="62"/>
        <v>0.15748031496062992</v>
      </c>
      <c r="T67" s="143">
        <f t="shared" ca="1" si="74"/>
        <v>9.7707189287017902E-3</v>
      </c>
      <c r="U67" s="87"/>
      <c r="V67" s="145" t="s">
        <v>266</v>
      </c>
      <c r="W67" s="145"/>
      <c r="X67" s="145"/>
      <c r="Z67" s="125">
        <f t="shared" ca="1" si="59"/>
        <v>2.6380941107494835E-3</v>
      </c>
      <c r="AA67" s="29">
        <f t="shared" ca="1" si="60"/>
        <v>1.5386958942837465E-3</v>
      </c>
    </row>
    <row r="68" spans="1:27" s="29" customFormat="1" ht="15" customHeight="1">
      <c r="A68" s="45" t="s">
        <v>175</v>
      </c>
      <c r="B68" s="144"/>
      <c r="C68" s="144"/>
      <c r="D68" s="144">
        <f>+'Pos PF Sura'!I9/100</f>
        <v>0.26899999999999996</v>
      </c>
      <c r="E68" s="40">
        <f>+'Pos PF Sura'!E9</f>
        <v>43432</v>
      </c>
      <c r="F68" s="20" t="s">
        <v>78</v>
      </c>
      <c r="G68" s="20" t="s">
        <v>77</v>
      </c>
      <c r="H68" s="21">
        <v>13880000</v>
      </c>
      <c r="I68" s="21"/>
      <c r="J68" s="93">
        <v>43067</v>
      </c>
      <c r="K68" s="101"/>
      <c r="L68" s="101"/>
      <c r="M68" s="22"/>
      <c r="N68" s="22"/>
      <c r="O68" s="23">
        <f t="shared" si="61"/>
        <v>16703306.08219178</v>
      </c>
      <c r="P68" s="23">
        <f t="shared" si="71"/>
        <v>453278.31973383389</v>
      </c>
      <c r="Q68" s="51">
        <f t="shared" si="56"/>
        <v>0.26899999999999996</v>
      </c>
      <c r="R68" s="51">
        <f t="shared" si="57"/>
        <v>0.26899999999999996</v>
      </c>
      <c r="S68" s="27">
        <f t="shared" si="62"/>
        <v>0.19214784589310968</v>
      </c>
      <c r="T68" s="143">
        <f t="shared" ca="1" si="74"/>
        <v>3.3635156603943109E-3</v>
      </c>
      <c r="U68" s="87"/>
      <c r="V68" s="145" t="s">
        <v>266</v>
      </c>
      <c r="W68" s="145"/>
      <c r="X68" s="145"/>
      <c r="Z68" s="125">
        <f t="shared" ca="1" si="59"/>
        <v>9.0478571264606951E-4</v>
      </c>
      <c r="AA68" s="29">
        <f t="shared" ca="1" si="60"/>
        <v>6.4629228877250713E-4</v>
      </c>
    </row>
    <row r="69" spans="1:27" s="29" customFormat="1" ht="15" customHeight="1">
      <c r="A69" s="45" t="s">
        <v>265</v>
      </c>
      <c r="B69" s="144"/>
      <c r="C69" s="144"/>
      <c r="D69" s="144">
        <v>0.27</v>
      </c>
      <c r="E69" s="40">
        <v>43479</v>
      </c>
      <c r="F69" s="20" t="s">
        <v>78</v>
      </c>
      <c r="G69" s="20" t="s">
        <v>77</v>
      </c>
      <c r="H69" s="21">
        <v>16100000</v>
      </c>
      <c r="I69" s="21"/>
      <c r="J69" s="93">
        <v>43118</v>
      </c>
      <c r="K69" s="101"/>
      <c r="L69" s="101"/>
      <c r="M69" s="22"/>
      <c r="N69" s="22"/>
      <c r="O69" s="23">
        <f t="shared" si="61"/>
        <v>18779657.534246575</v>
      </c>
      <c r="P69" s="23">
        <f t="shared" si="71"/>
        <v>509624.35642460175</v>
      </c>
      <c r="Q69" s="51">
        <f t="shared" si="56"/>
        <v>0.27</v>
      </c>
      <c r="R69" s="51">
        <f t="shared" ref="R69:R70" si="75">+Q69</f>
        <v>0.27</v>
      </c>
      <c r="S69" s="27">
        <f t="shared" si="62"/>
        <v>0.29338798403624206</v>
      </c>
      <c r="T69" s="143">
        <f t="shared" ca="1" si="74"/>
        <v>3.7816269367550179E-3</v>
      </c>
      <c r="U69" s="87"/>
      <c r="V69" s="145" t="s">
        <v>266</v>
      </c>
      <c r="W69" s="145"/>
      <c r="X69" s="145"/>
      <c r="Z69" s="125">
        <f t="shared" ca="1" si="59"/>
        <v>1.0210392729238548E-3</v>
      </c>
      <c r="AA69" s="29">
        <f t="shared" ca="1" si="60"/>
        <v>1.1094839033517041E-3</v>
      </c>
    </row>
    <row r="70" spans="1:27" s="29" customFormat="1" ht="15" customHeight="1">
      <c r="A70" s="45" t="s">
        <v>265</v>
      </c>
      <c r="B70" s="144"/>
      <c r="C70" s="144"/>
      <c r="D70" s="144">
        <v>0.26800000000000002</v>
      </c>
      <c r="E70" s="40">
        <v>43486</v>
      </c>
      <c r="F70" s="20" t="s">
        <v>78</v>
      </c>
      <c r="G70" s="20" t="s">
        <v>77</v>
      </c>
      <c r="H70" s="21">
        <v>22000000</v>
      </c>
      <c r="I70" s="21"/>
      <c r="J70" s="93">
        <v>43126</v>
      </c>
      <c r="K70" s="101"/>
      <c r="L70" s="101"/>
      <c r="M70" s="22"/>
      <c r="N70" s="22"/>
      <c r="O70" s="23">
        <f t="shared" si="61"/>
        <v>25505293.15068493</v>
      </c>
      <c r="P70" s="23">
        <f t="shared" si="71"/>
        <v>692138.21304436715</v>
      </c>
      <c r="Q70" s="51">
        <f t="shared" si="56"/>
        <v>0.26800000000000002</v>
      </c>
      <c r="R70" s="51">
        <f t="shared" si="75"/>
        <v>0.26800000000000002</v>
      </c>
      <c r="S70" s="27">
        <f t="shared" si="62"/>
        <v>0.30897541160710429</v>
      </c>
      <c r="T70" s="143">
        <f t="shared" ca="1" si="74"/>
        <v>5.135956469524243E-3</v>
      </c>
      <c r="U70" s="87"/>
      <c r="V70" s="145" t="s">
        <v>266</v>
      </c>
      <c r="W70" s="145"/>
      <c r="X70" s="145"/>
      <c r="Z70" s="125">
        <f t="shared" ca="1" si="59"/>
        <v>1.3764363338324972E-3</v>
      </c>
      <c r="AA70" s="29">
        <f t="shared" ca="1" si="60"/>
        <v>1.5868842641674232E-3</v>
      </c>
    </row>
    <row r="71" spans="1:27" s="29" customFormat="1" ht="15" customHeight="1">
      <c r="A71" s="45" t="s">
        <v>319</v>
      </c>
      <c r="B71" s="144"/>
      <c r="C71" s="144"/>
      <c r="D71" s="144">
        <v>0.255</v>
      </c>
      <c r="E71" s="40">
        <v>43362</v>
      </c>
      <c r="F71" s="20" t="s">
        <v>78</v>
      </c>
      <c r="G71" s="20" t="s">
        <v>77</v>
      </c>
      <c r="H71" s="21">
        <v>40000000</v>
      </c>
      <c r="I71" s="21"/>
      <c r="J71" s="93">
        <v>43182</v>
      </c>
      <c r="K71" s="101"/>
      <c r="L71" s="101"/>
      <c r="M71" s="22"/>
      <c r="N71" s="22"/>
      <c r="O71" s="23">
        <f t="shared" si="61"/>
        <v>44499178.08219178</v>
      </c>
      <c r="P71" s="23">
        <f t="shared" si="71"/>
        <v>1207576.0673593427</v>
      </c>
      <c r="Q71" s="51">
        <f t="shared" ref="Q71" si="76">+D71</f>
        <v>0.255</v>
      </c>
      <c r="R71" s="51">
        <f t="shared" ref="R71" si="77">+Q71</f>
        <v>0.255</v>
      </c>
      <c r="S71" s="27">
        <f t="shared" si="62"/>
        <v>4.147792392075534E-2</v>
      </c>
      <c r="T71" s="143">
        <f t="shared" ca="1" si="74"/>
        <v>8.9607220042325526E-3</v>
      </c>
      <c r="U71" s="87"/>
      <c r="V71" s="145" t="s">
        <v>266</v>
      </c>
      <c r="W71" s="145"/>
      <c r="X71" s="145"/>
      <c r="Z71" s="125">
        <f t="shared" ca="1" si="59"/>
        <v>2.284984111079301E-3</v>
      </c>
      <c r="AA71" s="29">
        <f t="shared" ca="1" si="60"/>
        <v>3.7167214556659613E-4</v>
      </c>
    </row>
    <row r="72" spans="1:27" s="29" customFormat="1" ht="15" customHeight="1">
      <c r="A72" s="45" t="s">
        <v>284</v>
      </c>
      <c r="B72" s="144"/>
      <c r="C72" s="144"/>
      <c r="D72" s="144">
        <v>0.26250000000000001</v>
      </c>
      <c r="E72" s="40">
        <v>43523</v>
      </c>
      <c r="F72" s="20" t="s">
        <v>78</v>
      </c>
      <c r="G72" s="20" t="s">
        <v>77</v>
      </c>
      <c r="H72" s="21">
        <v>60000000</v>
      </c>
      <c r="I72" s="21"/>
      <c r="J72" s="93">
        <v>43160</v>
      </c>
      <c r="K72" s="101"/>
      <c r="L72" s="101"/>
      <c r="M72" s="22"/>
      <c r="N72" s="22"/>
      <c r="O72" s="23">
        <f t="shared" si="61"/>
        <v>67896575.342465758</v>
      </c>
      <c r="P72" s="23">
        <f t="shared" si="71"/>
        <v>1842512.2209624357</v>
      </c>
      <c r="Q72" s="51">
        <f t="shared" ref="Q72" si="78">+D72</f>
        <v>0.26250000000000001</v>
      </c>
      <c r="R72" s="51">
        <f t="shared" ref="R72" si="79">+Q72</f>
        <v>0.26250000000000001</v>
      </c>
      <c r="S72" s="27">
        <f t="shared" si="62"/>
        <v>0.39061440390614405</v>
      </c>
      <c r="T72" s="143">
        <f t="shared" ca="1" si="74"/>
        <v>1.367221514877247E-2</v>
      </c>
      <c r="U72" s="87"/>
      <c r="V72" s="145" t="s">
        <v>266</v>
      </c>
      <c r="W72" s="145"/>
      <c r="X72" s="145"/>
      <c r="Z72" s="125">
        <f t="shared" ca="1" si="59"/>
        <v>3.5889564765527733E-3</v>
      </c>
      <c r="AA72" s="29">
        <f t="shared" ca="1" si="60"/>
        <v>5.340564170414311E-3</v>
      </c>
    </row>
    <row r="73" spans="1:27" s="29" customFormat="1" ht="15" customHeight="1">
      <c r="A73" s="45" t="s">
        <v>284</v>
      </c>
      <c r="B73" s="144"/>
      <c r="C73" s="144"/>
      <c r="D73" s="144">
        <v>0.35</v>
      </c>
      <c r="E73" s="40">
        <v>43704</v>
      </c>
      <c r="F73" s="20" t="s">
        <v>78</v>
      </c>
      <c r="G73" s="20" t="s">
        <v>77</v>
      </c>
      <c r="H73" s="21">
        <v>11941398.1</v>
      </c>
      <c r="I73" s="21"/>
      <c r="J73" s="93">
        <v>43306</v>
      </c>
      <c r="K73" s="101"/>
      <c r="L73" s="101"/>
      <c r="M73" s="22"/>
      <c r="N73" s="22"/>
      <c r="O73" s="23">
        <f t="shared" si="61"/>
        <v>12365072.361356163</v>
      </c>
      <c r="P73" s="23">
        <f t="shared" si="71"/>
        <v>335551.48877492978</v>
      </c>
      <c r="Q73" s="51">
        <f t="shared" ref="Q73" si="80">+D73</f>
        <v>0.35</v>
      </c>
      <c r="R73" s="51">
        <f t="shared" ref="R73" si="81">+Q73</f>
        <v>0.35</v>
      </c>
      <c r="S73" s="27">
        <f t="shared" si="62"/>
        <v>0.73262303399289697</v>
      </c>
      <c r="T73" s="143">
        <f t="shared" ca="1" si="74"/>
        <v>2.4899330901725853E-3</v>
      </c>
      <c r="U73" s="87"/>
      <c r="V73" s="145" t="s">
        <v>266</v>
      </c>
      <c r="W73" s="145"/>
      <c r="X73" s="145"/>
      <c r="Z73" s="125">
        <f t="shared" ca="1" si="59"/>
        <v>8.714765815604048E-4</v>
      </c>
      <c r="AA73" s="29">
        <f t="shared" ca="1" si="60"/>
        <v>1.8241823349615489E-3</v>
      </c>
    </row>
    <row r="74" spans="1:27" s="29" customFormat="1" ht="15" customHeight="1">
      <c r="A74" s="45" t="s">
        <v>264</v>
      </c>
      <c r="B74" s="18"/>
      <c r="C74" s="18"/>
      <c r="D74" s="18">
        <v>0.27250000000000002</v>
      </c>
      <c r="E74" s="40">
        <v>43475</v>
      </c>
      <c r="F74" s="20" t="s">
        <v>78</v>
      </c>
      <c r="G74" s="20" t="s">
        <v>77</v>
      </c>
      <c r="H74" s="21">
        <v>40710721.549999997</v>
      </c>
      <c r="I74" s="21"/>
      <c r="J74" s="93">
        <v>43115</v>
      </c>
      <c r="K74" s="88"/>
      <c r="L74" s="88"/>
      <c r="M74" s="22"/>
      <c r="N74" s="22"/>
      <c r="O74" s="23">
        <f t="shared" si="61"/>
        <v>47640467.111373968</v>
      </c>
      <c r="P74" s="23">
        <f t="shared" si="71"/>
        <v>1292821.3598744632</v>
      </c>
      <c r="Q74" s="51">
        <f t="shared" si="56"/>
        <v>0.27250000000000002</v>
      </c>
      <c r="R74" s="51">
        <f t="shared" ref="R74:R78" si="82">+Q74</f>
        <v>0.27250000000000002</v>
      </c>
      <c r="S74" s="27">
        <f t="shared" si="62"/>
        <v>0.28419947789111072</v>
      </c>
      <c r="T74" s="12">
        <f t="shared" ca="1" si="74"/>
        <v>9.5932779061293529E-3</v>
      </c>
      <c r="U74" s="87"/>
      <c r="V74" s="77" t="s">
        <v>94</v>
      </c>
      <c r="W74" s="77"/>
      <c r="X74" s="77"/>
      <c r="Z74" s="125">
        <f t="shared" ca="1" si="59"/>
        <v>2.6141682294202489E-3</v>
      </c>
      <c r="AA74" s="29">
        <f t="shared" ca="1" si="60"/>
        <v>2.7264045721862901E-3</v>
      </c>
    </row>
    <row r="75" spans="1:27" s="29" customFormat="1" ht="15" customHeight="1">
      <c r="A75" s="45" t="s">
        <v>284</v>
      </c>
      <c r="B75" s="18"/>
      <c r="C75" s="18"/>
      <c r="D75" s="18">
        <v>0.26250000000000001</v>
      </c>
      <c r="E75" s="40">
        <v>43523</v>
      </c>
      <c r="F75" s="20" t="s">
        <v>78</v>
      </c>
      <c r="G75" s="20" t="s">
        <v>77</v>
      </c>
      <c r="H75" s="21">
        <v>15000000</v>
      </c>
      <c r="I75" s="21"/>
      <c r="J75" s="93">
        <v>43160</v>
      </c>
      <c r="K75" s="101"/>
      <c r="L75" s="101"/>
      <c r="M75" s="22"/>
      <c r="N75" s="22"/>
      <c r="O75" s="23">
        <f t="shared" si="61"/>
        <v>16974143.83561644</v>
      </c>
      <c r="P75" s="23">
        <f t="shared" si="71"/>
        <v>460628.05524060893</v>
      </c>
      <c r="Q75" s="51">
        <f t="shared" ref="Q75" si="83">+D75</f>
        <v>0.26250000000000001</v>
      </c>
      <c r="R75" s="51">
        <f t="shared" ref="R75" si="84">+Q75</f>
        <v>0.26250000000000001</v>
      </c>
      <c r="S75" s="27">
        <f t="shared" si="62"/>
        <v>0.39061440390614405</v>
      </c>
      <c r="T75" s="12">
        <f t="shared" ca="1" si="74"/>
        <v>3.4180537871931174E-3</v>
      </c>
      <c r="U75" s="87"/>
      <c r="V75" s="77" t="s">
        <v>94</v>
      </c>
      <c r="W75" s="77"/>
      <c r="X75" s="77"/>
      <c r="Z75" s="125">
        <f t="shared" ca="1" si="59"/>
        <v>8.9723911913819332E-4</v>
      </c>
      <c r="AA75" s="29">
        <f t="shared" ca="1" si="60"/>
        <v>1.3351410426035778E-3</v>
      </c>
    </row>
    <row r="76" spans="1:27" s="29" customFormat="1" ht="15" customHeight="1">
      <c r="A76" s="45" t="s">
        <v>263</v>
      </c>
      <c r="B76" s="18"/>
      <c r="C76" s="18"/>
      <c r="D76" s="18">
        <v>0.27750000000000002</v>
      </c>
      <c r="E76" s="40">
        <v>43461</v>
      </c>
      <c r="F76" s="20" t="s">
        <v>78</v>
      </c>
      <c r="G76" s="20" t="s">
        <v>77</v>
      </c>
      <c r="H76" s="21">
        <v>2700000</v>
      </c>
      <c r="I76" s="21"/>
      <c r="J76" s="93">
        <v>43096</v>
      </c>
      <c r="K76" s="88"/>
      <c r="L76" s="88"/>
      <c r="M76" s="22"/>
      <c r="N76" s="22"/>
      <c r="O76" s="23">
        <f t="shared" si="61"/>
        <v>3207026.7123287674</v>
      </c>
      <c r="P76" s="23">
        <f t="shared" si="71"/>
        <v>87029.218787754886</v>
      </c>
      <c r="Q76" s="51">
        <f t="shared" si="56"/>
        <v>0.27750000000000002</v>
      </c>
      <c r="R76" s="51">
        <f t="shared" si="82"/>
        <v>0.27750000000000002</v>
      </c>
      <c r="S76" s="27">
        <f t="shared" si="62"/>
        <v>0.25306275634667452</v>
      </c>
      <c r="T76" s="12">
        <f t="shared" ca="1" si="74"/>
        <v>6.4579338468335437E-4</v>
      </c>
      <c r="U76" s="87"/>
      <c r="V76" s="77" t="s">
        <v>94</v>
      </c>
      <c r="W76" s="77"/>
      <c r="X76" s="77"/>
      <c r="Z76" s="125">
        <f t="shared" ca="1" si="59"/>
        <v>1.7920766424963085E-4</v>
      </c>
      <c r="AA76" s="29">
        <f t="shared" ca="1" si="60"/>
        <v>1.6342625395841795E-4</v>
      </c>
    </row>
    <row r="77" spans="1:27" s="29" customFormat="1" ht="15" customHeight="1">
      <c r="A77" s="45" t="s">
        <v>263</v>
      </c>
      <c r="B77" s="18"/>
      <c r="C77" s="18"/>
      <c r="D77" s="18">
        <v>0.27750000000000002</v>
      </c>
      <c r="E77" s="40">
        <v>43451</v>
      </c>
      <c r="F77" s="20" t="s">
        <v>78</v>
      </c>
      <c r="G77" s="20" t="s">
        <v>77</v>
      </c>
      <c r="H77" s="21">
        <v>5000000</v>
      </c>
      <c r="I77" s="21"/>
      <c r="J77" s="93">
        <v>43089</v>
      </c>
      <c r="K77" s="88"/>
      <c r="L77" s="88"/>
      <c r="M77" s="22"/>
      <c r="N77" s="22"/>
      <c r="O77" s="23">
        <f t="shared" si="61"/>
        <v>5965547.9452054789</v>
      </c>
      <c r="P77" s="23">
        <f t="shared" si="71"/>
        <v>161887.32551439563</v>
      </c>
      <c r="Q77" s="51">
        <f t="shared" si="56"/>
        <v>0.27750000000000002</v>
      </c>
      <c r="R77" s="51">
        <f t="shared" si="82"/>
        <v>0.27750000000000002</v>
      </c>
      <c r="S77" s="27">
        <f t="shared" si="62"/>
        <v>0.23161676004610887</v>
      </c>
      <c r="T77" s="12">
        <f t="shared" ca="1" si="74"/>
        <v>1.2012720019496169E-3</v>
      </c>
      <c r="U77" s="87"/>
      <c r="V77" s="77" t="s">
        <v>94</v>
      </c>
      <c r="W77" s="77"/>
      <c r="X77" s="77"/>
      <c r="Z77" s="125">
        <f t="shared" ca="1" si="59"/>
        <v>3.3335298054101869E-4</v>
      </c>
      <c r="AA77" s="29">
        <f t="shared" ca="1" si="60"/>
        <v>2.7823472902567325E-4</v>
      </c>
    </row>
    <row r="78" spans="1:27" s="29" customFormat="1" ht="15" customHeight="1">
      <c r="A78" s="45" t="s">
        <v>31</v>
      </c>
      <c r="B78" s="18"/>
      <c r="C78" s="18"/>
      <c r="D78" s="18">
        <v>0.26900000000000002</v>
      </c>
      <c r="E78" s="40">
        <v>43431</v>
      </c>
      <c r="F78" s="20" t="s">
        <v>78</v>
      </c>
      <c r="G78" s="20" t="s">
        <v>77</v>
      </c>
      <c r="H78" s="21">
        <v>5000000</v>
      </c>
      <c r="I78" s="21"/>
      <c r="J78" s="93">
        <v>43066</v>
      </c>
      <c r="K78" s="88"/>
      <c r="L78" s="88"/>
      <c r="M78" s="22"/>
      <c r="N78" s="22"/>
      <c r="O78" s="23">
        <f t="shared" si="61"/>
        <v>6020726.027397261</v>
      </c>
      <c r="P78" s="23">
        <f t="shared" si="71"/>
        <v>163384.6954517574</v>
      </c>
      <c r="Q78" s="51">
        <f t="shared" si="56"/>
        <v>0.26900000000000002</v>
      </c>
      <c r="R78" s="51">
        <f t="shared" si="82"/>
        <v>0.26900000000000002</v>
      </c>
      <c r="S78" s="27">
        <f t="shared" si="62"/>
        <v>0.1899888813325129</v>
      </c>
      <c r="T78" s="12">
        <f t="shared" ca="1" si="74"/>
        <v>1.2123831162792794E-3</v>
      </c>
      <c r="U78" s="87"/>
      <c r="V78" s="77" t="s">
        <v>94</v>
      </c>
      <c r="W78" s="77"/>
      <c r="X78" s="77"/>
      <c r="Z78" s="125">
        <f t="shared" ca="1" si="59"/>
        <v>3.2613105827912617E-4</v>
      </c>
      <c r="AA78" s="29">
        <f t="shared" ca="1" si="60"/>
        <v>2.3033931200832622E-4</v>
      </c>
    </row>
    <row r="79" spans="1:27" s="29" customFormat="1" ht="15" customHeight="1">
      <c r="A79" s="32" t="s">
        <v>80</v>
      </c>
      <c r="B79" s="48"/>
      <c r="C79" s="48"/>
      <c r="D79" s="48"/>
      <c r="E79" s="33"/>
      <c r="F79" s="48"/>
      <c r="G79" s="48"/>
      <c r="H79" s="34"/>
      <c r="I79" s="34"/>
      <c r="J79" s="34"/>
      <c r="K79" s="34"/>
      <c r="L79" s="34"/>
      <c r="M79" s="35"/>
      <c r="N79" s="35"/>
      <c r="O79" s="52"/>
      <c r="P79" s="52"/>
      <c r="Q79" s="48"/>
      <c r="R79" s="48"/>
      <c r="S79" s="49"/>
      <c r="T79" s="53"/>
      <c r="U79" s="28"/>
      <c r="V79" s="77"/>
      <c r="W79" s="77"/>
      <c r="X79" s="77"/>
    </row>
    <row r="80" spans="1:27" s="29" customFormat="1" ht="15" customHeight="1">
      <c r="A80" s="28" t="s">
        <v>72</v>
      </c>
      <c r="B80" s="20"/>
      <c r="C80" s="20"/>
      <c r="D80" s="20"/>
      <c r="E80" s="40"/>
      <c r="F80" s="20" t="s">
        <v>78</v>
      </c>
      <c r="G80" s="20" t="s">
        <v>298</v>
      </c>
      <c r="H80" s="21">
        <f t="shared" si="24"/>
        <v>42748860.140000001</v>
      </c>
      <c r="I80" s="21"/>
      <c r="J80" s="21">
        <v>37785998</v>
      </c>
      <c r="K80" s="101">
        <v>4962862.1399999997</v>
      </c>
      <c r="L80" s="88"/>
      <c r="M80" s="22"/>
      <c r="N80" s="22">
        <f ca="1">OFFSET(FCI!$A$1,7-1,MATCH(A80,FCI!$1:$1,0)-1)</f>
        <v>8.9070049999999998</v>
      </c>
      <c r="O80" s="23">
        <f t="shared" ref="O80:O89" ca="1" si="85">+H80*N80</f>
        <v>380764311.01128072</v>
      </c>
      <c r="P80" s="23">
        <f t="shared" ref="P80:P89" ca="1" si="86">O80/$N$109</f>
        <v>10332817.123779666</v>
      </c>
      <c r="Q80" s="12"/>
      <c r="R80" s="12"/>
      <c r="S80" s="27"/>
      <c r="T80" s="12">
        <f t="shared" ref="T80:T89" ca="1" si="87">O80/$O$113</f>
        <v>7.6673846285503763E-2</v>
      </c>
      <c r="U80" s="28"/>
      <c r="V80" s="77"/>
      <c r="W80" s="77"/>
      <c r="X80" s="77"/>
      <c r="Y80" s="6"/>
      <c r="Z80" s="125">
        <f t="shared" ref="Z80:Z89" ca="1" si="88">R80*T80</f>
        <v>0</v>
      </c>
      <c r="AA80" s="29">
        <f t="shared" ref="AA80:AA89" ca="1" si="89">S80*T80</f>
        <v>0</v>
      </c>
    </row>
    <row r="81" spans="1:27" s="29" customFormat="1" ht="15" customHeight="1">
      <c r="A81" s="28" t="s">
        <v>43</v>
      </c>
      <c r="B81" s="20"/>
      <c r="C81" s="20"/>
      <c r="D81" s="20"/>
      <c r="E81" s="40"/>
      <c r="F81" s="20" t="s">
        <v>36</v>
      </c>
      <c r="G81" s="20" t="s">
        <v>298</v>
      </c>
      <c r="H81" s="21">
        <f t="shared" si="24"/>
        <v>1000949</v>
      </c>
      <c r="I81" s="21"/>
      <c r="J81" s="21">
        <v>1000949</v>
      </c>
      <c r="K81" s="21">
        <v>0</v>
      </c>
      <c r="L81" s="88"/>
      <c r="M81" s="22"/>
      <c r="N81" s="22">
        <f ca="1">OFFSET(FCI!$A$1,7-1,MATCH(A81,FCI!$1:$1,0)-1)</f>
        <v>1.014537</v>
      </c>
      <c r="O81" s="23">
        <f t="shared" ca="1" si="85"/>
        <v>1015499.7956130001</v>
      </c>
      <c r="P81" s="23">
        <f t="shared" ca="1" si="86"/>
        <v>27557.660667924018</v>
      </c>
      <c r="Q81" s="12"/>
      <c r="R81" s="12"/>
      <c r="S81" s="27"/>
      <c r="T81" s="12">
        <f t="shared" ca="1" si="87"/>
        <v>2.0448942555828154E-4</v>
      </c>
      <c r="U81" s="30"/>
      <c r="V81" s="77"/>
      <c r="W81" s="77"/>
      <c r="X81" s="77"/>
      <c r="Y81" s="6"/>
      <c r="Z81" s="125">
        <f t="shared" ca="1" si="88"/>
        <v>0</v>
      </c>
      <c r="AA81" s="29">
        <f t="shared" ca="1" si="89"/>
        <v>0</v>
      </c>
    </row>
    <row r="82" spans="1:27" ht="15" customHeight="1">
      <c r="A82" s="87" t="s">
        <v>364</v>
      </c>
      <c r="B82" s="20"/>
      <c r="C82" s="20"/>
      <c r="D82" s="20"/>
      <c r="E82" s="40"/>
      <c r="F82" s="20" t="s">
        <v>78</v>
      </c>
      <c r="G82" s="20" t="s">
        <v>298</v>
      </c>
      <c r="H82" s="21">
        <f t="shared" si="24"/>
        <v>2691821.44</v>
      </c>
      <c r="I82" s="21"/>
      <c r="J82" s="21">
        <v>2691821.44</v>
      </c>
      <c r="K82" s="21">
        <v>0</v>
      </c>
      <c r="L82" s="101"/>
      <c r="M82" s="22"/>
      <c r="N82" s="22">
        <f ca="1">OFFSET(FCI!$A$1,7-1,MATCH(A82,FCI!$1:$1,0)-1)</f>
        <v>0</v>
      </c>
      <c r="O82" s="23">
        <f t="shared" ref="O82:O83" ca="1" si="90">+H82*N82</f>
        <v>0</v>
      </c>
      <c r="P82" s="23">
        <f t="shared" ref="P82:P83" ca="1" si="91">O82/$N$109</f>
        <v>0</v>
      </c>
      <c r="Q82" s="12"/>
      <c r="R82" s="12"/>
      <c r="S82" s="27"/>
      <c r="T82" s="12">
        <f t="shared" ref="T82:T83" ca="1" si="92">O82/$O$113</f>
        <v>0</v>
      </c>
      <c r="U82" s="30"/>
      <c r="V82" s="77"/>
      <c r="W82" s="77"/>
      <c r="X82" s="77"/>
      <c r="Z82" s="125">
        <f t="shared" ref="Z82:Z83" ca="1" si="93">R82*T82</f>
        <v>0</v>
      </c>
      <c r="AA82" s="29">
        <f t="shared" ref="AA82:AA83" ca="1" si="94">S82*T82</f>
        <v>0</v>
      </c>
    </row>
    <row r="83" spans="1:27" ht="15" customHeight="1">
      <c r="A83" s="87" t="s">
        <v>366</v>
      </c>
      <c r="B83" s="20"/>
      <c r="C83" s="20"/>
      <c r="D83" s="20"/>
      <c r="E83" s="40"/>
      <c r="F83" s="20" t="s">
        <v>78</v>
      </c>
      <c r="G83" s="20" t="s">
        <v>298</v>
      </c>
      <c r="H83" s="21">
        <f t="shared" si="24"/>
        <v>-20.168404344934899</v>
      </c>
      <c r="I83" s="21"/>
      <c r="J83" s="21">
        <v>0</v>
      </c>
      <c r="K83" s="21">
        <v>-20.168404344934899</v>
      </c>
      <c r="L83" s="101"/>
      <c r="M83" s="22"/>
      <c r="N83" s="22">
        <f ca="1">OFFSET(FCI!$A$1,7-1,MATCH(A83,FCI!$1:$1,0)-1)</f>
        <v>3.8868429999999998</v>
      </c>
      <c r="O83" s="23">
        <f t="shared" ca="1" si="90"/>
        <v>-78.391421249279801</v>
      </c>
      <c r="P83" s="23">
        <f t="shared" ca="1" si="91"/>
        <v>-2.1273112957742142</v>
      </c>
      <c r="Q83" s="12"/>
      <c r="R83" s="12"/>
      <c r="S83" s="27"/>
      <c r="T83" s="12">
        <f t="shared" ca="1" si="92"/>
        <v>-1.5785543994409129E-8</v>
      </c>
      <c r="U83" s="30"/>
      <c r="V83" s="77"/>
      <c r="W83" s="77"/>
      <c r="X83" s="77"/>
      <c r="Z83" s="125">
        <f t="shared" ca="1" si="93"/>
        <v>0</v>
      </c>
      <c r="AA83" s="29">
        <f t="shared" ca="1" si="94"/>
        <v>0</v>
      </c>
    </row>
    <row r="84" spans="1:27" ht="15" customHeight="1">
      <c r="A84" s="87" t="s">
        <v>25</v>
      </c>
      <c r="B84" s="20"/>
      <c r="C84" s="20"/>
      <c r="D84" s="20"/>
      <c r="E84" s="40"/>
      <c r="F84" s="20" t="s">
        <v>78</v>
      </c>
      <c r="G84" s="20" t="s">
        <v>298</v>
      </c>
      <c r="H84" s="21">
        <f t="shared" si="24"/>
        <v>0</v>
      </c>
      <c r="I84" s="21"/>
      <c r="J84" s="21">
        <v>0</v>
      </c>
      <c r="K84" s="21">
        <v>0</v>
      </c>
      <c r="L84" s="88"/>
      <c r="M84" s="22"/>
      <c r="N84" s="22">
        <f ca="1">OFFSET(FCI!$A$1,7-1,MATCH(A84,FCI!$1:$1,0)-1)</f>
        <v>7.8479809999999999</v>
      </c>
      <c r="O84" s="23">
        <f t="shared" ca="1" si="85"/>
        <v>0</v>
      </c>
      <c r="P84" s="23">
        <f t="shared" ca="1" si="86"/>
        <v>0</v>
      </c>
      <c r="Q84" s="12"/>
      <c r="R84" s="12"/>
      <c r="S84" s="27"/>
      <c r="T84" s="12">
        <f t="shared" ca="1" si="87"/>
        <v>0</v>
      </c>
      <c r="U84" s="30"/>
      <c r="V84" s="77"/>
      <c r="W84" s="77"/>
      <c r="X84" s="77"/>
      <c r="Z84" s="125">
        <f t="shared" ca="1" si="88"/>
        <v>0</v>
      </c>
      <c r="AA84" s="29">
        <f t="shared" ca="1" si="89"/>
        <v>0</v>
      </c>
    </row>
    <row r="85" spans="1:27" s="29" customFormat="1" ht="15" customHeight="1">
      <c r="A85" s="87" t="s">
        <v>365</v>
      </c>
      <c r="B85" s="20"/>
      <c r="C85" s="20"/>
      <c r="D85" s="20"/>
      <c r="E85" s="40"/>
      <c r="F85" s="20" t="s">
        <v>36</v>
      </c>
      <c r="G85" s="20" t="s">
        <v>298</v>
      </c>
      <c r="H85" s="21">
        <f t="shared" si="24"/>
        <v>1422186.48</v>
      </c>
      <c r="I85" s="21"/>
      <c r="J85" s="21">
        <v>1422186.48</v>
      </c>
      <c r="K85" s="21">
        <v>0</v>
      </c>
      <c r="L85" s="101"/>
      <c r="M85" s="22"/>
      <c r="N85" s="22">
        <f ca="1">OFFSET(FCI!$A$1,7-1,MATCH(A85,FCI!$1:$1,0)-1)</f>
        <v>1.0029870000000001</v>
      </c>
      <c r="O85" s="23">
        <f t="shared" ref="O85" ca="1" si="95">+H85*N85</f>
        <v>1426434.5510157601</v>
      </c>
      <c r="P85" s="23">
        <f t="shared" ref="P85" ca="1" si="96">O85/$N$109</f>
        <v>38709.214410197012</v>
      </c>
      <c r="Q85" s="12"/>
      <c r="R85" s="12"/>
      <c r="S85" s="27"/>
      <c r="T85" s="12">
        <f t="shared" ref="T85" ca="1" si="97">O85/$O$113</f>
        <v>2.8723864169526565E-4</v>
      </c>
      <c r="U85" s="30"/>
      <c r="V85" s="77"/>
      <c r="W85" s="77"/>
      <c r="X85" s="77"/>
      <c r="Y85" s="6"/>
      <c r="Z85" s="125">
        <f t="shared" ref="Z85" ca="1" si="98">R85*T85</f>
        <v>0</v>
      </c>
      <c r="AA85" s="29">
        <f t="shared" ref="AA85" ca="1" si="99">S85*T85</f>
        <v>0</v>
      </c>
    </row>
    <row r="86" spans="1:27" s="29" customFormat="1" ht="15" customHeight="1">
      <c r="A86" s="128" t="s">
        <v>81</v>
      </c>
      <c r="B86" s="20"/>
      <c r="C86" s="20"/>
      <c r="D86" s="20"/>
      <c r="E86" s="40"/>
      <c r="F86" s="20" t="s">
        <v>78</v>
      </c>
      <c r="G86" s="20" t="s">
        <v>298</v>
      </c>
      <c r="H86" s="21">
        <f t="shared" si="24"/>
        <v>6008.52</v>
      </c>
      <c r="I86" s="21"/>
      <c r="J86" s="21">
        <v>0</v>
      </c>
      <c r="K86" s="21">
        <v>6008.52</v>
      </c>
      <c r="L86" s="88"/>
      <c r="M86" s="22"/>
      <c r="N86" s="22">
        <f ca="1">OFFSET(FCI!$A$1,7-1,MATCH(A86,FCI!$1:$1,0)-1)</f>
        <v>6.5532979999999998</v>
      </c>
      <c r="O86" s="23">
        <f t="shared" ca="1" si="85"/>
        <v>39375.622098960004</v>
      </c>
      <c r="P86" s="23">
        <f t="shared" ca="1" si="86"/>
        <v>1068.5379131332429</v>
      </c>
      <c r="Q86" s="12"/>
      <c r="R86" s="12"/>
      <c r="S86" s="27"/>
      <c r="T86" s="12">
        <f t="shared" ca="1" si="87"/>
        <v>7.9290004575095268E-6</v>
      </c>
      <c r="U86" s="30"/>
      <c r="V86" s="77"/>
      <c r="W86" s="77"/>
      <c r="X86" s="77"/>
      <c r="Z86" s="125">
        <f t="shared" ca="1" si="88"/>
        <v>0</v>
      </c>
      <c r="AA86" s="29">
        <f t="shared" ca="1" si="89"/>
        <v>0</v>
      </c>
    </row>
    <row r="87" spans="1:27" s="29" customFormat="1" ht="15" customHeight="1">
      <c r="A87" s="28" t="s">
        <v>82</v>
      </c>
      <c r="B87" s="20"/>
      <c r="C87" s="20"/>
      <c r="D87" s="20"/>
      <c r="E87" s="40"/>
      <c r="F87" s="20" t="s">
        <v>78</v>
      </c>
      <c r="G87" s="20" t="s">
        <v>298</v>
      </c>
      <c r="H87" s="21">
        <f t="shared" si="24"/>
        <v>3222.99529999999</v>
      </c>
      <c r="I87" s="21"/>
      <c r="J87" s="21">
        <v>3222.99529999999</v>
      </c>
      <c r="K87" s="21">
        <v>0</v>
      </c>
      <c r="L87" s="88"/>
      <c r="M87" s="22"/>
      <c r="N87" s="22">
        <f ca="1">OFFSET(FCI!$A$1,7-1,MATCH(A87,FCI!$1:$1,0)-1)</f>
        <v>0</v>
      </c>
      <c r="O87" s="23">
        <f t="shared" ca="1" si="85"/>
        <v>0</v>
      </c>
      <c r="P87" s="23">
        <f t="shared" ca="1" si="86"/>
        <v>0</v>
      </c>
      <c r="Q87" s="12"/>
      <c r="R87" s="12"/>
      <c r="S87" s="27"/>
      <c r="T87" s="12">
        <f t="shared" ca="1" si="87"/>
        <v>0</v>
      </c>
      <c r="U87" s="30"/>
      <c r="V87" s="77"/>
      <c r="W87" s="77"/>
      <c r="X87" s="77"/>
      <c r="Z87" s="125">
        <f t="shared" ca="1" si="88"/>
        <v>0</v>
      </c>
      <c r="AA87" s="29">
        <f t="shared" ca="1" si="89"/>
        <v>0</v>
      </c>
    </row>
    <row r="88" spans="1:27" s="29" customFormat="1" ht="15" customHeight="1">
      <c r="A88" s="28" t="s">
        <v>38</v>
      </c>
      <c r="B88" s="20"/>
      <c r="C88" s="20"/>
      <c r="D88" s="20"/>
      <c r="E88" s="40"/>
      <c r="F88" s="20" t="s">
        <v>78</v>
      </c>
      <c r="G88" s="20" t="s">
        <v>298</v>
      </c>
      <c r="H88" s="21">
        <f t="shared" si="24"/>
        <v>0</v>
      </c>
      <c r="I88" s="21"/>
      <c r="J88" s="21">
        <v>0</v>
      </c>
      <c r="K88" s="21">
        <v>0</v>
      </c>
      <c r="L88" s="88"/>
      <c r="M88" s="22"/>
      <c r="N88" s="22">
        <f ca="1">OFFSET(FCI!$A$1,7-1,MATCH(A88,FCI!$1:$1,0)-1)</f>
        <v>6.8400480000000003</v>
      </c>
      <c r="O88" s="23">
        <f t="shared" ca="1" si="85"/>
        <v>0</v>
      </c>
      <c r="P88" s="23">
        <f t="shared" ca="1" si="86"/>
        <v>0</v>
      </c>
      <c r="Q88" s="12"/>
      <c r="R88" s="12"/>
      <c r="S88" s="27"/>
      <c r="T88" s="12">
        <f t="shared" ca="1" si="87"/>
        <v>0</v>
      </c>
      <c r="U88" s="30"/>
      <c r="V88" s="77"/>
      <c r="W88" s="77"/>
      <c r="X88" s="77"/>
      <c r="Z88" s="125">
        <f t="shared" ca="1" si="88"/>
        <v>0</v>
      </c>
      <c r="AA88" s="29">
        <f t="shared" ca="1" si="89"/>
        <v>0</v>
      </c>
    </row>
    <row r="89" spans="1:27" ht="15" customHeight="1">
      <c r="A89" s="28" t="s">
        <v>83</v>
      </c>
      <c r="B89" s="20"/>
      <c r="C89" s="20"/>
      <c r="D89" s="20"/>
      <c r="E89" s="40"/>
      <c r="F89" s="20" t="s">
        <v>78</v>
      </c>
      <c r="G89" s="20" t="s">
        <v>298</v>
      </c>
      <c r="H89" s="21">
        <f t="shared" si="24"/>
        <v>7826</v>
      </c>
      <c r="I89" s="21"/>
      <c r="J89" s="101">
        <v>7826</v>
      </c>
      <c r="K89" s="101">
        <v>0</v>
      </c>
      <c r="L89" s="88"/>
      <c r="M89" s="22"/>
      <c r="N89" s="22">
        <f ca="1">OFFSET(FCI!$A$1,7-1,MATCH(A89,FCI!$1:$1,0)-1)</f>
        <v>4.2534890000000001</v>
      </c>
      <c r="O89" s="23">
        <f t="shared" ca="1" si="85"/>
        <v>33287.804914</v>
      </c>
      <c r="P89" s="23">
        <f t="shared" ca="1" si="86"/>
        <v>903.33256211668925</v>
      </c>
      <c r="Q89" s="12"/>
      <c r="R89" s="12"/>
      <c r="S89" s="27"/>
      <c r="T89" s="12">
        <f t="shared" ca="1" si="87"/>
        <v>6.7031073116573071E-6</v>
      </c>
      <c r="U89" s="21"/>
      <c r="V89" s="77"/>
      <c r="W89" s="77"/>
      <c r="X89" s="77"/>
      <c r="Z89" s="125">
        <f t="shared" ca="1" si="88"/>
        <v>0</v>
      </c>
      <c r="AA89" s="29">
        <f t="shared" ca="1" si="89"/>
        <v>0</v>
      </c>
    </row>
    <row r="90" spans="1:27" ht="15" customHeight="1">
      <c r="A90" s="32" t="s">
        <v>84</v>
      </c>
      <c r="B90" s="32"/>
      <c r="C90" s="32"/>
      <c r="D90" s="32"/>
      <c r="E90" s="33"/>
      <c r="F90" s="32"/>
      <c r="G90" s="32"/>
      <c r="H90" s="34"/>
      <c r="I90" s="34"/>
      <c r="J90" s="34"/>
      <c r="K90" s="34"/>
      <c r="L90" s="34"/>
      <c r="M90" s="35"/>
      <c r="N90" s="35"/>
      <c r="O90" s="34"/>
      <c r="P90" s="34"/>
      <c r="Q90" s="37"/>
      <c r="R90" s="37"/>
      <c r="S90" s="38"/>
      <c r="T90" s="53"/>
      <c r="U90" s="30"/>
      <c r="V90" s="77"/>
      <c r="W90" s="77"/>
      <c r="X90" s="77"/>
    </row>
    <row r="91" spans="1:27" ht="15" customHeight="1">
      <c r="A91" s="54" t="s">
        <v>80</v>
      </c>
      <c r="B91" s="20"/>
      <c r="C91" s="20"/>
      <c r="D91" s="20"/>
      <c r="E91" s="40"/>
      <c r="F91" s="20"/>
      <c r="G91" s="20"/>
      <c r="H91" s="21"/>
      <c r="I91" s="21"/>
      <c r="J91" s="21"/>
      <c r="K91" s="21"/>
      <c r="L91" s="21"/>
      <c r="M91" s="22"/>
      <c r="N91" s="22"/>
      <c r="O91" s="23"/>
      <c r="P91" s="23"/>
      <c r="Q91" s="12"/>
      <c r="R91" s="12"/>
      <c r="S91" s="27"/>
      <c r="T91" s="12"/>
      <c r="U91" s="30"/>
      <c r="V91" s="77"/>
      <c r="W91" s="77"/>
      <c r="X91" s="77"/>
    </row>
    <row r="92" spans="1:27" ht="15" customHeight="1">
      <c r="A92" s="28" t="s">
        <v>329</v>
      </c>
      <c r="B92" s="20"/>
      <c r="C92" s="20"/>
      <c r="D92" s="20"/>
      <c r="E92" s="40"/>
      <c r="F92" s="20" t="s">
        <v>13</v>
      </c>
      <c r="G92" s="20" t="s">
        <v>298</v>
      </c>
      <c r="H92" s="21">
        <f t="shared" ref="H92:H93" si="100">SUM(J92:K92)</f>
        <v>7599584</v>
      </c>
      <c r="I92" s="21"/>
      <c r="J92" s="21">
        <v>7523358</v>
      </c>
      <c r="K92" s="101">
        <v>76226</v>
      </c>
      <c r="L92" s="88"/>
      <c r="M92" s="22"/>
      <c r="N92" s="22">
        <f ca="1">OFFSET(FCI!$A$1,7-1,MATCH(A92,FCI!$1:$1,0)-1)</f>
        <v>0.82834399999999997</v>
      </c>
      <c r="O92" s="23">
        <f ca="1">+H92*N92</f>
        <v>6295069.8088959996</v>
      </c>
      <c r="P92" s="23">
        <f ca="1">O92/$N$109</f>
        <v>170829.57418985074</v>
      </c>
      <c r="Q92" s="12"/>
      <c r="R92" s="12"/>
      <c r="S92" s="27"/>
      <c r="T92" s="12">
        <f ca="1">O92/$O$113</f>
        <v>1.2676272458463358E-3</v>
      </c>
      <c r="U92" s="30"/>
      <c r="V92" s="77"/>
      <c r="W92" s="77"/>
      <c r="X92" s="77" t="s">
        <v>317</v>
      </c>
      <c r="Z92" s="125">
        <f ca="1">R92*T92</f>
        <v>0</v>
      </c>
      <c r="AA92" s="29">
        <f ca="1">S92*T92</f>
        <v>0</v>
      </c>
    </row>
    <row r="93" spans="1:27" ht="15" customHeight="1">
      <c r="A93" s="28" t="s">
        <v>60</v>
      </c>
      <c r="B93" s="18"/>
      <c r="C93" s="18"/>
      <c r="D93" s="18"/>
      <c r="E93" s="19"/>
      <c r="F93" s="20" t="s">
        <v>13</v>
      </c>
      <c r="G93" s="20" t="s">
        <v>298</v>
      </c>
      <c r="H93" s="21">
        <f t="shared" si="100"/>
        <v>19203.010000000002</v>
      </c>
      <c r="I93" s="21"/>
      <c r="J93" s="21">
        <v>1163.56</v>
      </c>
      <c r="K93" s="101">
        <v>18039.45</v>
      </c>
      <c r="L93" s="88"/>
      <c r="M93" s="22"/>
      <c r="N93" s="22">
        <f ca="1">OFFSET(FCI!$A$1,7-1,MATCH(A93,FCI!$1:$1,0)-1)</f>
        <v>3.817949</v>
      </c>
      <c r="O93" s="23">
        <f ca="1">+H93*N93</f>
        <v>73316.112826490003</v>
      </c>
      <c r="P93" s="23">
        <f ca="1">O93/$N$109</f>
        <v>1989.5824376252374</v>
      </c>
      <c r="Q93" s="12"/>
      <c r="R93" s="12"/>
      <c r="S93" s="27"/>
      <c r="T93" s="12">
        <f ca="1">O93/$O$113</f>
        <v>1.4763537974919088E-5</v>
      </c>
      <c r="U93" s="30"/>
      <c r="V93" s="77"/>
      <c r="W93" s="77"/>
      <c r="X93" s="77" t="s">
        <v>318</v>
      </c>
      <c r="Z93" s="125">
        <f ca="1">R93*T93</f>
        <v>0</v>
      </c>
      <c r="AA93" s="29">
        <f ca="1">S93*T93</f>
        <v>0</v>
      </c>
    </row>
    <row r="94" spans="1:27" ht="15" customHeight="1">
      <c r="A94" s="54" t="s">
        <v>86</v>
      </c>
      <c r="B94" s="18"/>
      <c r="C94" s="18"/>
      <c r="D94" s="18"/>
      <c r="E94" s="19"/>
      <c r="F94" s="20"/>
      <c r="G94" s="20"/>
      <c r="H94" s="21"/>
      <c r="I94" s="21"/>
      <c r="J94" s="21"/>
      <c r="K94" s="21"/>
      <c r="L94" s="21"/>
      <c r="M94" s="22"/>
      <c r="N94" s="22"/>
      <c r="O94" s="23"/>
      <c r="P94" s="23"/>
      <c r="Q94" s="12"/>
      <c r="R94" s="12"/>
      <c r="S94" s="27"/>
      <c r="T94" s="12"/>
      <c r="U94" s="30"/>
      <c r="V94" s="77"/>
      <c r="W94" s="77"/>
      <c r="X94" s="77"/>
    </row>
    <row r="95" spans="1:27" ht="15" customHeight="1">
      <c r="A95" s="28" t="s">
        <v>343</v>
      </c>
      <c r="B95" s="18" t="str">
        <f>VLOOKUP(A95,'Identidad de Codigos'!A:C,2,FALSE)</f>
        <v>xxx</v>
      </c>
      <c r="C95" s="142">
        <f>VLOOKUP(A95,'Identidad de Codigos'!A:C,3,FALSE)</f>
        <v>11111</v>
      </c>
      <c r="D95" s="146" t="s">
        <v>367</v>
      </c>
      <c r="E95" s="55"/>
      <c r="F95" s="20" t="s">
        <v>36</v>
      </c>
      <c r="G95" s="20" t="s">
        <v>285</v>
      </c>
      <c r="H95" s="21">
        <f t="shared" ref="H95:H100" si="101">SUM(J95:K95)</f>
        <v>1799661</v>
      </c>
      <c r="I95" s="21">
        <f t="shared" ref="I95:I100" si="102">H95-SUM(J95:L95)</f>
        <v>0</v>
      </c>
      <c r="J95" s="101">
        <v>1559425</v>
      </c>
      <c r="K95" s="101">
        <v>240236</v>
      </c>
      <c r="L95" s="88"/>
      <c r="M95" s="22"/>
      <c r="N95" s="22">
        <f>VLOOKUP(A95,'Precios para Valuar'!$C:$L,5,FALSE)/100</f>
        <v>45.9503494549528</v>
      </c>
      <c r="O95" s="23">
        <f>+H95*N95</f>
        <v>82695051.850449815</v>
      </c>
      <c r="P95" s="23">
        <f t="shared" ref="P95:P100" si="103">O95/$N$109</f>
        <v>2244099.1004192624</v>
      </c>
      <c r="Q95" s="26">
        <f>VLOOKUP(A95,'Precios para Valuar'!C:Z,6,FALSE)</f>
        <v>8.5000000000000006E-2</v>
      </c>
      <c r="R95" s="26">
        <f t="shared" ref="R95:R100" si="104">+Q95+Badlar</f>
        <v>0.44513000000000003</v>
      </c>
      <c r="S95" s="27">
        <f>VLOOKUP(A95,'Precios para Valuar'!C:AC,9,FALSE)</f>
        <v>4.4400913731314517</v>
      </c>
      <c r="T95" s="12">
        <f t="shared" ref="T95:T100" ca="1" si="105">O95/$O$113</f>
        <v>1.6652158594678019E-2</v>
      </c>
      <c r="U95" s="127"/>
      <c r="V95" s="77"/>
      <c r="W95" s="77"/>
      <c r="X95" s="77" t="s">
        <v>316</v>
      </c>
      <c r="Z95" s="125">
        <f t="shared" ref="Z95:Z100" ca="1" si="106">R95*T95</f>
        <v>7.4123753552490269E-3</v>
      </c>
      <c r="AA95" s="29">
        <f t="shared" ref="AA95:AA100" ca="1" si="107">S95*T95</f>
        <v>7.3937105720246629E-2</v>
      </c>
    </row>
    <row r="96" spans="1:27" ht="15" customHeight="1">
      <c r="A96" s="28" t="s">
        <v>344</v>
      </c>
      <c r="B96" s="18" t="str">
        <f>VLOOKUP(A96,'Identidad de Codigos'!A:C,2,FALSE)</f>
        <v>ARIPSA050215</v>
      </c>
      <c r="C96" s="142">
        <f>VLOOKUP(A96,'Identidad de Codigos'!A:C,3,FALSE)</f>
        <v>38679</v>
      </c>
      <c r="D96" s="146">
        <v>3.5000000000000003E-2</v>
      </c>
      <c r="E96" s="55"/>
      <c r="F96" s="20" t="s">
        <v>13</v>
      </c>
      <c r="G96" s="20" t="s">
        <v>285</v>
      </c>
      <c r="H96" s="21">
        <f t="shared" si="101"/>
        <v>16124483</v>
      </c>
      <c r="I96" s="21">
        <f t="shared" si="102"/>
        <v>0</v>
      </c>
      <c r="J96" s="101">
        <v>16124483</v>
      </c>
      <c r="K96" s="101"/>
      <c r="L96" s="88"/>
      <c r="M96" s="22"/>
      <c r="N96" s="22">
        <f>VLOOKUP(A96,'Precios para Valuar'!$C:$L,5,FALSE)/100</f>
        <v>1.862574214201798</v>
      </c>
      <c r="O96" s="23">
        <f t="shared" ref="O96:O100" si="108">+H96*N96</f>
        <v>30033046.253135249</v>
      </c>
      <c r="P96" s="23">
        <f t="shared" si="103"/>
        <v>815008.03943379235</v>
      </c>
      <c r="Q96" s="26">
        <f>VLOOKUP(A96,'Precios para Valuar'!C:Z,6,FALSE)</f>
        <v>3.5000000000000003E-2</v>
      </c>
      <c r="R96" s="26">
        <f t="shared" si="104"/>
        <v>0.39512999999999998</v>
      </c>
      <c r="S96" s="27">
        <f>VLOOKUP(A96,'Precios para Valuar'!C:AC,9,FALSE)</f>
        <v>2.4843241979824069</v>
      </c>
      <c r="T96" s="12">
        <f t="shared" ca="1" si="105"/>
        <v>6.047702227612646E-3</v>
      </c>
      <c r="U96" s="127"/>
      <c r="V96" s="77"/>
      <c r="W96" s="77"/>
      <c r="X96" s="77" t="s">
        <v>316</v>
      </c>
      <c r="Z96" s="125">
        <f t="shared" ca="1" si="106"/>
        <v>2.3896285811965848E-3</v>
      </c>
      <c r="AA96" s="29">
        <f t="shared" ca="1" si="107"/>
        <v>1.5024452986250202E-2</v>
      </c>
    </row>
    <row r="97" spans="1:27" ht="15" customHeight="1">
      <c r="A97" s="28" t="s">
        <v>376</v>
      </c>
      <c r="B97" s="18" t="str">
        <f>VLOOKUP(A97,'Identidad de Codigos'!A:C,2,FALSE)</f>
        <v>ARYPFS560010</v>
      </c>
      <c r="C97" s="81">
        <f>VLOOKUP(A97,'Identidad de Codigos'!A:C,3,FALSE)</f>
        <v>50108</v>
      </c>
      <c r="D97" s="18">
        <v>4.7399999999999998E-2</v>
      </c>
      <c r="E97" s="55">
        <v>43871</v>
      </c>
      <c r="F97" s="20" t="s">
        <v>13</v>
      </c>
      <c r="G97" s="20" t="s">
        <v>285</v>
      </c>
      <c r="H97" s="21">
        <f t="shared" si="101"/>
        <v>35855000</v>
      </c>
      <c r="I97" s="21">
        <f t="shared" si="102"/>
        <v>0</v>
      </c>
      <c r="J97" s="101">
        <v>29755000</v>
      </c>
      <c r="K97" s="101">
        <v>6100000</v>
      </c>
      <c r="L97" s="88"/>
      <c r="M97" s="22"/>
      <c r="N97" s="22">
        <f>VLOOKUP(A97,'Precios para Valuar'!$C:$L,5,FALSE)/100</f>
        <v>0.88310707111778697</v>
      </c>
      <c r="O97" s="23">
        <f t="shared" si="108"/>
        <v>31663804.034928251</v>
      </c>
      <c r="P97" s="23">
        <f t="shared" si="103"/>
        <v>859261.98195191997</v>
      </c>
      <c r="Q97" s="26">
        <f>VLOOKUP(A97,'Precios para Valuar'!C:Z,6,FALSE)</f>
        <v>0.16822132537264933</v>
      </c>
      <c r="R97" s="26">
        <f t="shared" si="104"/>
        <v>0.52835132537264928</v>
      </c>
      <c r="S97" s="27">
        <f>VLOOKUP(A97,'Precios para Valuar'!C:AC,9,FALSE)</f>
        <v>1.0976774948899419</v>
      </c>
      <c r="T97" s="12">
        <f t="shared" ca="1" si="105"/>
        <v>6.3760850825025873E-3</v>
      </c>
      <c r="U97" s="127"/>
      <c r="V97" s="77" t="str">
        <f>VLOOKUP(A97,'Precios para Valuar'!$C:$T,8,FALSE)</f>
        <v>devengado</v>
      </c>
      <c r="W97" s="77"/>
      <c r="X97" s="77" t="s">
        <v>309</v>
      </c>
      <c r="Z97" s="125">
        <f t="shared" ca="1" si="106"/>
        <v>3.3688130040290198E-3</v>
      </c>
      <c r="AA97" s="29">
        <f t="shared" ca="1" si="107"/>
        <v>6.9988851005665688E-3</v>
      </c>
    </row>
    <row r="98" spans="1:27" ht="15" customHeight="1">
      <c r="A98" s="28" t="s">
        <v>286</v>
      </c>
      <c r="B98" s="18" t="str">
        <f>VLOOKUP(A98,'Identidad de Codigos'!A:C,2,FALSE)</f>
        <v>ARPANE560055</v>
      </c>
      <c r="C98" s="81">
        <f>VLOOKUP(A98,'Identidad de Codigos'!A:C,3,FALSE)</f>
        <v>51035</v>
      </c>
      <c r="D98" s="18" t="s">
        <v>88</v>
      </c>
      <c r="E98" s="55">
        <v>44155</v>
      </c>
      <c r="F98" s="20" t="s">
        <v>13</v>
      </c>
      <c r="G98" s="20" t="s">
        <v>285</v>
      </c>
      <c r="H98" s="21">
        <f t="shared" si="101"/>
        <v>42344309</v>
      </c>
      <c r="I98" s="21">
        <f t="shared" si="102"/>
        <v>0</v>
      </c>
      <c r="J98" s="101">
        <v>42344309</v>
      </c>
      <c r="K98" s="101"/>
      <c r="L98" s="88"/>
      <c r="M98" s="22"/>
      <c r="N98" s="22">
        <f>VLOOKUP(A98,'Precios para Valuar'!$C:$L,5,FALSE)/100</f>
        <v>0.81917538709944704</v>
      </c>
      <c r="O98" s="23">
        <f t="shared" si="108"/>
        <v>34687415.716533601</v>
      </c>
      <c r="P98" s="23">
        <f t="shared" si="103"/>
        <v>941313.8593360543</v>
      </c>
      <c r="Q98" s="26">
        <f>VLOOKUP(A98,'Precios para Valuar'!C:Z,6,FALSE)</f>
        <v>0.15490060636406638</v>
      </c>
      <c r="R98" s="26">
        <f t="shared" si="104"/>
        <v>0.51503060636406639</v>
      </c>
      <c r="S98" s="27">
        <f>VLOOKUP(A98,'Precios para Valuar'!C:AC,9,FALSE)</f>
        <v>1.427509270407449</v>
      </c>
      <c r="T98" s="12">
        <f t="shared" ca="1" si="105"/>
        <v>6.9849445018287694E-3</v>
      </c>
      <c r="U98" s="127"/>
      <c r="V98" s="77" t="str">
        <f>VLOOKUP(A98,'Precios para Valuar'!$C:$T,8,FALSE)</f>
        <v>devengado</v>
      </c>
      <c r="W98" s="77"/>
      <c r="X98" s="77" t="s">
        <v>315</v>
      </c>
      <c r="Z98" s="125">
        <f t="shared" ca="1" si="106"/>
        <v>3.5974602021962227E-3</v>
      </c>
      <c r="AA98" s="29">
        <f t="shared" ca="1" si="107"/>
        <v>9.9710730296421086E-3</v>
      </c>
    </row>
    <row r="99" spans="1:27" ht="15" customHeight="1">
      <c r="A99" s="28" t="s">
        <v>287</v>
      </c>
      <c r="B99" s="18" t="str">
        <f>VLOOKUP(A99,'Identidad de Codigos'!A:C,2,FALSE)</f>
        <v>ARPANE560063</v>
      </c>
      <c r="C99" s="81">
        <f>VLOOKUP(A99,'Identidad de Codigos'!A:C,3,FALSE)</f>
        <v>51097</v>
      </c>
      <c r="D99" s="18" t="s">
        <v>88</v>
      </c>
      <c r="E99" s="55">
        <v>44175</v>
      </c>
      <c r="F99" s="20" t="s">
        <v>13</v>
      </c>
      <c r="G99" s="20" t="s">
        <v>285</v>
      </c>
      <c r="H99" s="21">
        <f t="shared" si="101"/>
        <v>18350992</v>
      </c>
      <c r="I99" s="21">
        <f t="shared" si="102"/>
        <v>0</v>
      </c>
      <c r="J99" s="101">
        <v>13763244</v>
      </c>
      <c r="K99" s="101">
        <v>4587748</v>
      </c>
      <c r="L99" s="88"/>
      <c r="M99" s="22"/>
      <c r="N99" s="22">
        <f>VLOOKUP(A99,'Precios para Valuar'!$C:$L,5,FALSE)/100</f>
        <v>0.87973075443817705</v>
      </c>
      <c r="O99" s="23">
        <f t="shared" si="108"/>
        <v>16143932.036848951</v>
      </c>
      <c r="P99" s="23">
        <f t="shared" si="103"/>
        <v>438098.5627367422</v>
      </c>
      <c r="Q99" s="26">
        <f>VLOOKUP(A99,'Precios para Valuar'!C:Z,6,FALSE)</f>
        <v>0.15602550307219382</v>
      </c>
      <c r="R99" s="26">
        <f t="shared" si="104"/>
        <v>0.51615550307219382</v>
      </c>
      <c r="S99" s="27">
        <f>VLOOKUP(A99,'Precios para Valuar'!C:AC,9,FALSE)</f>
        <v>1.3212651556192638</v>
      </c>
      <c r="T99" s="12">
        <f t="shared" ca="1" si="105"/>
        <v>3.2508754829186286E-3</v>
      </c>
      <c r="U99" s="127"/>
      <c r="V99" s="77" t="str">
        <f>VLOOKUP(A99,'Precios para Valuar'!$C:$T,8,FALSE)</f>
        <v>devengado</v>
      </c>
      <c r="W99" s="77"/>
      <c r="X99" s="77" t="s">
        <v>315</v>
      </c>
      <c r="Z99" s="125">
        <f t="shared" ca="1" si="106"/>
        <v>1.6779572703109257E-3</v>
      </c>
      <c r="AA99" s="29">
        <f t="shared" ca="1" si="107"/>
        <v>4.2952685008373313E-3</v>
      </c>
    </row>
    <row r="100" spans="1:27" ht="15" customHeight="1">
      <c r="A100" s="28" t="s">
        <v>85</v>
      </c>
      <c r="B100" s="18" t="str">
        <f>VLOOKUP(A100,'Identidad de Codigos'!A:C,2,FALSE)</f>
        <v>ARYPFS560085</v>
      </c>
      <c r="C100" s="81">
        <f>VLOOKUP(A100,'Identidad de Codigos'!A:C,3,FALSE)</f>
        <v>50879</v>
      </c>
      <c r="D100" s="18" t="s">
        <v>88</v>
      </c>
      <c r="E100" s="55">
        <v>44094</v>
      </c>
      <c r="F100" s="20" t="s">
        <v>13</v>
      </c>
      <c r="G100" s="20" t="s">
        <v>285</v>
      </c>
      <c r="H100" s="21">
        <f t="shared" si="101"/>
        <v>5899466</v>
      </c>
      <c r="I100" s="21">
        <f t="shared" si="102"/>
        <v>0</v>
      </c>
      <c r="J100" s="101">
        <v>5803165</v>
      </c>
      <c r="K100" s="101">
        <v>96301</v>
      </c>
      <c r="L100" s="88"/>
      <c r="M100" s="22"/>
      <c r="N100" s="22">
        <f>VLOOKUP(A100,'Precios para Valuar'!$C:$L,5,FALSE)/100</f>
        <v>1.0006507312685311</v>
      </c>
      <c r="O100" s="23">
        <f t="shared" si="108"/>
        <v>5903304.9669938358</v>
      </c>
      <c r="P100" s="23">
        <f t="shared" si="103"/>
        <v>160198.23519657628</v>
      </c>
      <c r="Q100" s="26">
        <f>VLOOKUP(A100,'Precios para Valuar'!C:Z,6,FALSE)</f>
        <v>0.17349663833280704</v>
      </c>
      <c r="R100" s="26">
        <f t="shared" si="104"/>
        <v>0.53362663833280699</v>
      </c>
      <c r="S100" s="27"/>
      <c r="T100" s="12">
        <f t="shared" ca="1" si="105"/>
        <v>1.1887382418105E-3</v>
      </c>
      <c r="U100" s="127"/>
      <c r="V100" s="77" t="str">
        <f>VLOOKUP(A100,'Precios para Valuar'!$C:$T,8,FALSE)</f>
        <v>devengado</v>
      </c>
      <c r="W100" s="77"/>
      <c r="X100" s="77" t="s">
        <v>309</v>
      </c>
      <c r="Z100" s="125">
        <f t="shared" ca="1" si="106"/>
        <v>6.3434239183498848E-4</v>
      </c>
      <c r="AA100" s="29">
        <f t="shared" ca="1" si="107"/>
        <v>0</v>
      </c>
    </row>
    <row r="101" spans="1:27" ht="15" customHeight="1">
      <c r="A101" s="54" t="s">
        <v>89</v>
      </c>
      <c r="B101" s="18"/>
      <c r="C101" s="18"/>
      <c r="D101" s="18"/>
      <c r="E101" s="55"/>
      <c r="F101" s="20"/>
      <c r="G101" s="20"/>
      <c r="H101" s="21"/>
      <c r="I101" s="21"/>
      <c r="J101" s="21"/>
      <c r="K101" s="21"/>
      <c r="L101" s="21"/>
      <c r="M101" s="22"/>
      <c r="N101" s="22"/>
      <c r="O101" s="23"/>
      <c r="P101" s="23"/>
      <c r="Q101" s="12"/>
      <c r="R101" s="12"/>
      <c r="S101" s="27"/>
      <c r="T101" s="12"/>
      <c r="U101" s="30"/>
      <c r="V101" s="77"/>
      <c r="W101" s="77"/>
      <c r="X101" s="77"/>
    </row>
    <row r="102" spans="1:27" ht="15" customHeight="1">
      <c r="A102" s="28" t="s">
        <v>75</v>
      </c>
      <c r="B102" s="18" t="str">
        <f>VLOOKUP(A102,'Identidad de Codigos'!A:C,2,FALSE)</f>
        <v>USP989MJAY76</v>
      </c>
      <c r="C102" s="81">
        <f>VLOOKUP(A102,'Identidad de Codigos'!A:C,3,FALSE)</f>
        <v>90154</v>
      </c>
      <c r="D102" s="18"/>
      <c r="E102" s="55">
        <v>45386</v>
      </c>
      <c r="F102" s="20" t="s">
        <v>36</v>
      </c>
      <c r="G102" s="20" t="s">
        <v>285</v>
      </c>
      <c r="H102" s="21">
        <f t="shared" ref="H102" si="109">SUM(J102:K102)</f>
        <v>1618000</v>
      </c>
      <c r="I102" s="21">
        <f>H102-SUM(J102:L102)</f>
        <v>0</v>
      </c>
      <c r="J102" s="101">
        <v>1507000</v>
      </c>
      <c r="K102" s="101">
        <v>111000</v>
      </c>
      <c r="L102" s="88"/>
      <c r="M102" s="22"/>
      <c r="N102" s="22">
        <f>VLOOKUP(A102,'Precios para Valuar'!$C:$L,5,FALSE)/100</f>
        <v>41.319818616759811</v>
      </c>
      <c r="O102" s="23">
        <f t="shared" ref="O102" si="110">+H102*N102</f>
        <v>66855466.521917373</v>
      </c>
      <c r="P102" s="23">
        <f>O102/$N$109</f>
        <v>1814259.6071076626</v>
      </c>
      <c r="Q102" s="26">
        <f>VLOOKUP(A102,'Precios para Valuar'!C:Z,6,FALSE)</f>
        <v>6.6900000000000001E-2</v>
      </c>
      <c r="R102" s="26">
        <f>Q102+Dev</f>
        <v>0.33419986431478971</v>
      </c>
      <c r="S102" s="27">
        <f>VLOOKUP(A102,'Precios para Valuar'!C:AC,9,FALSE)</f>
        <v>3.5768825170502105</v>
      </c>
      <c r="T102" s="12">
        <f ca="1">O102/$O$113</f>
        <v>1.3462568878455808E-2</v>
      </c>
      <c r="U102" s="127"/>
      <c r="V102" s="77" t="str">
        <f>VLOOKUP(A102,'Precios para Valuar'!$C:$T,8,FALSE)</f>
        <v>devengado</v>
      </c>
      <c r="W102" s="77"/>
      <c r="X102" s="77" t="s">
        <v>309</v>
      </c>
      <c r="Z102" s="125">
        <f ca="1">R102*T102</f>
        <v>4.4991886925084415E-3</v>
      </c>
      <c r="AA102" s="29">
        <f ca="1">S102*T102</f>
        <v>4.8154027255932839E-2</v>
      </c>
    </row>
    <row r="103" spans="1:27" ht="15" customHeight="1">
      <c r="A103" s="32" t="s">
        <v>90</v>
      </c>
      <c r="B103" s="48"/>
      <c r="C103" s="48"/>
      <c r="D103" s="48"/>
      <c r="E103" s="33"/>
      <c r="F103" s="48"/>
      <c r="G103" s="48"/>
      <c r="H103" s="34"/>
      <c r="I103" s="34"/>
      <c r="J103" s="34"/>
      <c r="K103" s="34"/>
      <c r="L103" s="34"/>
      <c r="M103" s="35"/>
      <c r="N103" s="35"/>
      <c r="O103" s="36"/>
      <c r="P103" s="36"/>
      <c r="Q103" s="37"/>
      <c r="R103" s="37"/>
      <c r="S103" s="38"/>
      <c r="T103" s="39"/>
      <c r="U103" s="21"/>
      <c r="V103" s="77"/>
      <c r="W103" s="77"/>
      <c r="X103" s="77"/>
    </row>
    <row r="104" spans="1:27" ht="15" customHeight="1">
      <c r="A104" s="54" t="s">
        <v>80</v>
      </c>
      <c r="B104" s="18"/>
      <c r="C104" s="18"/>
      <c r="D104" s="18"/>
      <c r="E104" s="19"/>
      <c r="F104" s="20"/>
      <c r="G104" s="20"/>
      <c r="H104" s="21"/>
      <c r="I104" s="21"/>
      <c r="J104" s="21"/>
      <c r="K104" s="21"/>
      <c r="L104" s="21"/>
      <c r="M104" s="22"/>
      <c r="N104" s="22"/>
      <c r="O104" s="23"/>
      <c r="P104" s="23"/>
      <c r="Q104" s="12"/>
      <c r="R104" s="12"/>
      <c r="S104" s="27"/>
      <c r="T104" s="12"/>
      <c r="U104" s="30"/>
      <c r="V104" s="77"/>
      <c r="W104" s="77"/>
      <c r="X104" s="77"/>
    </row>
    <row r="105" spans="1:27" ht="15" customHeight="1">
      <c r="A105" s="28" t="s">
        <v>79</v>
      </c>
      <c r="B105" s="18"/>
      <c r="C105" s="18"/>
      <c r="D105" s="18"/>
      <c r="E105" s="19"/>
      <c r="F105" s="20" t="s">
        <v>13</v>
      </c>
      <c r="G105" s="20" t="s">
        <v>298</v>
      </c>
      <c r="H105" s="21">
        <f t="shared" ref="H105:H107" si="111">SUM(J105:K105)</f>
        <v>7424458.8700000001</v>
      </c>
      <c r="I105" s="21"/>
      <c r="J105" s="101">
        <v>7424458.8700000001</v>
      </c>
      <c r="K105" s="101">
        <v>0</v>
      </c>
      <c r="L105" s="88"/>
      <c r="M105" s="22"/>
      <c r="N105" s="22">
        <f ca="1">OFFSET(FCI!$A$1,7-1,MATCH(A105,FCI!$1:$1,0)-1)</f>
        <v>3.7428910000000002</v>
      </c>
      <c r="O105" s="23">
        <f ca="1">+H105*N105</f>
        <v>27788940.284393173</v>
      </c>
      <c r="P105" s="23">
        <f ca="1">O105/$N$109</f>
        <v>754109.6413675216</v>
      </c>
      <c r="Q105" s="12"/>
      <c r="R105" s="12"/>
      <c r="S105" s="27"/>
      <c r="T105" s="12">
        <f ca="1">O105/$O$113</f>
        <v>5.5958105163366545E-3</v>
      </c>
      <c r="U105" s="28"/>
      <c r="V105" s="77"/>
      <c r="W105" s="77"/>
      <c r="X105" s="77"/>
      <c r="Z105" s="125">
        <f ca="1">R105*T105</f>
        <v>0</v>
      </c>
      <c r="AA105" s="29">
        <f ca="1">S105*T105</f>
        <v>0</v>
      </c>
    </row>
    <row r="106" spans="1:27" ht="15" customHeight="1">
      <c r="A106" s="28" t="s">
        <v>68</v>
      </c>
      <c r="B106" s="18"/>
      <c r="C106" s="18"/>
      <c r="D106" s="18"/>
      <c r="E106" s="19"/>
      <c r="F106" s="20" t="s">
        <v>13</v>
      </c>
      <c r="G106" s="20" t="s">
        <v>298</v>
      </c>
      <c r="H106" s="21">
        <f t="shared" si="111"/>
        <v>14321960.51</v>
      </c>
      <c r="I106" s="21"/>
      <c r="J106" s="101">
        <v>13393912.029999999</v>
      </c>
      <c r="K106" s="101">
        <v>928048.48</v>
      </c>
      <c r="L106" s="88"/>
      <c r="M106" s="22"/>
      <c r="N106" s="22">
        <f ca="1">OFFSET(FCI!$A$1,7-1,MATCH(A106,FCI!$1:$1,0)-1)</f>
        <v>3.5252859999999999</v>
      </c>
      <c r="O106" s="23">
        <f ca="1">+H106*N106</f>
        <v>50489006.878455855</v>
      </c>
      <c r="P106" s="23">
        <f ca="1">O106/$N$109</f>
        <v>1370122.3033502267</v>
      </c>
      <c r="Q106" s="12"/>
      <c r="R106" s="12"/>
      <c r="S106" s="27"/>
      <c r="T106" s="12">
        <f ca="1">O106/$O$113</f>
        <v>1.0166883398879724E-2</v>
      </c>
      <c r="U106" s="30"/>
      <c r="V106" s="77"/>
      <c r="W106" s="77"/>
      <c r="X106" s="77" t="s">
        <v>317</v>
      </c>
      <c r="Z106" s="125">
        <f ca="1">R106*T106</f>
        <v>0</v>
      </c>
      <c r="AA106" s="29">
        <f ca="1">S106*T106</f>
        <v>0</v>
      </c>
    </row>
    <row r="107" spans="1:27" ht="15" customHeight="1">
      <c r="A107" s="28" t="s">
        <v>381</v>
      </c>
      <c r="B107" s="18"/>
      <c r="C107" s="18"/>
      <c r="D107" s="18"/>
      <c r="E107" s="19"/>
      <c r="F107" s="20" t="s">
        <v>13</v>
      </c>
      <c r="G107" s="20" t="s">
        <v>298</v>
      </c>
      <c r="H107" s="21">
        <f t="shared" si="111"/>
        <v>187973545.39999998</v>
      </c>
      <c r="I107" s="21"/>
      <c r="J107" s="101">
        <v>174541938.53999999</v>
      </c>
      <c r="K107" s="101">
        <v>13431606.859999999</v>
      </c>
      <c r="L107" s="88"/>
      <c r="M107" s="22"/>
      <c r="N107" s="22">
        <f ca="1">OFFSET(FCI!$A$1,7-1,MATCH(A107,FCI!$1:$1,0)-1)</f>
        <v>0.41430299999999998</v>
      </c>
      <c r="O107" s="23">
        <f ca="1">+H107*N107</f>
        <v>77878003.77985619</v>
      </c>
      <c r="P107" s="23">
        <f ca="1">O107/$N$109</f>
        <v>2113378.664310887</v>
      </c>
      <c r="Q107" s="12"/>
      <c r="R107" s="12"/>
      <c r="S107" s="27"/>
      <c r="T107" s="12">
        <f ca="1">O107/$O$113</f>
        <v>1.5682158012602365E-2</v>
      </c>
      <c r="U107" s="28"/>
      <c r="V107" s="77"/>
      <c r="W107" s="77"/>
      <c r="X107" s="77"/>
      <c r="Z107" s="125">
        <f ca="1">R107*T107</f>
        <v>0</v>
      </c>
      <c r="AA107" s="29">
        <f ca="1">S107*T107</f>
        <v>0</v>
      </c>
    </row>
    <row r="108" spans="1:27" ht="15" customHeight="1">
      <c r="A108" s="32" t="s">
        <v>92</v>
      </c>
      <c r="B108" s="48"/>
      <c r="C108" s="48"/>
      <c r="D108" s="48"/>
      <c r="E108" s="33"/>
      <c r="F108" s="48"/>
      <c r="G108" s="48"/>
      <c r="H108" s="34"/>
      <c r="I108" s="34"/>
      <c r="J108" s="34"/>
      <c r="K108" s="34"/>
      <c r="L108" s="34"/>
      <c r="M108" s="35"/>
      <c r="N108" s="35"/>
      <c r="O108" s="36"/>
      <c r="P108" s="36"/>
      <c r="Q108" s="37"/>
      <c r="R108" s="37"/>
      <c r="S108" s="38"/>
      <c r="T108" s="39"/>
      <c r="U108" s="28"/>
      <c r="V108" s="77"/>
      <c r="W108" s="77"/>
      <c r="X108" s="77"/>
    </row>
    <row r="109" spans="1:27" ht="15" customHeight="1">
      <c r="A109" s="28" t="s">
        <v>31</v>
      </c>
      <c r="B109" s="28"/>
      <c r="C109" s="28"/>
      <c r="D109" s="28"/>
      <c r="E109" s="28"/>
      <c r="F109" s="20" t="s">
        <v>36</v>
      </c>
      <c r="G109" s="20" t="s">
        <v>92</v>
      </c>
      <c r="H109" s="21">
        <f t="shared" ref="H109:H111" si="112">SUM(J109:K109)</f>
        <v>2291609.48</v>
      </c>
      <c r="I109" s="30"/>
      <c r="J109" s="89">
        <v>2199027.42</v>
      </c>
      <c r="K109" s="101">
        <v>92582.06</v>
      </c>
      <c r="L109" s="89"/>
      <c r="M109" s="22"/>
      <c r="N109" s="22">
        <v>36.85</v>
      </c>
      <c r="O109" s="23">
        <f>+H109*N109</f>
        <v>84445809.338</v>
      </c>
      <c r="P109" s="23">
        <f>O109/$N$109</f>
        <v>2291609.48</v>
      </c>
      <c r="Q109" s="56"/>
      <c r="R109" s="56"/>
      <c r="S109" s="27"/>
      <c r="T109" s="12">
        <f ca="1">O109/$O$113</f>
        <v>1.7004705581361444E-2</v>
      </c>
      <c r="U109" s="28"/>
      <c r="V109" s="77"/>
      <c r="W109" s="77"/>
      <c r="X109" s="77"/>
      <c r="Z109" s="125">
        <f ca="1">R109*T109</f>
        <v>0</v>
      </c>
      <c r="AA109" s="29">
        <f ca="1">S109*T109</f>
        <v>0</v>
      </c>
    </row>
    <row r="110" spans="1:27" ht="15" customHeight="1">
      <c r="A110" s="28" t="s">
        <v>31</v>
      </c>
      <c r="B110" s="28"/>
      <c r="C110" s="28"/>
      <c r="D110" s="28"/>
      <c r="E110" s="28"/>
      <c r="F110" s="20" t="s">
        <v>78</v>
      </c>
      <c r="G110" s="20" t="s">
        <v>92</v>
      </c>
      <c r="H110" s="21">
        <f t="shared" si="112"/>
        <v>162649.45000000001</v>
      </c>
      <c r="I110" s="30"/>
      <c r="J110" s="89">
        <v>62333.71</v>
      </c>
      <c r="K110" s="101">
        <v>100315.74</v>
      </c>
      <c r="L110" s="89"/>
      <c r="M110" s="22"/>
      <c r="N110" s="22">
        <v>1</v>
      </c>
      <c r="O110" s="23">
        <f>+H110</f>
        <v>162649.45000000001</v>
      </c>
      <c r="P110" s="23">
        <f>O110/$N$109</f>
        <v>4413.8249660786978</v>
      </c>
      <c r="Q110" s="56"/>
      <c r="R110" s="56"/>
      <c r="S110" s="27"/>
      <c r="T110" s="12">
        <f ca="1">O110/$O$113</f>
        <v>3.2752436525891363E-5</v>
      </c>
      <c r="U110" s="28"/>
      <c r="V110" s="77"/>
      <c r="W110" s="77"/>
      <c r="X110" s="77"/>
      <c r="Z110" s="125">
        <f ca="1">R110*T110</f>
        <v>0</v>
      </c>
      <c r="AA110" s="29">
        <f ca="1">S110*T110</f>
        <v>0</v>
      </c>
    </row>
    <row r="111" spans="1:27" ht="15" customHeight="1">
      <c r="A111" s="5" t="s">
        <v>91</v>
      </c>
      <c r="B111" s="28"/>
      <c r="C111" s="28"/>
      <c r="D111" s="28"/>
      <c r="E111" s="28"/>
      <c r="F111" s="20" t="s">
        <v>78</v>
      </c>
      <c r="G111" s="20" t="s">
        <v>92</v>
      </c>
      <c r="H111" s="21">
        <f t="shared" si="112"/>
        <v>18927783</v>
      </c>
      <c r="I111" s="30"/>
      <c r="J111" s="89">
        <v>18375147</v>
      </c>
      <c r="K111" s="101">
        <v>552636</v>
      </c>
      <c r="L111" s="89"/>
      <c r="M111" s="22"/>
      <c r="N111" s="22">
        <v>1</v>
      </c>
      <c r="O111" s="23">
        <f>+H111</f>
        <v>18927783</v>
      </c>
      <c r="P111" s="23">
        <f>O111/$N$109</f>
        <v>513644.04341926728</v>
      </c>
      <c r="Q111" s="56"/>
      <c r="R111" s="56"/>
      <c r="S111" s="27"/>
      <c r="T111" s="12">
        <f ca="1">O111/$O$113</f>
        <v>3.8114547038637118E-3</v>
      </c>
      <c r="U111" s="28"/>
      <c r="V111" s="77"/>
      <c r="W111" s="77"/>
      <c r="X111" s="77"/>
      <c r="Z111" s="125">
        <f ca="1">R111*T111</f>
        <v>0</v>
      </c>
      <c r="AA111" s="29">
        <f ca="1">S111*T111</f>
        <v>0</v>
      </c>
    </row>
    <row r="112" spans="1:27" ht="15" customHeight="1">
      <c r="A112" s="28"/>
      <c r="B112" s="28"/>
      <c r="C112" s="28"/>
      <c r="D112" s="28"/>
      <c r="E112" s="40"/>
      <c r="F112" s="28"/>
      <c r="G112" s="87"/>
      <c r="H112" s="21"/>
      <c r="I112" s="21"/>
      <c r="J112" s="21"/>
      <c r="K112" s="21"/>
      <c r="L112" s="21"/>
      <c r="M112" s="22"/>
      <c r="N112" s="22"/>
      <c r="O112" s="41"/>
      <c r="P112" s="41"/>
      <c r="Q112" s="57"/>
      <c r="R112" s="57"/>
      <c r="S112" s="43"/>
      <c r="T112" s="44"/>
      <c r="U112" s="28"/>
      <c r="V112" s="77"/>
      <c r="W112" s="77"/>
      <c r="X112" s="77"/>
    </row>
    <row r="113" spans="1:24" ht="15" customHeight="1">
      <c r="A113" s="58" t="s">
        <v>19</v>
      </c>
      <c r="B113" s="59"/>
      <c r="C113" s="59"/>
      <c r="D113" s="59"/>
      <c r="E113" s="59"/>
      <c r="F113" s="60"/>
      <c r="G113" s="60"/>
      <c r="H113" s="61"/>
      <c r="I113" s="61"/>
      <c r="J113" s="61"/>
      <c r="K113" s="61"/>
      <c r="L113" s="61"/>
      <c r="M113" s="62"/>
      <c r="N113" s="62"/>
      <c r="O113" s="63">
        <f ca="1">SUM(O9:O111)</f>
        <v>4966025958.7534142</v>
      </c>
      <c r="P113" s="63">
        <f ca="1">SUM(P9:P111)</f>
        <v>134763255.32573712</v>
      </c>
      <c r="Q113" s="64"/>
      <c r="R113" s="64">
        <f ca="1">SUMPRODUCT(R7:R112,T7:T112)</f>
        <v>0.36378940307687874</v>
      </c>
      <c r="S113" s="65">
        <f ca="1">SUMPRODUCT(S7:S112,T7:T112)</f>
        <v>1.0859239704026957</v>
      </c>
      <c r="T113" s="66">
        <v>1</v>
      </c>
      <c r="U113" s="67"/>
      <c r="V113" s="80"/>
      <c r="W113" s="80"/>
      <c r="X113" s="80"/>
    </row>
    <row r="114" spans="1:24" ht="15" customHeight="1">
      <c r="A114" s="28"/>
      <c r="B114" s="28"/>
      <c r="C114" s="28"/>
      <c r="D114" s="28"/>
      <c r="E114" s="28"/>
      <c r="F114" s="28"/>
      <c r="G114" s="87"/>
      <c r="H114" s="68"/>
      <c r="I114" s="68"/>
      <c r="J114" s="68"/>
      <c r="K114" s="68"/>
      <c r="L114" s="68"/>
      <c r="M114" s="22"/>
      <c r="N114" s="22"/>
      <c r="O114" s="30"/>
      <c r="P114" s="30"/>
      <c r="Q114" s="20"/>
      <c r="R114" s="20"/>
      <c r="S114" s="69"/>
      <c r="T114" s="12"/>
      <c r="U114" s="28"/>
      <c r="V114" s="77"/>
      <c r="W114" s="77"/>
      <c r="X114" s="77"/>
    </row>
    <row r="115" spans="1:24" ht="15" customHeight="1">
      <c r="A115" s="28"/>
      <c r="B115" s="28"/>
      <c r="C115" s="28"/>
      <c r="D115" s="28"/>
      <c r="E115" s="28"/>
      <c r="F115" s="28"/>
      <c r="G115" s="87"/>
      <c r="H115" s="68"/>
      <c r="I115" s="68"/>
      <c r="J115" s="68"/>
      <c r="K115" s="68"/>
      <c r="L115" s="68"/>
      <c r="M115" s="22"/>
      <c r="N115" s="22"/>
      <c r="O115" s="30"/>
      <c r="P115" s="30"/>
      <c r="Q115" s="20"/>
      <c r="R115" s="20"/>
      <c r="S115" s="69"/>
      <c r="T115" s="12"/>
      <c r="U115" s="28"/>
      <c r="V115" s="77"/>
      <c r="W115" s="77"/>
      <c r="X115" s="77"/>
    </row>
    <row r="116" spans="1:24" ht="15" customHeight="1">
      <c r="A116" s="28" t="s">
        <v>261</v>
      </c>
      <c r="B116" s="87"/>
      <c r="C116" s="28"/>
      <c r="D116" s="28"/>
      <c r="E116" s="28"/>
      <c r="F116" s="28"/>
      <c r="G116" s="87"/>
      <c r="H116" s="68"/>
      <c r="I116" s="68"/>
      <c r="J116" s="68"/>
      <c r="K116" s="68"/>
      <c r="L116" s="68"/>
      <c r="M116" s="22"/>
      <c r="N116" s="22"/>
      <c r="O116" s="30"/>
      <c r="P116" s="30"/>
      <c r="Q116" s="20"/>
      <c r="R116" s="20"/>
      <c r="S116" s="69"/>
      <c r="T116" s="12"/>
      <c r="U116" s="28"/>
      <c r="V116" s="77"/>
      <c r="W116" s="77"/>
      <c r="X116" s="77"/>
    </row>
    <row r="117" spans="1:24" ht="15" customHeight="1">
      <c r="A117" s="87" t="s">
        <v>258</v>
      </c>
      <c r="B117" s="87"/>
      <c r="C117" s="87"/>
      <c r="D117" s="100">
        <v>0.36013000000000001</v>
      </c>
      <c r="E117" s="87"/>
      <c r="F117" s="87"/>
      <c r="G117" s="87"/>
      <c r="H117" s="68"/>
      <c r="I117" s="68"/>
      <c r="J117" s="68"/>
      <c r="K117" s="68"/>
      <c r="L117" s="68"/>
      <c r="M117" s="22"/>
      <c r="N117" s="22"/>
      <c r="O117" s="30"/>
      <c r="P117" s="30"/>
      <c r="Q117" s="20"/>
      <c r="R117" s="20"/>
      <c r="S117" s="69"/>
      <c r="T117" s="12"/>
      <c r="U117" s="87"/>
      <c r="V117" s="77"/>
      <c r="W117" s="77"/>
      <c r="X117" s="77"/>
    </row>
    <row r="118" spans="1:24" ht="15" customHeight="1">
      <c r="A118" s="87" t="s">
        <v>289</v>
      </c>
      <c r="B118" s="87"/>
      <c r="C118" s="87"/>
      <c r="D118" s="100">
        <v>0.37475000000000003</v>
      </c>
      <c r="E118" s="87"/>
      <c r="F118" s="87"/>
      <c r="G118" s="87"/>
      <c r="H118" s="68"/>
      <c r="I118" s="68"/>
      <c r="J118" s="68"/>
      <c r="K118" s="68"/>
      <c r="L118" s="68"/>
      <c r="M118" s="22"/>
      <c r="N118" s="22"/>
      <c r="O118" s="30"/>
      <c r="P118" s="30"/>
      <c r="Q118" s="20"/>
      <c r="R118" s="20"/>
      <c r="S118" s="69"/>
      <c r="T118" s="12"/>
      <c r="U118" s="87"/>
      <c r="V118" s="77"/>
      <c r="W118" s="77"/>
      <c r="X118" s="77"/>
    </row>
    <row r="119" spans="1:24" ht="15" customHeight="1">
      <c r="A119" s="87" t="s">
        <v>259</v>
      </c>
      <c r="B119" s="87"/>
      <c r="C119" s="87"/>
      <c r="D119" s="100">
        <v>0.315</v>
      </c>
      <c r="E119" s="87"/>
      <c r="F119" s="87"/>
      <c r="G119" s="87"/>
      <c r="H119" s="21"/>
      <c r="I119" s="21"/>
      <c r="J119" s="21"/>
      <c r="K119" s="21"/>
      <c r="L119" s="21"/>
      <c r="M119" s="22"/>
      <c r="N119" s="22"/>
      <c r="O119" s="87"/>
      <c r="P119" s="87"/>
      <c r="Q119" s="20"/>
      <c r="R119" s="20"/>
      <c r="S119" s="69"/>
      <c r="T119" s="12"/>
      <c r="U119" s="87"/>
      <c r="V119" s="77"/>
      <c r="W119" s="77"/>
      <c r="X119" s="77"/>
    </row>
    <row r="120" spans="1:24" ht="15" customHeight="1">
      <c r="A120" s="87" t="s">
        <v>260</v>
      </c>
      <c r="B120" s="87"/>
      <c r="C120" s="87"/>
      <c r="D120" s="100">
        <f>46.7/N109-1</f>
        <v>0.26729986431478969</v>
      </c>
      <c r="E120" s="87"/>
      <c r="F120" s="87"/>
      <c r="G120" s="87"/>
      <c r="H120" s="21"/>
      <c r="I120" s="21"/>
      <c r="J120" s="21"/>
      <c r="K120" s="21"/>
      <c r="L120" s="21"/>
      <c r="M120" s="22"/>
      <c r="N120" s="22"/>
      <c r="O120" s="124"/>
      <c r="P120" s="87"/>
      <c r="Q120" s="20"/>
      <c r="R120" s="20"/>
      <c r="S120" s="69"/>
      <c r="T120" s="12"/>
      <c r="U120" s="87"/>
      <c r="V120" s="77"/>
      <c r="W120" s="77"/>
      <c r="X120" s="77"/>
    </row>
    <row r="121" spans="1:24" ht="15" customHeight="1">
      <c r="A121" s="87"/>
      <c r="B121" s="87"/>
      <c r="C121" s="87"/>
      <c r="D121" s="87"/>
      <c r="E121" s="87"/>
      <c r="F121" s="87"/>
      <c r="G121" s="87"/>
      <c r="H121" s="21"/>
      <c r="I121" s="21"/>
      <c r="J121" s="21"/>
      <c r="K121" s="21"/>
      <c r="L121" s="21"/>
      <c r="M121" s="22"/>
      <c r="N121" s="22"/>
      <c r="O121" s="87"/>
      <c r="P121" s="87"/>
      <c r="Q121" s="20"/>
      <c r="R121" s="20"/>
      <c r="S121" s="69"/>
      <c r="T121" s="12"/>
      <c r="U121" s="87"/>
      <c r="V121" s="77"/>
      <c r="W121" s="77"/>
      <c r="X121" s="77"/>
    </row>
  </sheetData>
  <mergeCells count="1">
    <mergeCell ref="Z2:AA2"/>
  </mergeCells>
  <conditionalFormatting sqref="E33 E37 E97 E18 E102 E100 E9:E10 E52:E53 E13 E15:E16">
    <cfRule type="cellIs" dxfId="58" priority="76" operator="lessThan">
      <formula>#REF!</formula>
    </cfRule>
  </conditionalFormatting>
  <conditionalFormatting sqref="E34">
    <cfRule type="cellIs" dxfId="57" priority="74" operator="lessThanOrEqual">
      <formula>#REF!</formula>
    </cfRule>
  </conditionalFormatting>
  <conditionalFormatting sqref="E43:E44 E47">
    <cfRule type="cellIs" dxfId="56" priority="73" operator="lessThanOrEqual">
      <formula>#REF!</formula>
    </cfRule>
  </conditionalFormatting>
  <conditionalFormatting sqref="E22:E23 E57:E58 E61">
    <cfRule type="cellIs" dxfId="55" priority="72" operator="lessThan">
      <formula>#REF!</formula>
    </cfRule>
  </conditionalFormatting>
  <conditionalFormatting sqref="E49">
    <cfRule type="cellIs" dxfId="54" priority="69" operator="lessThanOrEqual">
      <formula>#REF!</formula>
    </cfRule>
  </conditionalFormatting>
  <conditionalFormatting sqref="E67">
    <cfRule type="cellIs" dxfId="53" priority="68" operator="lessThan">
      <formula>#REF!</formula>
    </cfRule>
  </conditionalFormatting>
  <conditionalFormatting sqref="E51">
    <cfRule type="cellIs" dxfId="52" priority="67" operator="lessThanOrEqual">
      <formula>#REF!</formula>
    </cfRule>
  </conditionalFormatting>
  <conditionalFormatting sqref="E36">
    <cfRule type="cellIs" dxfId="51" priority="64" operator="lessThanOrEqual">
      <formula>#REF!</formula>
    </cfRule>
  </conditionalFormatting>
  <conditionalFormatting sqref="E28">
    <cfRule type="cellIs" dxfId="50" priority="63" operator="lessThan">
      <formula>#REF!</formula>
    </cfRule>
  </conditionalFormatting>
  <conditionalFormatting sqref="E30 E32">
    <cfRule type="cellIs" dxfId="49" priority="62" operator="lessThanOrEqual">
      <formula>#REF!</formula>
    </cfRule>
  </conditionalFormatting>
  <conditionalFormatting sqref="E48">
    <cfRule type="cellIs" dxfId="48" priority="61" operator="lessThanOrEqual">
      <formula>#REF!</formula>
    </cfRule>
  </conditionalFormatting>
  <conditionalFormatting sqref="E61">
    <cfRule type="cellIs" dxfId="47" priority="59" operator="lessThan">
      <formula>#REF!</formula>
    </cfRule>
  </conditionalFormatting>
  <conditionalFormatting sqref="E50">
    <cfRule type="cellIs" dxfId="46" priority="58" operator="lessThanOrEqual">
      <formula>#REF!</formula>
    </cfRule>
  </conditionalFormatting>
  <conditionalFormatting sqref="E55">
    <cfRule type="cellIs" dxfId="45" priority="57" operator="lessThan">
      <formula>#REF!</formula>
    </cfRule>
  </conditionalFormatting>
  <conditionalFormatting sqref="E17">
    <cfRule type="cellIs" dxfId="44" priority="56" operator="lessThanOrEqual">
      <formula>#REF!</formula>
    </cfRule>
  </conditionalFormatting>
  <conditionalFormatting sqref="E39">
    <cfRule type="cellIs" dxfId="43" priority="55" operator="lessThan">
      <formula>#REF!</formula>
    </cfRule>
  </conditionalFormatting>
  <conditionalFormatting sqref="E66:E68">
    <cfRule type="cellIs" dxfId="42" priority="52" operator="lessThan">
      <formula>#REF!</formula>
    </cfRule>
  </conditionalFormatting>
  <conditionalFormatting sqref="E66">
    <cfRule type="cellIs" dxfId="41" priority="51" operator="lessThan">
      <formula>#REF!</formula>
    </cfRule>
  </conditionalFormatting>
  <conditionalFormatting sqref="E68">
    <cfRule type="cellIs" dxfId="40" priority="50" operator="lessThan">
      <formula>#REF!</formula>
    </cfRule>
  </conditionalFormatting>
  <conditionalFormatting sqref="E38">
    <cfRule type="cellIs" dxfId="39" priority="46" operator="lessThan">
      <formula>#REF!</formula>
    </cfRule>
  </conditionalFormatting>
  <conditionalFormatting sqref="E41">
    <cfRule type="cellIs" dxfId="38" priority="45" operator="lessThanOrEqual">
      <formula>#REF!</formula>
    </cfRule>
  </conditionalFormatting>
  <conditionalFormatting sqref="E25">
    <cfRule type="cellIs" dxfId="37" priority="44" operator="lessThan">
      <formula>#REF!</formula>
    </cfRule>
  </conditionalFormatting>
  <conditionalFormatting sqref="E74 E76:E78">
    <cfRule type="cellIs" dxfId="36" priority="40" operator="lessThan">
      <formula>#REF!</formula>
    </cfRule>
  </conditionalFormatting>
  <conditionalFormatting sqref="E74 E76:E78">
    <cfRule type="cellIs" dxfId="35" priority="39" operator="lessThan">
      <formula>#REF!</formula>
    </cfRule>
  </conditionalFormatting>
  <conditionalFormatting sqref="E69:E70">
    <cfRule type="cellIs" dxfId="34" priority="38" operator="lessThan">
      <formula>#REF!</formula>
    </cfRule>
  </conditionalFormatting>
  <conditionalFormatting sqref="E69:E70">
    <cfRule type="cellIs" dxfId="33" priority="37" operator="lessThan">
      <formula>#REF!</formula>
    </cfRule>
  </conditionalFormatting>
  <conditionalFormatting sqref="E46">
    <cfRule type="cellIs" dxfId="32" priority="36" operator="lessThanOrEqual">
      <formula>#REF!</formula>
    </cfRule>
  </conditionalFormatting>
  <conditionalFormatting sqref="E29">
    <cfRule type="cellIs" dxfId="31" priority="35" operator="lessThanOrEqual">
      <formula>#REF!</formula>
    </cfRule>
  </conditionalFormatting>
  <conditionalFormatting sqref="E54">
    <cfRule type="cellIs" dxfId="30" priority="34" operator="lessThan">
      <formula>#REF!</formula>
    </cfRule>
  </conditionalFormatting>
  <conditionalFormatting sqref="E20">
    <cfRule type="cellIs" dxfId="29" priority="33" operator="lessThan">
      <formula>#REF!</formula>
    </cfRule>
  </conditionalFormatting>
  <conditionalFormatting sqref="E42">
    <cfRule type="cellIs" dxfId="28" priority="32" operator="lessThanOrEqual">
      <formula>#REF!</formula>
    </cfRule>
  </conditionalFormatting>
  <conditionalFormatting sqref="E71">
    <cfRule type="cellIs" dxfId="27" priority="28" operator="lessThan">
      <formula>#REF!</formula>
    </cfRule>
  </conditionalFormatting>
  <conditionalFormatting sqref="E71">
    <cfRule type="cellIs" dxfId="26" priority="29" operator="lessThan">
      <formula>#REF!</formula>
    </cfRule>
  </conditionalFormatting>
  <conditionalFormatting sqref="E72">
    <cfRule type="cellIs" dxfId="25" priority="27" operator="lessThan">
      <formula>#REF!</formula>
    </cfRule>
  </conditionalFormatting>
  <conditionalFormatting sqref="E72">
    <cfRule type="cellIs" dxfId="24" priority="26" operator="lessThan">
      <formula>#REF!</formula>
    </cfRule>
  </conditionalFormatting>
  <conditionalFormatting sqref="E73">
    <cfRule type="cellIs" dxfId="23" priority="25" operator="lessThan">
      <formula>#REF!</formula>
    </cfRule>
  </conditionalFormatting>
  <conditionalFormatting sqref="E73">
    <cfRule type="cellIs" dxfId="22" priority="24" operator="lessThan">
      <formula>#REF!</formula>
    </cfRule>
  </conditionalFormatting>
  <conditionalFormatting sqref="E75">
    <cfRule type="cellIs" dxfId="21" priority="23" operator="lessThan">
      <formula>#REF!</formula>
    </cfRule>
  </conditionalFormatting>
  <conditionalFormatting sqref="E75">
    <cfRule type="cellIs" dxfId="20" priority="22" operator="lessThan">
      <formula>#REF!</formula>
    </cfRule>
  </conditionalFormatting>
  <conditionalFormatting sqref="E35">
    <cfRule type="cellIs" dxfId="19" priority="20" operator="lessThanOrEqual">
      <formula>#REF!</formula>
    </cfRule>
  </conditionalFormatting>
  <conditionalFormatting sqref="E40">
    <cfRule type="cellIs" dxfId="18" priority="19" operator="lessThan">
      <formula>#REF!</formula>
    </cfRule>
  </conditionalFormatting>
  <conditionalFormatting sqref="E45">
    <cfRule type="cellIs" dxfId="17" priority="18" operator="lessThanOrEqual">
      <formula>#REF!</formula>
    </cfRule>
  </conditionalFormatting>
  <conditionalFormatting sqref="E65">
    <cfRule type="cellIs" dxfId="16" priority="17" operator="lessThan">
      <formula>#REF!</formula>
    </cfRule>
  </conditionalFormatting>
  <conditionalFormatting sqref="E65">
    <cfRule type="cellIs" dxfId="15" priority="16" operator="lessThan">
      <formula>#REF!</formula>
    </cfRule>
  </conditionalFormatting>
  <conditionalFormatting sqref="E24">
    <cfRule type="cellIs" dxfId="14" priority="15" operator="lessThan">
      <formula>#REF!</formula>
    </cfRule>
  </conditionalFormatting>
  <conditionalFormatting sqref="E19">
    <cfRule type="cellIs" dxfId="13" priority="14" operator="lessThan">
      <formula>#REF!</formula>
    </cfRule>
  </conditionalFormatting>
  <conditionalFormatting sqref="E6">
    <cfRule type="cellIs" dxfId="12" priority="13" operator="lessThan">
      <formula>#REF!</formula>
    </cfRule>
  </conditionalFormatting>
  <conditionalFormatting sqref="E5">
    <cfRule type="cellIs" dxfId="11" priority="12" operator="lessThan">
      <formula>#REF!</formula>
    </cfRule>
  </conditionalFormatting>
  <conditionalFormatting sqref="E59">
    <cfRule type="cellIs" dxfId="10" priority="11" operator="lessThan">
      <formula>#REF!</formula>
    </cfRule>
  </conditionalFormatting>
  <conditionalFormatting sqref="E60">
    <cfRule type="cellIs" dxfId="9" priority="10" operator="lessThan">
      <formula>#REF!</formula>
    </cfRule>
  </conditionalFormatting>
  <conditionalFormatting sqref="E60">
    <cfRule type="cellIs" dxfId="8" priority="9" operator="lessThan">
      <formula>#REF!</formula>
    </cfRule>
  </conditionalFormatting>
  <conditionalFormatting sqref="E62:E64">
    <cfRule type="cellIs" dxfId="7" priority="8" operator="lessThan">
      <formula>#REF!</formula>
    </cfRule>
  </conditionalFormatting>
  <conditionalFormatting sqref="E62:E64">
    <cfRule type="cellIs" dxfId="6" priority="7" operator="lessThan">
      <formula>#REF!</formula>
    </cfRule>
  </conditionalFormatting>
  <conditionalFormatting sqref="E12">
    <cfRule type="cellIs" dxfId="5" priority="6" operator="lessThan">
      <formula>#REF!</formula>
    </cfRule>
  </conditionalFormatting>
  <conditionalFormatting sqref="E11">
    <cfRule type="cellIs" dxfId="4" priority="5" operator="lessThan">
      <formula>#REF!</formula>
    </cfRule>
  </conditionalFormatting>
  <conditionalFormatting sqref="E8">
    <cfRule type="cellIs" dxfId="3" priority="4" operator="lessThan">
      <formula>#REF!</formula>
    </cfRule>
  </conditionalFormatting>
  <conditionalFormatting sqref="E14">
    <cfRule type="cellIs" dxfId="2" priority="3" operator="lessThan">
      <formula>#REF!</formula>
    </cfRule>
  </conditionalFormatting>
  <conditionalFormatting sqref="E21">
    <cfRule type="cellIs" dxfId="1" priority="2" operator="lessThan">
      <formula>#REF!</formula>
    </cfRule>
  </conditionalFormatting>
  <conditionalFormatting sqref="E31">
    <cfRule type="cellIs" dxfId="0" priority="1" operator="lessThanOrEqual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03"/>
  <sheetViews>
    <sheetView workbookViewId="0">
      <selection activeCell="B7" sqref="B7"/>
    </sheetView>
  </sheetViews>
  <sheetFormatPr baseColWidth="10" defaultRowHeight="15"/>
  <sheetData>
    <row r="1" spans="1:20">
      <c r="B1" s="86" t="s">
        <v>72</v>
      </c>
      <c r="C1" s="86" t="s">
        <v>43</v>
      </c>
      <c r="D1" s="86" t="s">
        <v>364</v>
      </c>
      <c r="E1" s="86" t="s">
        <v>366</v>
      </c>
      <c r="F1" s="85" t="s">
        <v>25</v>
      </c>
      <c r="G1" s="85" t="s">
        <v>365</v>
      </c>
      <c r="H1" s="85" t="s">
        <v>81</v>
      </c>
      <c r="I1" s="85" t="s">
        <v>82</v>
      </c>
      <c r="J1" s="85" t="s">
        <v>38</v>
      </c>
      <c r="K1" t="s">
        <v>83</v>
      </c>
      <c r="L1" t="s">
        <v>329</v>
      </c>
      <c r="M1" t="s">
        <v>60</v>
      </c>
      <c r="N1" t="s">
        <v>68</v>
      </c>
      <c r="O1" t="s">
        <v>79</v>
      </c>
      <c r="P1" t="s">
        <v>381</v>
      </c>
      <c r="R1" s="94" t="s">
        <v>201</v>
      </c>
      <c r="S1" s="94"/>
      <c r="T1" s="94"/>
    </row>
    <row r="2" spans="1:20">
      <c r="A2" t="s">
        <v>382</v>
      </c>
    </row>
    <row r="3" spans="1:20">
      <c r="A3" t="s">
        <v>178</v>
      </c>
      <c r="B3" t="s">
        <v>179</v>
      </c>
      <c r="C3" t="s">
        <v>179</v>
      </c>
      <c r="D3" t="s">
        <v>383</v>
      </c>
      <c r="E3" t="s">
        <v>179</v>
      </c>
      <c r="F3" t="s">
        <v>179</v>
      </c>
      <c r="G3" t="s">
        <v>179</v>
      </c>
      <c r="H3" t="s">
        <v>179</v>
      </c>
      <c r="I3" t="s">
        <v>383</v>
      </c>
      <c r="J3" t="s">
        <v>179</v>
      </c>
      <c r="K3" t="s">
        <v>179</v>
      </c>
      <c r="L3" t="s">
        <v>179</v>
      </c>
      <c r="M3" t="s">
        <v>179</v>
      </c>
      <c r="N3" t="s">
        <v>179</v>
      </c>
      <c r="O3" t="s">
        <v>179</v>
      </c>
      <c r="P3" t="s">
        <v>179</v>
      </c>
    </row>
    <row r="4" spans="1:20">
      <c r="A4" s="82">
        <v>43348</v>
      </c>
      <c r="B4">
        <v>8.9352830000000001</v>
      </c>
      <c r="C4">
        <v>1.0146980000000001</v>
      </c>
      <c r="D4" t="s">
        <v>384</v>
      </c>
      <c r="E4">
        <v>3.906218</v>
      </c>
      <c r="F4">
        <v>7.8826919999999996</v>
      </c>
      <c r="G4">
        <v>1.003125</v>
      </c>
      <c r="H4">
        <v>6.5927119999999997</v>
      </c>
      <c r="I4" t="s">
        <v>384</v>
      </c>
      <c r="J4">
        <v>6.8872109999999997</v>
      </c>
      <c r="K4">
        <v>4.2920179999999997</v>
      </c>
      <c r="L4">
        <v>0.85596799999999995</v>
      </c>
      <c r="M4">
        <v>3.8533309999999998</v>
      </c>
      <c r="N4">
        <v>3.5480049999999999</v>
      </c>
      <c r="O4">
        <v>3.7583880000000001</v>
      </c>
      <c r="P4">
        <v>0.41987600000000003</v>
      </c>
    </row>
    <row r="5" spans="1:20">
      <c r="A5" s="82">
        <v>43347</v>
      </c>
      <c r="B5">
        <v>8.9285440000000005</v>
      </c>
      <c r="C5">
        <v>1.0146109999999999</v>
      </c>
      <c r="E5">
        <v>3.9019689999999998</v>
      </c>
      <c r="F5">
        <v>7.8650679999999999</v>
      </c>
      <c r="G5">
        <v>1.003099</v>
      </c>
      <c r="H5">
        <v>6.5921649999999996</v>
      </c>
      <c r="J5">
        <v>6.8794959999999996</v>
      </c>
      <c r="K5">
        <v>4.2864250000000004</v>
      </c>
      <c r="L5">
        <v>0.86075100000000004</v>
      </c>
      <c r="M5">
        <v>3.833704</v>
      </c>
      <c r="N5">
        <v>3.543482</v>
      </c>
      <c r="O5">
        <v>3.7537099999999999</v>
      </c>
      <c r="P5">
        <v>0.42119499999999999</v>
      </c>
    </row>
    <row r="6" spans="1:20">
      <c r="A6" s="82">
        <v>43346</v>
      </c>
      <c r="B6">
        <v>8.9217899999999997</v>
      </c>
      <c r="C6">
        <v>1.0145900000000001</v>
      </c>
      <c r="E6">
        <v>3.898177</v>
      </c>
      <c r="F6">
        <v>7.8609540000000004</v>
      </c>
      <c r="G6">
        <v>1.003071</v>
      </c>
      <c r="H6">
        <v>6.5839290000000004</v>
      </c>
      <c r="J6">
        <v>6.8689150000000003</v>
      </c>
      <c r="K6">
        <v>4.2721070000000001</v>
      </c>
      <c r="L6">
        <v>0.83627499999999999</v>
      </c>
      <c r="M6">
        <v>3.8236219999999999</v>
      </c>
      <c r="N6">
        <v>3.5385949999999999</v>
      </c>
      <c r="O6">
        <v>3.7510080000000001</v>
      </c>
      <c r="P6">
        <v>0.41594999999999999</v>
      </c>
    </row>
    <row r="7" spans="1:20">
      <c r="A7" s="82">
        <v>43343</v>
      </c>
      <c r="B7">
        <v>8.9070049999999998</v>
      </c>
      <c r="C7">
        <v>1.014537</v>
      </c>
      <c r="E7">
        <v>3.8868429999999998</v>
      </c>
      <c r="F7">
        <v>7.8479809999999999</v>
      </c>
      <c r="G7">
        <v>1.0029870000000001</v>
      </c>
      <c r="H7">
        <v>6.5532979999999998</v>
      </c>
      <c r="J7">
        <v>6.8400480000000003</v>
      </c>
      <c r="K7">
        <v>4.2534890000000001</v>
      </c>
      <c r="L7">
        <v>0.82834399999999997</v>
      </c>
      <c r="M7">
        <v>3.817949</v>
      </c>
      <c r="N7">
        <v>3.5252859999999999</v>
      </c>
      <c r="O7">
        <v>3.7428910000000002</v>
      </c>
      <c r="P7">
        <v>0.41430299999999998</v>
      </c>
    </row>
    <row r="8" spans="1:20">
      <c r="A8" s="82">
        <v>43342</v>
      </c>
      <c r="B8">
        <v>8.9010689999999997</v>
      </c>
      <c r="C8">
        <v>1.0143200000000001</v>
      </c>
      <c r="E8">
        <v>3.8837280000000001</v>
      </c>
      <c r="F8">
        <v>7.8043769999999997</v>
      </c>
      <c r="G8">
        <v>1.0029999999999999</v>
      </c>
      <c r="H8">
        <v>6.5366</v>
      </c>
      <c r="J8">
        <v>6.8194509999999999</v>
      </c>
      <c r="K8">
        <v>4.2385739999999998</v>
      </c>
      <c r="L8">
        <v>0.83596199999999998</v>
      </c>
      <c r="M8">
        <v>3.8135180000000002</v>
      </c>
      <c r="N8">
        <v>3.5203150000000001</v>
      </c>
      <c r="O8">
        <v>3.7475100000000001</v>
      </c>
      <c r="P8">
        <v>0.41961300000000001</v>
      </c>
    </row>
    <row r="9" spans="1:20">
      <c r="A9" s="82">
        <v>43341</v>
      </c>
      <c r="B9">
        <v>8.8944790000000005</v>
      </c>
      <c r="C9">
        <v>1.034343</v>
      </c>
      <c r="E9">
        <v>3.8808099999999999</v>
      </c>
      <c r="F9">
        <v>7.9056740000000003</v>
      </c>
      <c r="G9">
        <v>1.0029440000000001</v>
      </c>
      <c r="H9">
        <v>7.1848049999999999</v>
      </c>
      <c r="J9">
        <v>6.9854159999999998</v>
      </c>
      <c r="K9">
        <v>4.4023329999999996</v>
      </c>
      <c r="L9">
        <v>0.79357200000000006</v>
      </c>
      <c r="M9">
        <v>3.9146260000000002</v>
      </c>
      <c r="N9">
        <v>3.5788389999999999</v>
      </c>
      <c r="O9">
        <v>3.7452190000000001</v>
      </c>
      <c r="P9">
        <v>0.408028</v>
      </c>
    </row>
    <row r="10" spans="1:20">
      <c r="A10" s="82">
        <v>43340</v>
      </c>
      <c r="B10">
        <v>8.888026</v>
      </c>
      <c r="C10">
        <v>1.034311</v>
      </c>
      <c r="E10">
        <v>3.8779970000000001</v>
      </c>
      <c r="F10">
        <v>7.9057170000000001</v>
      </c>
      <c r="G10">
        <v>1.002753</v>
      </c>
      <c r="H10">
        <v>7.1823370000000004</v>
      </c>
      <c r="J10">
        <v>6.9796110000000002</v>
      </c>
      <c r="K10">
        <v>4.4059429999999997</v>
      </c>
      <c r="L10">
        <v>0.77296399999999998</v>
      </c>
      <c r="M10">
        <v>3.911305</v>
      </c>
      <c r="N10">
        <v>3.5760939999999999</v>
      </c>
      <c r="O10">
        <v>3.7426300000000001</v>
      </c>
      <c r="P10">
        <v>0.40013900000000002</v>
      </c>
    </row>
    <row r="11" spans="1:20">
      <c r="A11" s="82">
        <v>43339</v>
      </c>
      <c r="B11">
        <v>8.8816780000000008</v>
      </c>
      <c r="C11">
        <v>1.034284</v>
      </c>
      <c r="E11">
        <v>3.8753090000000001</v>
      </c>
      <c r="F11">
        <v>7.9181080000000001</v>
      </c>
      <c r="G11">
        <v>1.0201979999999999</v>
      </c>
      <c r="H11">
        <v>7.1788679999999996</v>
      </c>
      <c r="J11">
        <v>6.9732919999999998</v>
      </c>
      <c r="K11">
        <v>4.4025699999999999</v>
      </c>
      <c r="L11">
        <v>0.76523600000000003</v>
      </c>
      <c r="M11">
        <v>3.9071959999999999</v>
      </c>
      <c r="N11">
        <v>3.5738189999999999</v>
      </c>
      <c r="O11">
        <v>3.739986</v>
      </c>
      <c r="P11">
        <v>0.39934900000000001</v>
      </c>
    </row>
    <row r="12" spans="1:20">
      <c r="A12" s="82">
        <v>43336</v>
      </c>
      <c r="B12">
        <v>8.8633279999999992</v>
      </c>
      <c r="C12">
        <v>1.034235</v>
      </c>
      <c r="E12">
        <v>3.8671289999999998</v>
      </c>
      <c r="F12">
        <v>7.9075199999999999</v>
      </c>
      <c r="G12">
        <v>1.0238100000000001</v>
      </c>
      <c r="H12">
        <v>7.1706390000000004</v>
      </c>
      <c r="J12">
        <v>6.9596039999999997</v>
      </c>
      <c r="K12">
        <v>4.3914920000000004</v>
      </c>
      <c r="L12">
        <v>0.76486799999999999</v>
      </c>
      <c r="M12">
        <v>3.8899659999999998</v>
      </c>
      <c r="N12">
        <v>3.5650650000000002</v>
      </c>
      <c r="O12">
        <v>3.7294170000000002</v>
      </c>
      <c r="P12">
        <v>0.39904099999999998</v>
      </c>
    </row>
    <row r="13" spans="1:20">
      <c r="A13" s="82">
        <v>43335</v>
      </c>
      <c r="B13">
        <v>8.85717</v>
      </c>
      <c r="C13">
        <v>1.034165</v>
      </c>
      <c r="E13">
        <v>3.864436</v>
      </c>
      <c r="F13">
        <v>7.9011950000000004</v>
      </c>
      <c r="G13">
        <v>1.0241499999999999</v>
      </c>
      <c r="H13">
        <v>7.1644259999999997</v>
      </c>
      <c r="J13">
        <v>6.9516520000000002</v>
      </c>
      <c r="K13">
        <v>4.3865559999999997</v>
      </c>
      <c r="L13">
        <v>0.75758800000000004</v>
      </c>
      <c r="M13">
        <v>3.886574</v>
      </c>
      <c r="N13">
        <v>3.5624120000000001</v>
      </c>
      <c r="O13">
        <v>3.7268659999999998</v>
      </c>
      <c r="P13">
        <v>0.39774700000000002</v>
      </c>
    </row>
    <row r="14" spans="1:20">
      <c r="A14" s="82">
        <v>43334</v>
      </c>
      <c r="B14">
        <v>8.8510460000000002</v>
      </c>
      <c r="C14">
        <v>1.034111</v>
      </c>
      <c r="E14">
        <v>3.8618429999999999</v>
      </c>
      <c r="F14">
        <v>7.8933619999999998</v>
      </c>
      <c r="G14">
        <v>1.0242009999999999</v>
      </c>
      <c r="H14">
        <v>7.1619149999999996</v>
      </c>
      <c r="J14">
        <v>6.9444840000000001</v>
      </c>
      <c r="K14">
        <v>4.3762449999999999</v>
      </c>
      <c r="L14">
        <v>0.75306799999999996</v>
      </c>
      <c r="M14">
        <v>3.878857</v>
      </c>
      <c r="N14">
        <v>3.5593240000000002</v>
      </c>
      <c r="O14">
        <v>3.724326</v>
      </c>
      <c r="P14">
        <v>0.39685900000000002</v>
      </c>
    </row>
    <row r="15" spans="1:20">
      <c r="A15" s="82">
        <v>43333</v>
      </c>
      <c r="B15">
        <v>8.8446829999999999</v>
      </c>
      <c r="C15">
        <v>1.034057</v>
      </c>
      <c r="E15">
        <v>3.8592610000000001</v>
      </c>
      <c r="F15">
        <v>7.8860029999999997</v>
      </c>
      <c r="G15">
        <v>1.024186</v>
      </c>
      <c r="H15">
        <v>7.1580880000000002</v>
      </c>
      <c r="J15">
        <v>6.9367340000000004</v>
      </c>
      <c r="K15">
        <v>4.3717550000000003</v>
      </c>
      <c r="L15">
        <v>0.74915600000000004</v>
      </c>
      <c r="M15">
        <v>3.8754770000000001</v>
      </c>
      <c r="N15">
        <v>3.5564300000000002</v>
      </c>
      <c r="O15">
        <v>3.7209789999999998</v>
      </c>
      <c r="P15">
        <v>0.39612700000000001</v>
      </c>
    </row>
    <row r="16" spans="1:20">
      <c r="A16" s="82">
        <v>43329</v>
      </c>
      <c r="B16">
        <v>8.819502</v>
      </c>
      <c r="C16">
        <v>1.034009</v>
      </c>
      <c r="E16">
        <v>3.8489420000000001</v>
      </c>
      <c r="F16">
        <v>7.8722190000000003</v>
      </c>
      <c r="G16">
        <v>1.0260229999999999</v>
      </c>
      <c r="H16">
        <v>7.1915420000000001</v>
      </c>
      <c r="J16">
        <v>6.9210339999999997</v>
      </c>
      <c r="K16">
        <v>4.3599670000000001</v>
      </c>
      <c r="L16">
        <v>0.74615200000000004</v>
      </c>
      <c r="M16">
        <v>3.8626670000000001</v>
      </c>
      <c r="N16">
        <v>3.5444870000000002</v>
      </c>
      <c r="O16">
        <v>3.710817</v>
      </c>
      <c r="P16">
        <v>0.39491799999999999</v>
      </c>
    </row>
    <row r="17" spans="1:16">
      <c r="A17" s="82">
        <v>43328</v>
      </c>
      <c r="B17">
        <v>8.8129849999999994</v>
      </c>
      <c r="C17">
        <v>1.0337970000000001</v>
      </c>
      <c r="E17">
        <v>3.8464689999999999</v>
      </c>
      <c r="F17">
        <v>7.8421209999999997</v>
      </c>
      <c r="G17">
        <v>1.026186</v>
      </c>
      <c r="H17">
        <v>7.1890830000000001</v>
      </c>
      <c r="J17">
        <v>6.9110019999999999</v>
      </c>
      <c r="K17">
        <v>4.3469360000000004</v>
      </c>
      <c r="L17">
        <v>0.74612000000000001</v>
      </c>
      <c r="M17">
        <v>3.8592629999999999</v>
      </c>
      <c r="N17">
        <v>3.5411480000000002</v>
      </c>
      <c r="O17">
        <v>3.7082410000000001</v>
      </c>
      <c r="P17">
        <v>0.39455400000000002</v>
      </c>
    </row>
    <row r="18" spans="1:16">
      <c r="A18" s="82">
        <v>43327</v>
      </c>
      <c r="B18">
        <v>8.8057189999999999</v>
      </c>
      <c r="C18">
        <v>1.040802</v>
      </c>
      <c r="E18">
        <v>3.84362</v>
      </c>
      <c r="F18">
        <v>7.8382959999999997</v>
      </c>
      <c r="G18">
        <v>1.0261009999999999</v>
      </c>
      <c r="H18">
        <v>7.1856049999999998</v>
      </c>
      <c r="J18">
        <v>6.9034839999999997</v>
      </c>
      <c r="K18">
        <v>4.398587</v>
      </c>
      <c r="L18">
        <v>0.752467</v>
      </c>
      <c r="M18">
        <v>3.8558669999999999</v>
      </c>
      <c r="N18">
        <v>3.5379740000000002</v>
      </c>
      <c r="O18">
        <v>3.7056079999999998</v>
      </c>
      <c r="P18">
        <v>0.39318700000000001</v>
      </c>
    </row>
    <row r="19" spans="1:16">
      <c r="A19" s="82">
        <v>43326</v>
      </c>
      <c r="B19">
        <v>8.7978339999999999</v>
      </c>
      <c r="C19">
        <v>1.040788</v>
      </c>
      <c r="E19">
        <v>3.8402639999999999</v>
      </c>
      <c r="F19">
        <v>7.824783</v>
      </c>
      <c r="G19">
        <v>1.026149</v>
      </c>
      <c r="H19">
        <v>7.18466</v>
      </c>
      <c r="J19">
        <v>6.8954750000000002</v>
      </c>
      <c r="K19">
        <v>4.4079160000000002</v>
      </c>
      <c r="L19">
        <v>0.74707299999999999</v>
      </c>
      <c r="M19">
        <v>3.8524099999999999</v>
      </c>
      <c r="N19">
        <v>3.5342669999999998</v>
      </c>
      <c r="O19">
        <v>3.703141</v>
      </c>
      <c r="P19">
        <v>0.392098</v>
      </c>
    </row>
    <row r="20" spans="1:16">
      <c r="A20" s="82">
        <v>43325</v>
      </c>
      <c r="B20">
        <v>8.7885550000000006</v>
      </c>
      <c r="C20">
        <v>1.0407820000000001</v>
      </c>
      <c r="E20">
        <v>3.8363109999999998</v>
      </c>
      <c r="F20">
        <v>7.8141150000000001</v>
      </c>
      <c r="G20">
        <v>1.0343819999999999</v>
      </c>
      <c r="H20">
        <v>7.1844789999999996</v>
      </c>
      <c r="J20">
        <v>6.8894460000000004</v>
      </c>
      <c r="K20">
        <v>4.479679</v>
      </c>
      <c r="L20">
        <v>0.74634100000000003</v>
      </c>
      <c r="M20">
        <v>3.8416709999999998</v>
      </c>
      <c r="N20">
        <v>3.5309370000000002</v>
      </c>
      <c r="O20">
        <v>3.7004980000000001</v>
      </c>
      <c r="P20">
        <v>0.39253199999999999</v>
      </c>
    </row>
    <row r="21" spans="1:16">
      <c r="A21" s="82">
        <v>43322</v>
      </c>
      <c r="B21">
        <v>8.7620050000000003</v>
      </c>
      <c r="C21">
        <v>1.0407740000000001</v>
      </c>
      <c r="E21">
        <v>3.8258179999999999</v>
      </c>
      <c r="F21">
        <v>7.8128120000000001</v>
      </c>
      <c r="G21">
        <v>1.0406219999999999</v>
      </c>
      <c r="H21">
        <v>7.1844029999999997</v>
      </c>
      <c r="J21">
        <v>6.8794060000000004</v>
      </c>
      <c r="K21">
        <v>4.5231599999999998</v>
      </c>
      <c r="L21">
        <v>0.74734999999999996</v>
      </c>
      <c r="M21">
        <v>3.819118</v>
      </c>
      <c r="N21">
        <v>3.5204949999999999</v>
      </c>
      <c r="O21">
        <v>3.6982699999999999</v>
      </c>
      <c r="P21">
        <v>0.39085900000000001</v>
      </c>
    </row>
    <row r="22" spans="1:16">
      <c r="A22" s="82">
        <v>43321</v>
      </c>
      <c r="B22">
        <v>8.7529719999999998</v>
      </c>
      <c r="C22">
        <v>1.0407660000000001</v>
      </c>
      <c r="E22">
        <v>3.822476</v>
      </c>
      <c r="F22">
        <v>7.8004340000000001</v>
      </c>
      <c r="G22">
        <v>1.043766</v>
      </c>
      <c r="H22">
        <v>7.1807150000000002</v>
      </c>
      <c r="J22">
        <v>6.8715349999999997</v>
      </c>
      <c r="K22">
        <v>4.522049</v>
      </c>
      <c r="L22">
        <v>0.74146999999999996</v>
      </c>
      <c r="M22">
        <v>3.8107839999999999</v>
      </c>
      <c r="N22">
        <v>3.521274</v>
      </c>
      <c r="O22">
        <v>3.6956370000000001</v>
      </c>
      <c r="P22">
        <v>0.38914500000000002</v>
      </c>
    </row>
    <row r="23" spans="1:16">
      <c r="A23" s="82">
        <v>43320</v>
      </c>
      <c r="B23">
        <v>8.7441010000000006</v>
      </c>
      <c r="C23">
        <v>1.040754</v>
      </c>
      <c r="E23">
        <v>3.819169</v>
      </c>
      <c r="F23">
        <v>7.7923030000000004</v>
      </c>
      <c r="G23">
        <v>1.044694</v>
      </c>
      <c r="H23">
        <v>7.1857199999999999</v>
      </c>
      <c r="J23">
        <v>6.8655290000000004</v>
      </c>
      <c r="K23">
        <v>4.5185339999999998</v>
      </c>
      <c r="L23">
        <v>0.74914999999999998</v>
      </c>
      <c r="M23">
        <v>3.8046280000000001</v>
      </c>
      <c r="N23">
        <v>3.5225309999999999</v>
      </c>
      <c r="O23">
        <v>3.6930839999999998</v>
      </c>
      <c r="P23">
        <v>0.38818900000000001</v>
      </c>
    </row>
    <row r="24" spans="1:16">
      <c r="A24" s="82">
        <v>43319</v>
      </c>
      <c r="B24">
        <v>8.7354070000000004</v>
      </c>
      <c r="C24">
        <v>1.0407390000000001</v>
      </c>
      <c r="E24">
        <v>3.8158979999999998</v>
      </c>
      <c r="F24">
        <v>7.7844470000000001</v>
      </c>
      <c r="G24">
        <v>1.0451649999999999</v>
      </c>
      <c r="H24">
        <v>7.2297070000000003</v>
      </c>
      <c r="J24">
        <v>6.8585140000000004</v>
      </c>
      <c r="K24">
        <v>4.5154399999999999</v>
      </c>
      <c r="L24">
        <v>0.74673800000000001</v>
      </c>
      <c r="M24">
        <v>3.800074</v>
      </c>
      <c r="N24">
        <v>3.5171800000000002</v>
      </c>
      <c r="O24">
        <v>3.6904210000000002</v>
      </c>
      <c r="P24">
        <v>0.38766499999999998</v>
      </c>
    </row>
    <row r="25" spans="1:16">
      <c r="A25" s="82">
        <v>43318</v>
      </c>
      <c r="B25">
        <v>8.727646</v>
      </c>
      <c r="C25">
        <v>1.040727</v>
      </c>
      <c r="E25">
        <v>3.8126449999999998</v>
      </c>
      <c r="F25">
        <v>7.7764749999999996</v>
      </c>
      <c r="G25">
        <v>1.0455669999999999</v>
      </c>
      <c r="H25">
        <v>7.2797559999999999</v>
      </c>
      <c r="J25">
        <v>6.852684</v>
      </c>
      <c r="K25">
        <v>4.5118739999999997</v>
      </c>
      <c r="L25">
        <v>0.74656800000000001</v>
      </c>
      <c r="M25">
        <v>3.7966440000000001</v>
      </c>
      <c r="N25">
        <v>3.513747</v>
      </c>
      <c r="O25">
        <v>3.6877819999999999</v>
      </c>
      <c r="P25">
        <v>0.38750099999999998</v>
      </c>
    </row>
    <row r="26" spans="1:16">
      <c r="A26" s="82">
        <v>43315</v>
      </c>
      <c r="B26">
        <v>8.7044289999999993</v>
      </c>
      <c r="C26">
        <v>1.040686</v>
      </c>
      <c r="E26">
        <v>3.8028770000000001</v>
      </c>
      <c r="F26">
        <v>7.7629489999999999</v>
      </c>
      <c r="G26">
        <v>1.0460210000000001</v>
      </c>
      <c r="H26">
        <v>7.2744489999999997</v>
      </c>
      <c r="J26">
        <v>6.8414820000000001</v>
      </c>
      <c r="K26">
        <v>4.5074870000000002</v>
      </c>
      <c r="L26">
        <v>0.74495800000000001</v>
      </c>
      <c r="M26">
        <v>3.788097</v>
      </c>
      <c r="N26">
        <v>3.5054409999999998</v>
      </c>
      <c r="O26">
        <v>3.6795100000000001</v>
      </c>
      <c r="P26">
        <v>0.38641900000000001</v>
      </c>
    </row>
    <row r="27" spans="1:16">
      <c r="A27" s="82">
        <v>43314</v>
      </c>
      <c r="B27">
        <v>8.6969689999999993</v>
      </c>
      <c r="C27">
        <v>1.0406690000000001</v>
      </c>
      <c r="E27">
        <v>3.7997999999999998</v>
      </c>
      <c r="F27">
        <v>7.7410560000000004</v>
      </c>
      <c r="G27">
        <v>1.0459750000000001</v>
      </c>
      <c r="H27">
        <v>7.2731979999999998</v>
      </c>
      <c r="J27">
        <v>6.831887</v>
      </c>
      <c r="K27">
        <v>4.5048959999999996</v>
      </c>
      <c r="L27">
        <v>0.74566500000000002</v>
      </c>
      <c r="M27">
        <v>3.78552</v>
      </c>
      <c r="N27">
        <v>3.501379</v>
      </c>
      <c r="O27">
        <v>3.6768169999999998</v>
      </c>
      <c r="P27">
        <v>0.385656</v>
      </c>
    </row>
    <row r="28" spans="1:16">
      <c r="A28" s="82">
        <v>43313</v>
      </c>
      <c r="B28">
        <v>8.6897179999999992</v>
      </c>
      <c r="C28">
        <v>1.0406530000000001</v>
      </c>
      <c r="E28">
        <v>3.7967810000000002</v>
      </c>
      <c r="F28">
        <v>7.7330389999999998</v>
      </c>
      <c r="G28">
        <v>1.0459339999999999</v>
      </c>
      <c r="H28">
        <v>7.3167970000000002</v>
      </c>
      <c r="J28">
        <v>6.8253430000000002</v>
      </c>
      <c r="K28">
        <v>4.5027020000000002</v>
      </c>
      <c r="L28">
        <v>0.75314999999999999</v>
      </c>
      <c r="M28">
        <v>3.7800289999999999</v>
      </c>
      <c r="N28">
        <v>3.4975399999999999</v>
      </c>
      <c r="O28">
        <v>3.674404</v>
      </c>
      <c r="P28">
        <v>0.38504100000000002</v>
      </c>
    </row>
    <row r="29" spans="1:16">
      <c r="A29" s="82">
        <v>43312</v>
      </c>
      <c r="B29">
        <v>8.6827369999999995</v>
      </c>
      <c r="C29">
        <v>1.040638</v>
      </c>
      <c r="E29">
        <v>3.7939470000000002</v>
      </c>
      <c r="F29">
        <v>7.7256159999999996</v>
      </c>
      <c r="G29">
        <v>1.046268</v>
      </c>
      <c r="H29">
        <v>7.3160369999999997</v>
      </c>
      <c r="J29">
        <v>6.8199019999999999</v>
      </c>
      <c r="K29">
        <v>4.5006159999999999</v>
      </c>
      <c r="L29">
        <v>0.75090100000000004</v>
      </c>
      <c r="M29">
        <v>3.7766890000000002</v>
      </c>
      <c r="N29">
        <v>3.496715</v>
      </c>
      <c r="O29">
        <v>3.6720139999999999</v>
      </c>
      <c r="P29">
        <v>0.384687</v>
      </c>
    </row>
    <row r="30" spans="1:16">
      <c r="A30" s="82">
        <v>43311</v>
      </c>
      <c r="B30">
        <v>8.6756530000000005</v>
      </c>
      <c r="C30">
        <v>1.0406219999999999</v>
      </c>
      <c r="E30">
        <v>3.7911160000000002</v>
      </c>
      <c r="F30">
        <v>7.7170360000000002</v>
      </c>
      <c r="G30">
        <v>1.0462610000000001</v>
      </c>
      <c r="H30">
        <v>7.312907</v>
      </c>
      <c r="J30">
        <v>6.812513</v>
      </c>
      <c r="K30">
        <v>4.4988250000000001</v>
      </c>
      <c r="L30">
        <v>0.74647200000000002</v>
      </c>
      <c r="M30">
        <v>3.7734230000000002</v>
      </c>
      <c r="N30">
        <v>3.49343</v>
      </c>
      <c r="O30">
        <v>3.6695700000000002</v>
      </c>
      <c r="P30">
        <v>0.38419300000000001</v>
      </c>
    </row>
    <row r="31" spans="1:16">
      <c r="A31" s="82">
        <v>43308</v>
      </c>
      <c r="B31">
        <v>8.6535910000000005</v>
      </c>
      <c r="C31">
        <v>1.040581</v>
      </c>
      <c r="E31">
        <v>3.7828020000000002</v>
      </c>
      <c r="F31">
        <v>7.7082189999999997</v>
      </c>
      <c r="G31">
        <v>1.0462119999999999</v>
      </c>
      <c r="H31">
        <v>7.312837</v>
      </c>
      <c r="J31">
        <v>6.8025700000000002</v>
      </c>
      <c r="K31">
        <v>4.496245</v>
      </c>
      <c r="L31">
        <v>0.74832200000000004</v>
      </c>
      <c r="M31">
        <v>3.7644519999999999</v>
      </c>
      <c r="N31">
        <v>3.4855040000000002</v>
      </c>
      <c r="O31">
        <v>3.661019</v>
      </c>
      <c r="P31">
        <v>0.38332500000000003</v>
      </c>
    </row>
    <row r="32" spans="1:16">
      <c r="A32" s="82">
        <v>43307</v>
      </c>
      <c r="B32">
        <v>8.6467989999999997</v>
      </c>
      <c r="C32">
        <v>1.0405580000000001</v>
      </c>
      <c r="E32">
        <v>3.780033</v>
      </c>
      <c r="F32">
        <v>7.6911880000000004</v>
      </c>
      <c r="G32">
        <v>1.0459909999999999</v>
      </c>
      <c r="H32">
        <v>7.3422039999999997</v>
      </c>
      <c r="J32">
        <v>6.7906870000000001</v>
      </c>
      <c r="K32">
        <v>4.491123</v>
      </c>
      <c r="L32">
        <v>0.75959500000000002</v>
      </c>
      <c r="M32">
        <v>3.7609270000000001</v>
      </c>
      <c r="N32">
        <v>3.4825560000000002</v>
      </c>
      <c r="O32">
        <v>3.6560380000000001</v>
      </c>
      <c r="P32">
        <v>0.38284600000000002</v>
      </c>
    </row>
    <row r="33" spans="1:16">
      <c r="A33" s="82">
        <v>43306</v>
      </c>
      <c r="B33">
        <v>8.6402330000000003</v>
      </c>
      <c r="C33">
        <v>1.0405409999999999</v>
      </c>
      <c r="E33">
        <v>3.7773140000000001</v>
      </c>
      <c r="F33">
        <v>7.6845119999999998</v>
      </c>
      <c r="G33">
        <v>1.04928</v>
      </c>
      <c r="H33">
        <v>7.3399840000000003</v>
      </c>
      <c r="J33">
        <v>6.7875459999999999</v>
      </c>
      <c r="K33">
        <v>4.4886179999999998</v>
      </c>
      <c r="L33">
        <v>0.75975499999999996</v>
      </c>
      <c r="M33">
        <v>3.7587139999999999</v>
      </c>
      <c r="N33">
        <v>3.479635</v>
      </c>
      <c r="O33">
        <v>3.6538810000000002</v>
      </c>
      <c r="P33">
        <v>0.38259799999999999</v>
      </c>
    </row>
    <row r="34" spans="1:16">
      <c r="A34" s="82">
        <v>43305</v>
      </c>
      <c r="B34">
        <v>8.6336499999999994</v>
      </c>
      <c r="C34">
        <v>1.040524</v>
      </c>
      <c r="E34">
        <v>3.7745880000000001</v>
      </c>
      <c r="F34">
        <v>7.672396</v>
      </c>
      <c r="G34">
        <v>1.050179</v>
      </c>
      <c r="H34">
        <v>7.3407939999999998</v>
      </c>
      <c r="J34">
        <v>6.7845000000000004</v>
      </c>
      <c r="K34">
        <v>4.4845629999999996</v>
      </c>
      <c r="L34">
        <v>0.76079200000000002</v>
      </c>
      <c r="M34">
        <v>3.757072</v>
      </c>
      <c r="N34">
        <v>3.4766539999999999</v>
      </c>
      <c r="O34">
        <v>3.6514229999999999</v>
      </c>
      <c r="P34">
        <v>0.38202700000000001</v>
      </c>
    </row>
    <row r="35" spans="1:16">
      <c r="A35" s="82">
        <v>43304</v>
      </c>
      <c r="B35">
        <v>8.6272500000000001</v>
      </c>
      <c r="C35">
        <v>1.0404949999999999</v>
      </c>
      <c r="E35">
        <v>3.771855</v>
      </c>
      <c r="F35">
        <v>7.6636050000000004</v>
      </c>
      <c r="G35">
        <v>1.050424</v>
      </c>
      <c r="H35">
        <v>7.3352000000000004</v>
      </c>
      <c r="J35">
        <v>6.775563</v>
      </c>
      <c r="K35">
        <v>4.4800230000000001</v>
      </c>
      <c r="L35">
        <v>0.76322299999999998</v>
      </c>
      <c r="M35">
        <v>3.7536119999999999</v>
      </c>
      <c r="N35">
        <v>3.4737490000000002</v>
      </c>
      <c r="O35">
        <v>3.6489539999999998</v>
      </c>
      <c r="P35">
        <v>0.381747</v>
      </c>
    </row>
    <row r="36" spans="1:16">
      <c r="A36" s="82">
        <v>43301</v>
      </c>
      <c r="B36">
        <v>8.6074070000000003</v>
      </c>
      <c r="C36">
        <v>1.040456</v>
      </c>
      <c r="E36">
        <v>3.763671</v>
      </c>
      <c r="F36">
        <v>7.649375</v>
      </c>
      <c r="G36">
        <v>1.0505420000000001</v>
      </c>
      <c r="H36">
        <v>7.3532970000000004</v>
      </c>
      <c r="J36">
        <v>6.7676559999999997</v>
      </c>
      <c r="K36">
        <v>4.4748070000000002</v>
      </c>
      <c r="L36">
        <v>0.76213399999999998</v>
      </c>
      <c r="M36">
        <v>3.7466849999999998</v>
      </c>
      <c r="N36">
        <v>3.4660760000000002</v>
      </c>
      <c r="O36">
        <v>3.6421749999999999</v>
      </c>
      <c r="P36">
        <v>0.38193100000000002</v>
      </c>
    </row>
    <row r="37" spans="1:16">
      <c r="A37" s="82">
        <v>43300</v>
      </c>
      <c r="B37">
        <v>8.6007440000000006</v>
      </c>
      <c r="C37">
        <v>1.0404260000000001</v>
      </c>
      <c r="E37">
        <v>3.7607979999999999</v>
      </c>
      <c r="H37">
        <v>7.3585560000000001</v>
      </c>
      <c r="J37">
        <v>6.7548659999999998</v>
      </c>
      <c r="K37">
        <v>4.4719600000000002</v>
      </c>
      <c r="L37">
        <v>0.764239</v>
      </c>
      <c r="M37">
        <v>3.7418979999999999</v>
      </c>
      <c r="N37">
        <v>3.4633980000000002</v>
      </c>
      <c r="O37">
        <v>3.6397680000000001</v>
      </c>
      <c r="P37">
        <v>0.38126900000000002</v>
      </c>
    </row>
    <row r="38" spans="1:16">
      <c r="A38" s="82">
        <v>43299</v>
      </c>
      <c r="B38">
        <v>8.5941779999999994</v>
      </c>
      <c r="C38">
        <v>1.0403990000000001</v>
      </c>
      <c r="E38">
        <v>3.7574260000000002</v>
      </c>
      <c r="F38">
        <v>7.6198839999999999</v>
      </c>
      <c r="G38">
        <v>1.05105</v>
      </c>
      <c r="H38">
        <v>7.3593149999999996</v>
      </c>
      <c r="J38">
        <v>6.7486519999999999</v>
      </c>
      <c r="K38">
        <v>4.4699910000000003</v>
      </c>
      <c r="L38">
        <v>0.76130500000000001</v>
      </c>
      <c r="M38">
        <v>3.738397</v>
      </c>
      <c r="N38">
        <v>3.4609369999999999</v>
      </c>
      <c r="O38">
        <v>3.6366619999999998</v>
      </c>
      <c r="P38">
        <v>0.38087599999999999</v>
      </c>
    </row>
    <row r="39" spans="1:16">
      <c r="A39" s="82">
        <v>43298</v>
      </c>
      <c r="B39">
        <v>8.5866290000000003</v>
      </c>
      <c r="C39">
        <v>1.040394</v>
      </c>
      <c r="E39">
        <v>3.7536149999999999</v>
      </c>
      <c r="F39">
        <v>7.6186170000000004</v>
      </c>
      <c r="G39">
        <v>1.051455</v>
      </c>
      <c r="H39">
        <v>7.3580249999999996</v>
      </c>
      <c r="J39">
        <v>6.7451210000000001</v>
      </c>
      <c r="K39">
        <v>4.4675140000000004</v>
      </c>
      <c r="L39">
        <v>0.75953899999999996</v>
      </c>
      <c r="M39">
        <v>3.7332999999999998</v>
      </c>
      <c r="N39">
        <v>3.4570210000000001</v>
      </c>
      <c r="O39">
        <v>3.6338279999999998</v>
      </c>
      <c r="P39">
        <v>0.38003599999999998</v>
      </c>
    </row>
    <row r="40" spans="1:16">
      <c r="A40" s="82">
        <v>43297</v>
      </c>
      <c r="B40">
        <v>8.5789200000000001</v>
      </c>
      <c r="C40">
        <v>1.0403469999999999</v>
      </c>
      <c r="E40">
        <v>3.7498640000000001</v>
      </c>
      <c r="F40">
        <v>7.5845529999999997</v>
      </c>
      <c r="G40">
        <v>1.0520179999999999</v>
      </c>
      <c r="H40">
        <v>7.3508120000000003</v>
      </c>
      <c r="J40">
        <v>6.7384880000000003</v>
      </c>
      <c r="K40">
        <v>4.4653479999999997</v>
      </c>
      <c r="L40">
        <v>0.75451500000000005</v>
      </c>
      <c r="M40">
        <v>3.728672</v>
      </c>
      <c r="N40">
        <v>3.451101</v>
      </c>
      <c r="O40">
        <v>3.6302789999999998</v>
      </c>
      <c r="P40">
        <v>0.37867200000000001</v>
      </c>
    </row>
    <row r="41" spans="1:16">
      <c r="A41" s="82">
        <v>43294</v>
      </c>
      <c r="B41">
        <v>8.5549549999999996</v>
      </c>
      <c r="C41">
        <v>1.0403089999999999</v>
      </c>
      <c r="E41">
        <v>3.7386119999999998</v>
      </c>
      <c r="F41">
        <v>7.5567919999999997</v>
      </c>
      <c r="G41">
        <v>1.0518829999999999</v>
      </c>
      <c r="H41">
        <v>7.3377080000000001</v>
      </c>
      <c r="J41">
        <v>6.7256369999999999</v>
      </c>
      <c r="K41">
        <v>4.4611689999999999</v>
      </c>
      <c r="L41">
        <v>0.74939</v>
      </c>
      <c r="M41">
        <v>3.7135289999999999</v>
      </c>
      <c r="N41">
        <v>3.4411930000000002</v>
      </c>
      <c r="O41">
        <v>3.622598</v>
      </c>
      <c r="P41">
        <v>0.37728299999999998</v>
      </c>
    </row>
    <row r="42" spans="1:16">
      <c r="A42" s="82">
        <v>43293</v>
      </c>
      <c r="B42">
        <v>8.5471260000000004</v>
      </c>
      <c r="C42">
        <v>1.0402940000000001</v>
      </c>
      <c r="E42">
        <v>3.7349130000000001</v>
      </c>
      <c r="F42">
        <v>7.5324039999999997</v>
      </c>
      <c r="G42">
        <v>1.051852</v>
      </c>
      <c r="H42">
        <v>7.3254580000000002</v>
      </c>
      <c r="J42">
        <v>6.7062980000000003</v>
      </c>
      <c r="K42">
        <v>4.4486379999999999</v>
      </c>
      <c r="L42">
        <v>0.75347399999999998</v>
      </c>
      <c r="M42">
        <v>3.7125490000000001</v>
      </c>
      <c r="N42">
        <v>3.438358</v>
      </c>
      <c r="O42">
        <v>3.6194869999999999</v>
      </c>
      <c r="P42">
        <v>0.37686799999999998</v>
      </c>
    </row>
    <row r="43" spans="1:16">
      <c r="A43" s="82">
        <v>43292</v>
      </c>
      <c r="B43">
        <v>8.5382169999999995</v>
      </c>
      <c r="C43">
        <v>1.040278</v>
      </c>
      <c r="E43">
        <v>3.73142</v>
      </c>
      <c r="F43">
        <v>7.5190890000000001</v>
      </c>
      <c r="G43">
        <v>1.0517650000000001</v>
      </c>
      <c r="H43">
        <v>7.3180310000000004</v>
      </c>
      <c r="J43">
        <v>6.6988029999999998</v>
      </c>
      <c r="K43">
        <v>4.443886</v>
      </c>
      <c r="L43">
        <v>0.75654600000000005</v>
      </c>
      <c r="M43">
        <v>3.7095590000000001</v>
      </c>
      <c r="N43">
        <v>3.4349780000000001</v>
      </c>
      <c r="O43">
        <v>3.616781</v>
      </c>
      <c r="P43">
        <v>0.37661899999999998</v>
      </c>
    </row>
    <row r="44" spans="1:16">
      <c r="A44" s="82">
        <v>43291</v>
      </c>
      <c r="B44">
        <v>8.5300259999999994</v>
      </c>
      <c r="C44">
        <v>1.040249</v>
      </c>
      <c r="E44">
        <v>3.727986</v>
      </c>
      <c r="F44">
        <v>7.5358700000000001</v>
      </c>
      <c r="G44">
        <v>1.0517350000000001</v>
      </c>
      <c r="H44">
        <v>7.3163179999999999</v>
      </c>
      <c r="J44">
        <v>6.6935549999999999</v>
      </c>
      <c r="K44">
        <v>4.4412969999999996</v>
      </c>
      <c r="L44">
        <v>0.75565000000000004</v>
      </c>
      <c r="M44">
        <v>3.7127080000000001</v>
      </c>
      <c r="N44">
        <v>3.4319060000000001</v>
      </c>
      <c r="O44">
        <v>3.6146590000000001</v>
      </c>
      <c r="P44">
        <v>0.376336</v>
      </c>
    </row>
    <row r="45" spans="1:16">
      <c r="A45" s="82">
        <v>43287</v>
      </c>
      <c r="B45">
        <v>8.4967950000000005</v>
      </c>
      <c r="C45">
        <v>1.040208</v>
      </c>
      <c r="E45">
        <v>3.714162</v>
      </c>
      <c r="F45">
        <v>7.527838</v>
      </c>
      <c r="G45">
        <v>1.051469</v>
      </c>
      <c r="H45">
        <v>7.3137600000000003</v>
      </c>
      <c r="J45">
        <v>6.6751560000000003</v>
      </c>
      <c r="K45">
        <v>4.436064</v>
      </c>
      <c r="L45">
        <v>0.76554900000000004</v>
      </c>
      <c r="M45">
        <v>3.703335</v>
      </c>
      <c r="N45">
        <v>3.4203869999999998</v>
      </c>
      <c r="O45">
        <v>3.6052209999999998</v>
      </c>
      <c r="P45">
        <v>0.37609100000000001</v>
      </c>
    </row>
    <row r="46" spans="1:16">
      <c r="A46" s="82">
        <v>43286</v>
      </c>
      <c r="B46">
        <v>8.4890480000000004</v>
      </c>
      <c r="C46">
        <v>1.040146</v>
      </c>
      <c r="E46">
        <v>3.71068</v>
      </c>
      <c r="F46">
        <v>7.513471</v>
      </c>
      <c r="G46">
        <v>1.0514019999999999</v>
      </c>
      <c r="H46">
        <v>7.3006200000000003</v>
      </c>
      <c r="J46">
        <v>6.6540489999999997</v>
      </c>
      <c r="K46">
        <v>4.4240380000000004</v>
      </c>
      <c r="L46">
        <v>0.76636599999999999</v>
      </c>
      <c r="M46">
        <v>3.7008179999999999</v>
      </c>
      <c r="N46">
        <v>3.4189349999999998</v>
      </c>
      <c r="O46">
        <v>3.6021230000000002</v>
      </c>
      <c r="P46">
        <v>0.37622100000000003</v>
      </c>
    </row>
    <row r="47" spans="1:16">
      <c r="A47" s="82">
        <v>43285</v>
      </c>
      <c r="B47">
        <v>8.4811709999999998</v>
      </c>
      <c r="C47">
        <v>1.040087</v>
      </c>
      <c r="E47">
        <v>3.7072409999999998</v>
      </c>
      <c r="F47">
        <v>7.5358289999999997</v>
      </c>
      <c r="G47">
        <v>1.051596</v>
      </c>
      <c r="H47">
        <v>7.2972590000000004</v>
      </c>
      <c r="J47">
        <v>6.6534959999999996</v>
      </c>
      <c r="K47">
        <v>4.4211390000000002</v>
      </c>
      <c r="L47">
        <v>0.76415299999999997</v>
      </c>
      <c r="M47">
        <v>3.6950409999999998</v>
      </c>
      <c r="N47">
        <v>3.416528</v>
      </c>
      <c r="O47">
        <v>3.6004559999999999</v>
      </c>
      <c r="P47">
        <v>0.37571900000000003</v>
      </c>
    </row>
    <row r="48" spans="1:16">
      <c r="A48" s="82">
        <v>43284</v>
      </c>
      <c r="B48">
        <v>8.4734580000000008</v>
      </c>
      <c r="C48">
        <v>1.040052</v>
      </c>
      <c r="E48">
        <v>3.7038310000000001</v>
      </c>
      <c r="F48">
        <v>7.5322259999999996</v>
      </c>
      <c r="G48">
        <v>1.0515669999999999</v>
      </c>
      <c r="H48">
        <v>7.289949</v>
      </c>
      <c r="J48">
        <v>6.6533470000000001</v>
      </c>
      <c r="K48">
        <v>4.4184659999999996</v>
      </c>
      <c r="L48">
        <v>0.75777000000000005</v>
      </c>
      <c r="M48">
        <v>3.697829</v>
      </c>
      <c r="N48">
        <v>3.4149690000000001</v>
      </c>
      <c r="O48">
        <v>3.597664</v>
      </c>
      <c r="P48">
        <v>0.37439299999999998</v>
      </c>
    </row>
    <row r="49" spans="1:16">
      <c r="A49" s="82">
        <v>43283</v>
      </c>
      <c r="B49">
        <v>8.4662019999999991</v>
      </c>
      <c r="C49">
        <v>1.0400149999999999</v>
      </c>
      <c r="E49">
        <v>3.7005870000000001</v>
      </c>
      <c r="F49">
        <v>7.5315560000000001</v>
      </c>
      <c r="G49">
        <v>1.051582</v>
      </c>
      <c r="H49">
        <v>7.2878619999999996</v>
      </c>
      <c r="J49">
        <v>6.6526069999999997</v>
      </c>
      <c r="K49">
        <v>4.4208179999999997</v>
      </c>
      <c r="L49">
        <v>0.77011099999999999</v>
      </c>
      <c r="M49">
        <v>3.701184</v>
      </c>
      <c r="N49">
        <v>3.419394</v>
      </c>
      <c r="O49">
        <v>3.596085</v>
      </c>
      <c r="P49">
        <v>0.37648300000000001</v>
      </c>
    </row>
    <row r="50" spans="1:16">
      <c r="A50" s="82">
        <v>43280</v>
      </c>
      <c r="B50">
        <v>8.4465009999999996</v>
      </c>
      <c r="C50">
        <v>1.0399670000000001</v>
      </c>
      <c r="E50">
        <v>3.6919940000000002</v>
      </c>
      <c r="F50">
        <v>7.5484980000000004</v>
      </c>
      <c r="G50">
        <v>1.0513600000000001</v>
      </c>
      <c r="H50">
        <v>7.3143190000000002</v>
      </c>
      <c r="J50">
        <v>6.663672</v>
      </c>
      <c r="K50">
        <v>4.424048</v>
      </c>
      <c r="L50">
        <v>0.781088</v>
      </c>
      <c r="M50">
        <v>3.6848100000000001</v>
      </c>
      <c r="N50">
        <v>3.412563</v>
      </c>
      <c r="O50">
        <v>3.5891099999999998</v>
      </c>
      <c r="P50">
        <v>0.377023</v>
      </c>
    </row>
    <row r="51" spans="1:16">
      <c r="A51" s="82">
        <v>43279</v>
      </c>
      <c r="B51">
        <v>8.4405640000000002</v>
      </c>
      <c r="C51">
        <v>1.039944</v>
      </c>
      <c r="E51">
        <v>3.6891180000000001</v>
      </c>
      <c r="F51">
        <v>7.5316460000000003</v>
      </c>
      <c r="G51">
        <v>1.051302</v>
      </c>
      <c r="H51">
        <v>7.3076290000000004</v>
      </c>
      <c r="J51">
        <v>6.64682</v>
      </c>
      <c r="K51">
        <v>4.4166150000000002</v>
      </c>
      <c r="L51">
        <v>0.76910800000000001</v>
      </c>
      <c r="M51">
        <v>3.6747550000000002</v>
      </c>
      <c r="N51">
        <v>3.4120370000000002</v>
      </c>
      <c r="O51">
        <v>3.5865969999999998</v>
      </c>
      <c r="P51">
        <v>0.37626399999999999</v>
      </c>
    </row>
    <row r="52" spans="1:16">
      <c r="A52" s="82">
        <v>43278</v>
      </c>
      <c r="B52">
        <v>8.4360239999999997</v>
      </c>
      <c r="C52">
        <v>1.0399339999999999</v>
      </c>
      <c r="E52">
        <v>3.6862409999999999</v>
      </c>
      <c r="F52">
        <v>7.5249360000000003</v>
      </c>
      <c r="G52">
        <v>1.051242</v>
      </c>
      <c r="H52">
        <v>7.3000290000000003</v>
      </c>
      <c r="J52">
        <v>6.640682</v>
      </c>
      <c r="K52">
        <v>4.4124540000000003</v>
      </c>
      <c r="L52">
        <v>0.75807000000000002</v>
      </c>
      <c r="M52">
        <v>3.667843</v>
      </c>
      <c r="N52">
        <v>3.4125459999999999</v>
      </c>
      <c r="O52">
        <v>3.586465</v>
      </c>
      <c r="P52">
        <v>0.37523499999999999</v>
      </c>
    </row>
    <row r="53" spans="1:16">
      <c r="A53" s="82">
        <v>43277</v>
      </c>
      <c r="B53">
        <v>8.429964</v>
      </c>
      <c r="C53">
        <v>1.039876</v>
      </c>
      <c r="E53">
        <v>3.6833800000000001</v>
      </c>
      <c r="F53">
        <v>7.5202039999999997</v>
      </c>
      <c r="G53">
        <v>1.051194</v>
      </c>
      <c r="H53">
        <v>7.3023290000000003</v>
      </c>
      <c r="J53">
        <v>6.6390529999999996</v>
      </c>
      <c r="K53">
        <v>4.4096900000000003</v>
      </c>
      <c r="L53">
        <v>0.75417400000000001</v>
      </c>
      <c r="M53">
        <v>3.6648990000000001</v>
      </c>
      <c r="N53">
        <v>3.4103729999999999</v>
      </c>
      <c r="O53">
        <v>3.5840700000000001</v>
      </c>
      <c r="P53">
        <v>0.37538700000000003</v>
      </c>
    </row>
    <row r="54" spans="1:16">
      <c r="A54" s="82">
        <v>43276</v>
      </c>
      <c r="B54">
        <v>8.4231669999999994</v>
      </c>
      <c r="C54">
        <v>1.039817</v>
      </c>
      <c r="E54">
        <v>3.680498</v>
      </c>
      <c r="F54">
        <v>7.5128839999999997</v>
      </c>
      <c r="G54">
        <v>1.0511520000000001</v>
      </c>
      <c r="H54">
        <v>7.2955449999999997</v>
      </c>
      <c r="J54">
        <v>6.6331819999999997</v>
      </c>
      <c r="K54">
        <v>4.4064629999999996</v>
      </c>
      <c r="L54">
        <v>0.75457399999999997</v>
      </c>
      <c r="M54">
        <v>3.661149</v>
      </c>
      <c r="N54">
        <v>3.4080159999999999</v>
      </c>
      <c r="O54">
        <v>3.5817220000000001</v>
      </c>
      <c r="P54">
        <v>0.37520799999999999</v>
      </c>
    </row>
    <row r="55" spans="1:16">
      <c r="A55" s="82">
        <v>43273</v>
      </c>
      <c r="B55">
        <v>8.4038380000000004</v>
      </c>
      <c r="C55">
        <v>1.0397799999999999</v>
      </c>
      <c r="E55">
        <v>3.6716120000000001</v>
      </c>
      <c r="F55">
        <v>7.5007789999999996</v>
      </c>
      <c r="G55">
        <v>1.0509900000000001</v>
      </c>
      <c r="H55">
        <v>7.2835799999999997</v>
      </c>
      <c r="J55">
        <v>6.6229079999999998</v>
      </c>
      <c r="K55">
        <v>4.3983150000000002</v>
      </c>
      <c r="L55">
        <v>0.75273999999999996</v>
      </c>
      <c r="M55">
        <v>3.6559629999999999</v>
      </c>
      <c r="N55">
        <v>3.3954620000000002</v>
      </c>
      <c r="O55">
        <v>3.574551</v>
      </c>
      <c r="P55">
        <v>0.374274</v>
      </c>
    </row>
    <row r="56" spans="1:16">
      <c r="A56" s="82">
        <v>43272</v>
      </c>
      <c r="B56">
        <v>8.3975039999999996</v>
      </c>
      <c r="C56">
        <v>1.039731</v>
      </c>
      <c r="E56">
        <v>3.6685159999999999</v>
      </c>
      <c r="F56">
        <v>7.4770500000000002</v>
      </c>
      <c r="G56">
        <v>1.051061</v>
      </c>
      <c r="J56">
        <v>6.5988660000000001</v>
      </c>
      <c r="K56">
        <v>4.382987</v>
      </c>
      <c r="L56">
        <v>0.76161400000000001</v>
      </c>
      <c r="M56">
        <v>3.6562939999999999</v>
      </c>
      <c r="N56">
        <v>3.3911739999999999</v>
      </c>
      <c r="O56">
        <v>3.5721660000000002</v>
      </c>
      <c r="P56">
        <v>0.37501200000000001</v>
      </c>
    </row>
    <row r="57" spans="1:16">
      <c r="A57" s="82">
        <v>43270</v>
      </c>
      <c r="B57">
        <v>8.3827820000000006</v>
      </c>
      <c r="C57">
        <v>1.0396730000000001</v>
      </c>
      <c r="E57">
        <v>3.662099</v>
      </c>
      <c r="F57">
        <v>7.4618799999999998</v>
      </c>
      <c r="G57">
        <v>1.050915</v>
      </c>
      <c r="H57">
        <v>7.2527229999999996</v>
      </c>
      <c r="J57">
        <v>6.586989</v>
      </c>
      <c r="K57">
        <v>4.3770490000000004</v>
      </c>
      <c r="L57">
        <v>0.76182899999999998</v>
      </c>
      <c r="M57">
        <v>3.648746</v>
      </c>
      <c r="N57">
        <v>3.3846349999999998</v>
      </c>
      <c r="O57">
        <v>3.5672959999999998</v>
      </c>
      <c r="P57">
        <v>0.37343500000000002</v>
      </c>
    </row>
    <row r="58" spans="1:16">
      <c r="A58" s="82">
        <v>43269</v>
      </c>
      <c r="B58">
        <v>8.3755210000000009</v>
      </c>
      <c r="C58">
        <v>1.0396609999999999</v>
      </c>
      <c r="E58">
        <v>3.658925</v>
      </c>
      <c r="F58">
        <v>7.4348349999999996</v>
      </c>
      <c r="G58">
        <v>1.0509230000000001</v>
      </c>
      <c r="H58">
        <v>7.2508900000000001</v>
      </c>
      <c r="J58">
        <v>6.5649319999999998</v>
      </c>
      <c r="K58">
        <v>4.3651910000000003</v>
      </c>
      <c r="L58">
        <v>0.77538899999999999</v>
      </c>
      <c r="M58">
        <v>3.6551070000000001</v>
      </c>
      <c r="N58">
        <v>3.3817309999999998</v>
      </c>
      <c r="O58">
        <v>3.5649389999999999</v>
      </c>
      <c r="P58">
        <v>0.373083</v>
      </c>
    </row>
    <row r="59" spans="1:16">
      <c r="A59" s="82">
        <v>43266</v>
      </c>
      <c r="B59">
        <v>8.3548919999999995</v>
      </c>
      <c r="C59">
        <v>1.039614</v>
      </c>
      <c r="E59">
        <v>3.649492</v>
      </c>
      <c r="F59">
        <v>7.451492</v>
      </c>
      <c r="G59">
        <v>1.0507139999999999</v>
      </c>
      <c r="H59">
        <v>7.2409739999999996</v>
      </c>
      <c r="J59">
        <v>6.5639370000000001</v>
      </c>
      <c r="K59">
        <v>4.3683630000000004</v>
      </c>
      <c r="L59">
        <v>0.78906299999999996</v>
      </c>
      <c r="M59">
        <v>3.6394139999999999</v>
      </c>
      <c r="N59">
        <v>3.373548</v>
      </c>
      <c r="O59">
        <v>3.5590630000000001</v>
      </c>
      <c r="P59">
        <v>0.374056</v>
      </c>
    </row>
    <row r="60" spans="1:16">
      <c r="A60" s="82">
        <v>43265</v>
      </c>
      <c r="E60">
        <v>3.6465990000000001</v>
      </c>
      <c r="F60">
        <v>7.4487199999999998</v>
      </c>
      <c r="G60">
        <v>1.050932</v>
      </c>
      <c r="H60">
        <v>7.2406300000000003</v>
      </c>
      <c r="K60">
        <v>4.367356</v>
      </c>
      <c r="L60">
        <v>0.775837</v>
      </c>
      <c r="M60">
        <v>3.5709759999999999</v>
      </c>
      <c r="N60">
        <v>3.384741</v>
      </c>
      <c r="O60">
        <v>3.556038</v>
      </c>
      <c r="P60">
        <v>0.37237999999999999</v>
      </c>
    </row>
    <row r="61" spans="1:16">
      <c r="A61" s="82">
        <v>43264</v>
      </c>
      <c r="B61">
        <v>8.3409580000000005</v>
      </c>
      <c r="C61">
        <v>1.039533</v>
      </c>
      <c r="E61">
        <v>3.6437919999999999</v>
      </c>
      <c r="F61">
        <v>7.4543189999999999</v>
      </c>
      <c r="G61">
        <v>1.0502119999999999</v>
      </c>
      <c r="H61">
        <v>7.2428030000000003</v>
      </c>
      <c r="J61">
        <v>6.5603759999999998</v>
      </c>
      <c r="K61">
        <v>4.3683230000000002</v>
      </c>
      <c r="L61">
        <v>0.74660599999999999</v>
      </c>
      <c r="M61">
        <v>3.565312</v>
      </c>
      <c r="N61">
        <v>3.3822239999999999</v>
      </c>
      <c r="O61">
        <v>3.553836</v>
      </c>
      <c r="P61">
        <v>0.369981</v>
      </c>
    </row>
    <row r="62" spans="1:16">
      <c r="A62" s="82">
        <v>43263</v>
      </c>
      <c r="B62">
        <v>8.3340080000000007</v>
      </c>
      <c r="C62">
        <v>1.039474</v>
      </c>
      <c r="E62">
        <v>3.6411210000000001</v>
      </c>
      <c r="F62">
        <v>7.4476630000000004</v>
      </c>
      <c r="G62">
        <v>1.0500830000000001</v>
      </c>
      <c r="H62">
        <v>7.2373919999999998</v>
      </c>
      <c r="J62">
        <v>6.5576150000000002</v>
      </c>
      <c r="K62">
        <v>4.3648540000000002</v>
      </c>
      <c r="L62">
        <v>0.74391600000000002</v>
      </c>
      <c r="M62">
        <v>3.5655109999999999</v>
      </c>
      <c r="N62">
        <v>3.3819870000000001</v>
      </c>
      <c r="O62">
        <v>3.5518160000000001</v>
      </c>
      <c r="P62">
        <v>0.37009199999999998</v>
      </c>
    </row>
    <row r="63" spans="1:16">
      <c r="A63" s="82">
        <v>43262</v>
      </c>
      <c r="B63">
        <v>8.3269020000000005</v>
      </c>
      <c r="C63">
        <v>1.0394159999999999</v>
      </c>
      <c r="E63">
        <v>3.6384069999999999</v>
      </c>
      <c r="F63">
        <v>7.4413390000000001</v>
      </c>
      <c r="G63">
        <v>1.0502020000000001</v>
      </c>
      <c r="H63">
        <v>7.232056</v>
      </c>
      <c r="J63">
        <v>6.5517750000000001</v>
      </c>
      <c r="K63">
        <v>4.3623219999999998</v>
      </c>
      <c r="L63">
        <v>0.74885800000000002</v>
      </c>
      <c r="M63">
        <v>3.5547279999999999</v>
      </c>
      <c r="N63">
        <v>3.3815219999999999</v>
      </c>
      <c r="O63">
        <v>3.5498639999999999</v>
      </c>
      <c r="P63">
        <v>0.370506</v>
      </c>
    </row>
    <row r="64" spans="1:16">
      <c r="A64" s="82">
        <v>43259</v>
      </c>
      <c r="B64">
        <v>8.3056739999999998</v>
      </c>
      <c r="C64">
        <v>1.0393509999999999</v>
      </c>
      <c r="E64">
        <v>3.630064</v>
      </c>
      <c r="F64">
        <v>7.4323329999999999</v>
      </c>
      <c r="G64">
        <v>1.0499039999999999</v>
      </c>
      <c r="H64">
        <v>7.2205009999999996</v>
      </c>
      <c r="J64">
        <v>6.5434320000000001</v>
      </c>
      <c r="K64">
        <v>4.3581149999999997</v>
      </c>
      <c r="L64">
        <v>0.73568100000000003</v>
      </c>
      <c r="M64">
        <v>3.5428259999999998</v>
      </c>
      <c r="N64">
        <v>3.3765339999999999</v>
      </c>
      <c r="O64">
        <v>3.5432350000000001</v>
      </c>
      <c r="P64">
        <v>0.36868699999999999</v>
      </c>
    </row>
    <row r="65" spans="1:16">
      <c r="A65" s="82">
        <v>43258</v>
      </c>
      <c r="B65">
        <v>8.2988510000000009</v>
      </c>
      <c r="C65">
        <v>1.039283</v>
      </c>
      <c r="E65">
        <v>3.6273309999999999</v>
      </c>
      <c r="F65">
        <v>7.4116470000000003</v>
      </c>
      <c r="G65">
        <v>1.0495939999999999</v>
      </c>
      <c r="H65">
        <v>7.2142010000000001</v>
      </c>
      <c r="J65">
        <v>6.5263150000000003</v>
      </c>
      <c r="K65">
        <v>4.3489740000000001</v>
      </c>
      <c r="L65">
        <v>0.72977000000000003</v>
      </c>
      <c r="M65">
        <v>3.5398299999999998</v>
      </c>
      <c r="N65">
        <v>3.374012</v>
      </c>
      <c r="O65">
        <v>3.543587</v>
      </c>
      <c r="P65">
        <v>0.368145</v>
      </c>
    </row>
    <row r="66" spans="1:16">
      <c r="A66" s="82">
        <v>43257</v>
      </c>
      <c r="B66">
        <v>8.2921060000000004</v>
      </c>
      <c r="C66">
        <v>1.0392110000000001</v>
      </c>
      <c r="E66">
        <v>3.6245940000000001</v>
      </c>
      <c r="F66">
        <v>7.4046459999999996</v>
      </c>
      <c r="G66">
        <v>1.049504</v>
      </c>
      <c r="H66">
        <v>7.2125380000000003</v>
      </c>
      <c r="J66">
        <v>6.5203930000000003</v>
      </c>
      <c r="K66">
        <v>4.3456169999999998</v>
      </c>
      <c r="L66">
        <v>0.726989</v>
      </c>
      <c r="M66">
        <v>3.537239</v>
      </c>
      <c r="N66">
        <v>3.371496</v>
      </c>
      <c r="O66">
        <v>3.5378980000000002</v>
      </c>
      <c r="P66">
        <v>0.36773299999999998</v>
      </c>
    </row>
    <row r="67" spans="1:16">
      <c r="A67" s="82">
        <v>43256</v>
      </c>
      <c r="B67">
        <v>8.2853670000000008</v>
      </c>
      <c r="C67">
        <v>1.0391889999999999</v>
      </c>
      <c r="E67">
        <v>3.6218729999999999</v>
      </c>
      <c r="F67">
        <v>7.3958219999999999</v>
      </c>
      <c r="G67">
        <v>1.049399</v>
      </c>
      <c r="H67">
        <v>7.2049250000000002</v>
      </c>
      <c r="J67">
        <v>6.5126289999999996</v>
      </c>
      <c r="K67">
        <v>4.3413259999999996</v>
      </c>
      <c r="L67">
        <v>0.72834399999999999</v>
      </c>
      <c r="M67">
        <v>3.534494</v>
      </c>
      <c r="N67">
        <v>3.3728250000000002</v>
      </c>
      <c r="O67">
        <v>3.5411760000000001</v>
      </c>
      <c r="P67">
        <v>0.36773699999999998</v>
      </c>
    </row>
    <row r="68" spans="1:16">
      <c r="A68" s="82">
        <v>43255</v>
      </c>
      <c r="B68">
        <v>8.2790809999999997</v>
      </c>
      <c r="C68">
        <v>1.0391140000000001</v>
      </c>
      <c r="E68">
        <v>3.6191010000000001</v>
      </c>
      <c r="F68">
        <v>7.3898099999999998</v>
      </c>
      <c r="G68">
        <v>1.0491600000000001</v>
      </c>
      <c r="H68">
        <v>7.202674</v>
      </c>
      <c r="J68">
        <v>6.5061229999999997</v>
      </c>
      <c r="K68">
        <v>4.3388159999999996</v>
      </c>
      <c r="L68">
        <v>0.72765899999999994</v>
      </c>
      <c r="M68">
        <v>3.5318260000000001</v>
      </c>
      <c r="N68">
        <v>3.3722050000000001</v>
      </c>
      <c r="O68">
        <v>3.538869</v>
      </c>
      <c r="P68">
        <v>0.367255</v>
      </c>
    </row>
    <row r="69" spans="1:16">
      <c r="A69" s="82">
        <v>43252</v>
      </c>
      <c r="B69">
        <v>8.2571739999999991</v>
      </c>
      <c r="C69">
        <v>1.039032</v>
      </c>
      <c r="E69">
        <v>3.6108889999999998</v>
      </c>
      <c r="F69">
        <v>7.3800439999999998</v>
      </c>
      <c r="G69">
        <v>1.0488</v>
      </c>
      <c r="H69">
        <v>7.1928729999999996</v>
      </c>
      <c r="J69">
        <v>6.4966609999999996</v>
      </c>
      <c r="K69">
        <v>4.3342090000000004</v>
      </c>
      <c r="L69">
        <v>0.72768500000000003</v>
      </c>
      <c r="M69">
        <v>3.5249950000000001</v>
      </c>
      <c r="N69">
        <v>3.3650500000000001</v>
      </c>
      <c r="O69">
        <v>3.5323470000000001</v>
      </c>
      <c r="P69">
        <v>0.36666900000000002</v>
      </c>
    </row>
    <row r="70" spans="1:16">
      <c r="A70" s="82">
        <v>43251</v>
      </c>
      <c r="B70">
        <v>8.2502779999999998</v>
      </c>
      <c r="C70">
        <v>1.038978</v>
      </c>
      <c r="E70">
        <v>3.6082079999999999</v>
      </c>
      <c r="F70">
        <v>7.3782589999999999</v>
      </c>
      <c r="G70">
        <v>1.0487280000000001</v>
      </c>
      <c r="H70">
        <v>7.1856929999999997</v>
      </c>
      <c r="J70">
        <v>6.4819019999999998</v>
      </c>
      <c r="K70">
        <v>4.3268180000000003</v>
      </c>
      <c r="L70">
        <v>0.72670599999999996</v>
      </c>
      <c r="M70">
        <v>3.5211519999999998</v>
      </c>
      <c r="N70">
        <v>3.363073</v>
      </c>
      <c r="O70">
        <v>3.530529</v>
      </c>
      <c r="P70">
        <v>0.36641499999999999</v>
      </c>
    </row>
    <row r="71" spans="1:16">
      <c r="A71" s="82">
        <v>43250</v>
      </c>
      <c r="B71">
        <v>8.242998</v>
      </c>
      <c r="C71">
        <v>1.0389699999999999</v>
      </c>
      <c r="E71">
        <v>3.6055139999999999</v>
      </c>
      <c r="F71">
        <v>7.3708790000000004</v>
      </c>
      <c r="G71">
        <v>1.049086</v>
      </c>
      <c r="H71">
        <v>7.1783429999999999</v>
      </c>
      <c r="J71">
        <v>6.4765430000000004</v>
      </c>
      <c r="K71">
        <v>4.3237050000000004</v>
      </c>
      <c r="L71">
        <v>0.72751100000000002</v>
      </c>
      <c r="M71">
        <v>3.5196619999999998</v>
      </c>
      <c r="N71">
        <v>3.3615240000000002</v>
      </c>
      <c r="O71">
        <v>3.5268739999999998</v>
      </c>
      <c r="P71">
        <v>0.366643</v>
      </c>
    </row>
    <row r="72" spans="1:16">
      <c r="A72" s="82">
        <v>43249</v>
      </c>
      <c r="B72">
        <v>8.2357829999999996</v>
      </c>
      <c r="C72">
        <v>1.0389079999999999</v>
      </c>
      <c r="E72">
        <v>3.602827</v>
      </c>
      <c r="F72">
        <v>7.3644369999999997</v>
      </c>
      <c r="G72">
        <v>1.0490569999999999</v>
      </c>
      <c r="H72">
        <v>7.1723730000000003</v>
      </c>
      <c r="J72">
        <v>6.4703499999999998</v>
      </c>
      <c r="K72">
        <v>4.3226440000000004</v>
      </c>
      <c r="L72">
        <v>0.72624100000000003</v>
      </c>
      <c r="M72">
        <v>3.5154809999999999</v>
      </c>
      <c r="N72">
        <v>3.3611460000000002</v>
      </c>
      <c r="O72">
        <v>3.5219680000000002</v>
      </c>
      <c r="P72">
        <v>0.36650899999999997</v>
      </c>
    </row>
    <row r="73" spans="1:16">
      <c r="A73" s="82">
        <v>43248</v>
      </c>
      <c r="B73">
        <v>8.2289600000000007</v>
      </c>
      <c r="C73">
        <v>1.0388980000000001</v>
      </c>
      <c r="E73">
        <v>3.6001029999999998</v>
      </c>
      <c r="F73">
        <v>7.3573519999999997</v>
      </c>
      <c r="G73">
        <v>1.0490520000000001</v>
      </c>
      <c r="H73">
        <v>7.1665409999999996</v>
      </c>
      <c r="J73">
        <v>6.4641739999999999</v>
      </c>
      <c r="K73">
        <v>4.3190109999999997</v>
      </c>
      <c r="L73">
        <v>0.72487800000000002</v>
      </c>
      <c r="M73">
        <v>3.5104259999999998</v>
      </c>
      <c r="N73">
        <v>3.3606820000000002</v>
      </c>
      <c r="O73">
        <v>3.5221629999999999</v>
      </c>
      <c r="P73">
        <v>0.36666500000000002</v>
      </c>
    </row>
    <row r="74" spans="1:16">
      <c r="A74" s="82">
        <v>43244</v>
      </c>
      <c r="B74">
        <v>8.2010179999999995</v>
      </c>
      <c r="C74">
        <v>1.0388059999999999</v>
      </c>
      <c r="E74">
        <v>3.5893060000000001</v>
      </c>
      <c r="F74">
        <v>7.347874</v>
      </c>
      <c r="G74">
        <v>1.048667</v>
      </c>
      <c r="H74">
        <v>7.1518569999999997</v>
      </c>
      <c r="J74">
        <v>6.4544259999999998</v>
      </c>
      <c r="K74">
        <v>4.3139050000000001</v>
      </c>
      <c r="L74">
        <v>0.722051</v>
      </c>
      <c r="M74">
        <v>3.497655</v>
      </c>
      <c r="N74">
        <v>3.3510710000000001</v>
      </c>
      <c r="O74">
        <v>3.5135610000000002</v>
      </c>
      <c r="P74">
        <v>0.36579899999999999</v>
      </c>
    </row>
    <row r="75" spans="1:16">
      <c r="A75" s="82">
        <v>43243</v>
      </c>
      <c r="B75">
        <v>8.1944879999999998</v>
      </c>
      <c r="C75">
        <v>1.038702</v>
      </c>
      <c r="E75">
        <v>3.5866699999999998</v>
      </c>
      <c r="F75">
        <v>7.3238159999999999</v>
      </c>
      <c r="G75">
        <v>1.0483640000000001</v>
      </c>
      <c r="H75">
        <v>7.1360250000000001</v>
      </c>
      <c r="J75">
        <v>6.4348669999999997</v>
      </c>
      <c r="K75">
        <v>4.3027790000000001</v>
      </c>
      <c r="L75">
        <v>0.71979599999999999</v>
      </c>
      <c r="M75">
        <v>3.4924569999999999</v>
      </c>
      <c r="N75">
        <v>3.349243</v>
      </c>
      <c r="O75">
        <v>3.5112860000000001</v>
      </c>
      <c r="P75">
        <v>0.365539</v>
      </c>
    </row>
    <row r="76" spans="1:16">
      <c r="A76" s="82">
        <v>43242</v>
      </c>
      <c r="B76">
        <v>8.1883099999999995</v>
      </c>
      <c r="C76">
        <v>1.0386029999999999</v>
      </c>
      <c r="E76">
        <v>3.5840360000000002</v>
      </c>
      <c r="F76">
        <v>7.3144429999999998</v>
      </c>
      <c r="G76">
        <v>1.0482769999999999</v>
      </c>
      <c r="H76">
        <v>7.1273850000000003</v>
      </c>
      <c r="J76">
        <v>6.4267060000000003</v>
      </c>
      <c r="K76">
        <v>4.2980590000000003</v>
      </c>
      <c r="L76">
        <v>0.71534299999999995</v>
      </c>
      <c r="M76">
        <v>3.491028</v>
      </c>
      <c r="N76">
        <v>3.3450739999999999</v>
      </c>
      <c r="O76">
        <v>3.5063219999999999</v>
      </c>
      <c r="P76">
        <v>0.36508699999999999</v>
      </c>
    </row>
    <row r="77" spans="1:16">
      <c r="A77" s="82">
        <v>43241</v>
      </c>
      <c r="B77">
        <v>8.1825290000000006</v>
      </c>
      <c r="C77">
        <v>1.0385150000000001</v>
      </c>
      <c r="E77">
        <v>3.5813799999999998</v>
      </c>
      <c r="F77">
        <v>7.307938</v>
      </c>
      <c r="G77">
        <v>1.0482499999999999</v>
      </c>
      <c r="H77">
        <v>7.121556</v>
      </c>
      <c r="J77">
        <v>6.42218</v>
      </c>
      <c r="K77">
        <v>4.2948040000000001</v>
      </c>
      <c r="L77">
        <v>0.716638</v>
      </c>
      <c r="M77">
        <v>3.4874909999999999</v>
      </c>
      <c r="N77">
        <v>3.3417810000000001</v>
      </c>
      <c r="O77">
        <v>3.5040870000000002</v>
      </c>
      <c r="P77">
        <v>0.36470000000000002</v>
      </c>
    </row>
    <row r="78" spans="1:16">
      <c r="A78" s="82">
        <v>43238</v>
      </c>
      <c r="B78">
        <v>8.1633340000000008</v>
      </c>
      <c r="C78">
        <v>1.038481</v>
      </c>
      <c r="E78">
        <v>3.573413</v>
      </c>
      <c r="F78">
        <v>7.299658</v>
      </c>
      <c r="G78">
        <v>1.0478730000000001</v>
      </c>
      <c r="H78">
        <v>7.1083360000000004</v>
      </c>
      <c r="J78">
        <v>6.4147080000000001</v>
      </c>
      <c r="K78">
        <v>4.2911869999999999</v>
      </c>
      <c r="L78">
        <v>0.71667899999999995</v>
      </c>
      <c r="M78">
        <v>3.478208</v>
      </c>
      <c r="N78">
        <v>3.3352309999999998</v>
      </c>
      <c r="O78">
        <v>3.4978919999999998</v>
      </c>
      <c r="P78">
        <v>0.36404999999999998</v>
      </c>
    </row>
    <row r="79" spans="1:16">
      <c r="A79" s="82">
        <v>43237</v>
      </c>
      <c r="B79">
        <v>8.1579090000000001</v>
      </c>
      <c r="C79">
        <v>1.0383899999999999</v>
      </c>
      <c r="E79">
        <v>3.5706709999999999</v>
      </c>
      <c r="F79">
        <v>7.2799719999999999</v>
      </c>
      <c r="G79">
        <v>1.048103</v>
      </c>
      <c r="H79">
        <v>7.09917</v>
      </c>
      <c r="J79">
        <v>6.3987080000000001</v>
      </c>
      <c r="K79">
        <v>4.2818639999999997</v>
      </c>
      <c r="L79">
        <v>0.71444799999999997</v>
      </c>
      <c r="M79">
        <v>3.4734940000000001</v>
      </c>
      <c r="N79">
        <v>3.3316810000000001</v>
      </c>
      <c r="O79">
        <v>3.4962230000000001</v>
      </c>
      <c r="P79">
        <v>0.36373699999999998</v>
      </c>
    </row>
    <row r="80" spans="1:16">
      <c r="A80" s="82">
        <v>43236</v>
      </c>
      <c r="B80">
        <v>8.1525119999999998</v>
      </c>
      <c r="C80">
        <v>1.0383519999999999</v>
      </c>
      <c r="E80">
        <v>3.5678269999999999</v>
      </c>
      <c r="F80">
        <v>7.2692680000000003</v>
      </c>
      <c r="G80">
        <v>1.0480959999999999</v>
      </c>
      <c r="H80">
        <v>7.0924019999999999</v>
      </c>
      <c r="J80">
        <v>6.3902450000000002</v>
      </c>
      <c r="K80">
        <v>4.2777779999999996</v>
      </c>
      <c r="L80">
        <v>0.71222700000000005</v>
      </c>
      <c r="M80">
        <v>3.5923970000000001</v>
      </c>
      <c r="N80">
        <v>3.325237</v>
      </c>
      <c r="O80">
        <v>3.4946329999999999</v>
      </c>
      <c r="P80">
        <v>0.36327399999999999</v>
      </c>
    </row>
    <row r="81" spans="1:16">
      <c r="A81" s="82">
        <v>43235</v>
      </c>
      <c r="B81">
        <v>8.1468980000000002</v>
      </c>
      <c r="C81">
        <v>1.038265</v>
      </c>
      <c r="E81">
        <v>3.5647880000000001</v>
      </c>
      <c r="F81">
        <v>7.2646740000000003</v>
      </c>
      <c r="G81">
        <v>1.0470969999999999</v>
      </c>
      <c r="H81">
        <v>7.0812679999999997</v>
      </c>
      <c r="J81">
        <v>6.3835800000000003</v>
      </c>
      <c r="K81">
        <v>4.2748169999999996</v>
      </c>
      <c r="L81">
        <v>0.69195399999999996</v>
      </c>
      <c r="M81">
        <v>3.594122</v>
      </c>
      <c r="N81">
        <v>3.3258649999999998</v>
      </c>
      <c r="O81">
        <v>3.4926750000000002</v>
      </c>
      <c r="P81">
        <v>0.361568</v>
      </c>
    </row>
    <row r="82" spans="1:16">
      <c r="A82" s="82">
        <v>43234</v>
      </c>
      <c r="B82">
        <v>8.1410900000000002</v>
      </c>
      <c r="C82">
        <v>1.0382119999999999</v>
      </c>
      <c r="E82">
        <v>3.561747</v>
      </c>
      <c r="F82">
        <v>7.237114</v>
      </c>
      <c r="G82">
        <v>1.0470330000000001</v>
      </c>
      <c r="H82">
        <v>7.0739700000000001</v>
      </c>
      <c r="J82">
        <v>6.3658020000000004</v>
      </c>
      <c r="K82">
        <v>4.2680689999999997</v>
      </c>
      <c r="L82">
        <v>0.70673900000000001</v>
      </c>
      <c r="M82">
        <v>3.5833439999999999</v>
      </c>
      <c r="N82">
        <v>3.3119390000000002</v>
      </c>
      <c r="O82">
        <v>3.490796</v>
      </c>
      <c r="P82">
        <v>0.36243700000000001</v>
      </c>
    </row>
    <row r="83" spans="1:16">
      <c r="A83" s="82">
        <v>43231</v>
      </c>
      <c r="B83">
        <v>8.1208460000000002</v>
      </c>
      <c r="C83">
        <v>1.038211</v>
      </c>
      <c r="E83">
        <v>3.5529989999999998</v>
      </c>
      <c r="F83">
        <v>7.2313900000000002</v>
      </c>
      <c r="G83">
        <v>1.049139</v>
      </c>
      <c r="H83">
        <v>7.0697700000000001</v>
      </c>
      <c r="J83">
        <v>6.3540010000000002</v>
      </c>
      <c r="K83">
        <v>4.2623069999999998</v>
      </c>
      <c r="L83">
        <v>0.71298799999999996</v>
      </c>
      <c r="M83">
        <v>3.5727890000000002</v>
      </c>
      <c r="N83">
        <v>3.3048129999999998</v>
      </c>
      <c r="O83">
        <v>3.4741360000000001</v>
      </c>
      <c r="P83">
        <v>0.35872700000000002</v>
      </c>
    </row>
    <row r="84" spans="1:16">
      <c r="A84" s="82">
        <v>43230</v>
      </c>
      <c r="B84">
        <v>8.1151710000000001</v>
      </c>
      <c r="C84">
        <v>1.038133</v>
      </c>
      <c r="E84">
        <v>3.5503779999999998</v>
      </c>
      <c r="F84">
        <v>7.1975110000000004</v>
      </c>
      <c r="G84">
        <v>1.0511569999999999</v>
      </c>
      <c r="H84">
        <v>7.059787</v>
      </c>
      <c r="J84">
        <v>6.3342700000000001</v>
      </c>
      <c r="K84">
        <v>4.2509920000000001</v>
      </c>
      <c r="L84">
        <v>0.70867199999999997</v>
      </c>
      <c r="M84">
        <v>3.571278</v>
      </c>
      <c r="N84">
        <v>3.3011210000000002</v>
      </c>
      <c r="O84">
        <v>3.4787210000000002</v>
      </c>
      <c r="P84">
        <v>0.35929299999999997</v>
      </c>
    </row>
    <row r="85" spans="1:16">
      <c r="A85" s="82">
        <v>43229</v>
      </c>
      <c r="B85">
        <v>8.1092689999999994</v>
      </c>
      <c r="C85">
        <v>1.038087</v>
      </c>
      <c r="E85">
        <v>3.5477820000000002</v>
      </c>
      <c r="F85">
        <v>7.1992159999999998</v>
      </c>
      <c r="G85">
        <v>1.0518810000000001</v>
      </c>
      <c r="H85">
        <v>7.0598109999999998</v>
      </c>
      <c r="J85">
        <v>6.3323850000000004</v>
      </c>
      <c r="K85">
        <v>4.2505009999999999</v>
      </c>
      <c r="L85">
        <v>0.70964799999999995</v>
      </c>
      <c r="M85">
        <v>3.5673189999999999</v>
      </c>
      <c r="N85">
        <v>3.2974589999999999</v>
      </c>
      <c r="O85">
        <v>3.4737019999999998</v>
      </c>
      <c r="P85">
        <v>0.35909799999999997</v>
      </c>
    </row>
    <row r="86" spans="1:16">
      <c r="A86" s="82">
        <v>43228</v>
      </c>
      <c r="B86">
        <v>8.1032600000000006</v>
      </c>
      <c r="C86">
        <v>1.043361</v>
      </c>
      <c r="E86">
        <v>3.5451540000000001</v>
      </c>
      <c r="F86">
        <v>7.1975480000000003</v>
      </c>
      <c r="G86">
        <v>1.0546219999999999</v>
      </c>
      <c r="H86">
        <v>7.0599290000000003</v>
      </c>
      <c r="J86">
        <v>6.3295219999999999</v>
      </c>
      <c r="K86">
        <v>4.2510659999999998</v>
      </c>
      <c r="L86">
        <v>0.70216400000000001</v>
      </c>
      <c r="M86">
        <v>3.5620699999999998</v>
      </c>
      <c r="N86">
        <v>3.294162</v>
      </c>
      <c r="O86">
        <v>3.4684020000000002</v>
      </c>
      <c r="P86">
        <v>0.35808600000000002</v>
      </c>
    </row>
    <row r="87" spans="1:16">
      <c r="A87" s="82">
        <v>43227</v>
      </c>
      <c r="B87">
        <v>8.0973760000000006</v>
      </c>
      <c r="C87">
        <v>1.043949</v>
      </c>
      <c r="E87">
        <v>3.542621</v>
      </c>
      <c r="F87">
        <v>7.2303930000000003</v>
      </c>
      <c r="G87">
        <v>1.0556810000000001</v>
      </c>
      <c r="H87">
        <v>7.0804939999999998</v>
      </c>
      <c r="J87">
        <v>6.3654789999999997</v>
      </c>
      <c r="K87">
        <v>4.2632989999999999</v>
      </c>
      <c r="L87">
        <v>0.69484199999999996</v>
      </c>
      <c r="M87">
        <v>3.5646580000000001</v>
      </c>
      <c r="N87">
        <v>3.3081749999999999</v>
      </c>
      <c r="O87">
        <v>3.4732370000000001</v>
      </c>
      <c r="P87">
        <v>0.35795500000000002</v>
      </c>
    </row>
    <row r="88" spans="1:16">
      <c r="A88" s="82">
        <v>43224</v>
      </c>
      <c r="B88">
        <v>8.0798780000000008</v>
      </c>
      <c r="C88">
        <v>1.044127</v>
      </c>
      <c r="E88">
        <v>3.534996</v>
      </c>
      <c r="F88">
        <v>7.2416600000000004</v>
      </c>
      <c r="G88">
        <v>1.055728</v>
      </c>
      <c r="H88">
        <v>7.0854809999999997</v>
      </c>
      <c r="J88">
        <v>6.3652749999999996</v>
      </c>
      <c r="K88">
        <v>4.2656010000000002</v>
      </c>
      <c r="L88">
        <v>0.691805</v>
      </c>
      <c r="M88">
        <v>3.5725189999999998</v>
      </c>
      <c r="N88">
        <v>3.3005620000000002</v>
      </c>
      <c r="O88">
        <v>3.4699529999999998</v>
      </c>
      <c r="P88">
        <v>0.35741699999999998</v>
      </c>
    </row>
    <row r="89" spans="1:16">
      <c r="A89" s="82">
        <v>43223</v>
      </c>
      <c r="B89">
        <v>8.0741230000000002</v>
      </c>
      <c r="C89">
        <v>1.0440910000000001</v>
      </c>
      <c r="E89">
        <v>3.5325700000000002</v>
      </c>
      <c r="F89">
        <v>7.1946950000000003</v>
      </c>
      <c r="G89">
        <v>1.056691</v>
      </c>
      <c r="H89">
        <v>7.0714499999999996</v>
      </c>
      <c r="J89">
        <v>6.343934</v>
      </c>
      <c r="K89">
        <v>4.2488640000000002</v>
      </c>
      <c r="L89">
        <v>0.712947</v>
      </c>
      <c r="M89">
        <v>3.552378</v>
      </c>
      <c r="N89">
        <v>3.3013020000000002</v>
      </c>
      <c r="O89">
        <v>3.4777040000000001</v>
      </c>
      <c r="P89">
        <v>0.357873</v>
      </c>
    </row>
    <row r="90" spans="1:16">
      <c r="A90" s="82">
        <v>43222</v>
      </c>
      <c r="B90">
        <v>8.0688040000000001</v>
      </c>
      <c r="C90">
        <v>1.0441119999999999</v>
      </c>
      <c r="E90">
        <v>3.5303879999999999</v>
      </c>
      <c r="F90">
        <v>7.2313000000000001</v>
      </c>
      <c r="G90">
        <v>1.0565610000000001</v>
      </c>
      <c r="H90">
        <v>7.0783639999999997</v>
      </c>
      <c r="J90">
        <v>6.3597489999999999</v>
      </c>
      <c r="K90">
        <v>4.2646810000000004</v>
      </c>
      <c r="L90">
        <v>0.689836</v>
      </c>
      <c r="M90">
        <v>3.547275</v>
      </c>
      <c r="N90">
        <v>3.3075079999999999</v>
      </c>
      <c r="O90">
        <v>3.4756140000000002</v>
      </c>
      <c r="P90">
        <v>0.35805199999999998</v>
      </c>
    </row>
    <row r="91" spans="1:16">
      <c r="A91" s="82">
        <v>43217</v>
      </c>
      <c r="B91">
        <v>8.0433760000000003</v>
      </c>
      <c r="C91">
        <v>1.044109</v>
      </c>
      <c r="E91">
        <v>3.5198589999999998</v>
      </c>
      <c r="F91">
        <v>7.2389929999999998</v>
      </c>
      <c r="G91">
        <v>1.0569470000000001</v>
      </c>
      <c r="H91">
        <v>7.0748239999999996</v>
      </c>
      <c r="J91">
        <v>6.3594359999999996</v>
      </c>
      <c r="K91">
        <v>4.2624430000000002</v>
      </c>
      <c r="L91">
        <v>0.67918800000000001</v>
      </c>
      <c r="M91">
        <v>3.5369769999999998</v>
      </c>
      <c r="N91">
        <v>3.3010980000000001</v>
      </c>
      <c r="O91">
        <v>3.464928</v>
      </c>
      <c r="P91">
        <v>0.35750100000000001</v>
      </c>
    </row>
    <row r="92" spans="1:16">
      <c r="A92" s="82">
        <v>43216</v>
      </c>
      <c r="B92">
        <v>8.0384360000000008</v>
      </c>
      <c r="C92">
        <v>1.0438989999999999</v>
      </c>
      <c r="E92">
        <v>3.5179770000000001</v>
      </c>
      <c r="F92">
        <v>7.2381849999999996</v>
      </c>
      <c r="G92">
        <v>1.056608</v>
      </c>
      <c r="H92">
        <v>7.0752550000000003</v>
      </c>
      <c r="J92">
        <v>6.359216</v>
      </c>
      <c r="K92">
        <v>4.2602679999999999</v>
      </c>
      <c r="L92">
        <v>0.67799299999999996</v>
      </c>
      <c r="M92">
        <v>3.5334970000000001</v>
      </c>
      <c r="N92">
        <v>3.3031160000000002</v>
      </c>
      <c r="O92">
        <v>3.4629180000000002</v>
      </c>
      <c r="P92">
        <v>0.35706399999999999</v>
      </c>
    </row>
    <row r="93" spans="1:16">
      <c r="A93" s="82">
        <v>43215</v>
      </c>
      <c r="B93">
        <v>8.0343339999999994</v>
      </c>
      <c r="C93">
        <v>1.04373</v>
      </c>
      <c r="E93">
        <v>3.5161120000000001</v>
      </c>
      <c r="F93">
        <v>7.2412320000000001</v>
      </c>
      <c r="G93">
        <v>1.0567979999999999</v>
      </c>
      <c r="H93">
        <v>7.0757659999999998</v>
      </c>
      <c r="J93">
        <v>6.3591930000000003</v>
      </c>
      <c r="K93">
        <v>4.2638069999999999</v>
      </c>
      <c r="L93">
        <v>0.67671000000000003</v>
      </c>
      <c r="M93">
        <v>3.5314809999999999</v>
      </c>
      <c r="N93">
        <v>3.3052959999999998</v>
      </c>
      <c r="O93">
        <v>3.4608189999999999</v>
      </c>
      <c r="P93">
        <v>0.35766599999999998</v>
      </c>
    </row>
    <row r="94" spans="1:16">
      <c r="A94" s="82">
        <v>43214</v>
      </c>
      <c r="B94">
        <v>8.0292929999999991</v>
      </c>
      <c r="C94">
        <v>1.0436510000000001</v>
      </c>
      <c r="E94">
        <v>3.514259</v>
      </c>
      <c r="F94">
        <v>7.2368059999999996</v>
      </c>
      <c r="G94">
        <v>1.056575</v>
      </c>
      <c r="H94">
        <v>7.0715149999999998</v>
      </c>
      <c r="J94">
        <v>6.3552210000000002</v>
      </c>
      <c r="K94">
        <v>4.2612519999999998</v>
      </c>
      <c r="L94">
        <v>0.67637700000000001</v>
      </c>
      <c r="M94">
        <v>3.529433</v>
      </c>
      <c r="N94">
        <v>3.3039399999999999</v>
      </c>
      <c r="O94">
        <v>3.4587119999999998</v>
      </c>
      <c r="P94">
        <v>0.35753400000000002</v>
      </c>
    </row>
    <row r="95" spans="1:16">
      <c r="A95" s="82">
        <v>43213</v>
      </c>
      <c r="B95">
        <v>8.0242349999999991</v>
      </c>
      <c r="C95">
        <v>1.0435540000000001</v>
      </c>
      <c r="E95">
        <v>3.5123929999999999</v>
      </c>
      <c r="F95">
        <v>7.2316599999999998</v>
      </c>
      <c r="G95">
        <v>1.056522</v>
      </c>
      <c r="H95">
        <v>7.0667359999999997</v>
      </c>
      <c r="J95">
        <v>6.350956</v>
      </c>
      <c r="K95">
        <v>4.2584169999999997</v>
      </c>
      <c r="L95">
        <v>0.67627599999999999</v>
      </c>
      <c r="M95">
        <v>3.527066</v>
      </c>
      <c r="N95">
        <v>3.3023129999999998</v>
      </c>
      <c r="O95">
        <v>3.456731</v>
      </c>
      <c r="P95">
        <v>0.35743999999999998</v>
      </c>
    </row>
    <row r="96" spans="1:16">
      <c r="A96" s="82">
        <v>43210</v>
      </c>
      <c r="B96">
        <v>8.0089249999999996</v>
      </c>
      <c r="C96">
        <v>1.043447</v>
      </c>
      <c r="E96">
        <v>3.506723</v>
      </c>
      <c r="F96">
        <v>7.2260759999999999</v>
      </c>
      <c r="G96">
        <v>1.0563910000000001</v>
      </c>
      <c r="H96">
        <v>7.0597110000000001</v>
      </c>
      <c r="J96">
        <v>6.3455899999999996</v>
      </c>
      <c r="K96">
        <v>4.2547420000000002</v>
      </c>
      <c r="L96">
        <v>0.67483000000000004</v>
      </c>
      <c r="M96">
        <v>3.5207540000000002</v>
      </c>
      <c r="N96">
        <v>3.2972730000000001</v>
      </c>
      <c r="O96">
        <v>3.4506239999999999</v>
      </c>
      <c r="P96">
        <v>0.35684900000000003</v>
      </c>
    </row>
    <row r="97" spans="1:16">
      <c r="A97" s="82">
        <v>43209</v>
      </c>
      <c r="B97">
        <v>8.0040440000000004</v>
      </c>
      <c r="C97">
        <v>1.0432790000000001</v>
      </c>
      <c r="E97">
        <v>3.5047890000000002</v>
      </c>
      <c r="F97">
        <v>7.2125919999999999</v>
      </c>
      <c r="G97">
        <v>1.0562590000000001</v>
      </c>
      <c r="H97">
        <v>7.0476580000000002</v>
      </c>
      <c r="J97">
        <v>6.3341339999999997</v>
      </c>
      <c r="K97">
        <v>4.2474639999999999</v>
      </c>
      <c r="L97">
        <v>0.67478000000000005</v>
      </c>
      <c r="M97">
        <v>3.5185770000000001</v>
      </c>
      <c r="N97">
        <v>3.2956780000000001</v>
      </c>
      <c r="O97">
        <v>3.448143</v>
      </c>
      <c r="P97">
        <v>0.35665000000000002</v>
      </c>
    </row>
    <row r="98" spans="1:16">
      <c r="A98" s="82">
        <v>43208</v>
      </c>
      <c r="B98">
        <v>7.9991529999999997</v>
      </c>
      <c r="C98">
        <v>1.043145</v>
      </c>
      <c r="E98">
        <v>3.5028410000000001</v>
      </c>
      <c r="F98">
        <v>7.2076510000000003</v>
      </c>
      <c r="G98">
        <v>1.0561</v>
      </c>
      <c r="H98">
        <v>7.042891</v>
      </c>
      <c r="J98">
        <v>6.3297239999999997</v>
      </c>
      <c r="K98">
        <v>4.2446539999999997</v>
      </c>
      <c r="L98">
        <v>0.67378800000000005</v>
      </c>
      <c r="M98">
        <v>3.5167459999999999</v>
      </c>
      <c r="N98">
        <v>3.2931119999999998</v>
      </c>
      <c r="O98">
        <v>3.4463509999999999</v>
      </c>
      <c r="P98">
        <v>0.35647000000000001</v>
      </c>
    </row>
    <row r="99" spans="1:16">
      <c r="A99" s="82">
        <v>43207</v>
      </c>
      <c r="B99">
        <v>7.9941680000000002</v>
      </c>
      <c r="C99">
        <v>1.0430600000000001</v>
      </c>
      <c r="E99">
        <v>3.5009260000000002</v>
      </c>
      <c r="F99">
        <v>7.2032800000000003</v>
      </c>
      <c r="G99">
        <v>1.0562830000000001</v>
      </c>
      <c r="H99">
        <v>7.0382930000000004</v>
      </c>
      <c r="J99">
        <v>6.325285</v>
      </c>
      <c r="K99">
        <v>4.2424010000000001</v>
      </c>
      <c r="L99">
        <v>0.67444199999999999</v>
      </c>
      <c r="M99">
        <v>3.5148999999999999</v>
      </c>
      <c r="N99">
        <v>3.2912430000000001</v>
      </c>
      <c r="O99">
        <v>3.4442149999999998</v>
      </c>
      <c r="P99">
        <v>0.35622300000000001</v>
      </c>
    </row>
    <row r="100" spans="1:16">
      <c r="A100" s="82">
        <v>43206</v>
      </c>
      <c r="B100">
        <v>7.9891800000000002</v>
      </c>
      <c r="C100">
        <v>1.042969</v>
      </c>
      <c r="E100">
        <v>3.498993</v>
      </c>
      <c r="F100">
        <v>7.1983930000000003</v>
      </c>
      <c r="G100">
        <v>1.0563979999999999</v>
      </c>
      <c r="H100">
        <v>7.0334019999999997</v>
      </c>
      <c r="J100">
        <v>6.3210800000000003</v>
      </c>
      <c r="K100">
        <v>4.2391040000000002</v>
      </c>
      <c r="L100">
        <v>0.67461700000000002</v>
      </c>
      <c r="M100">
        <v>3.5124369999999998</v>
      </c>
      <c r="N100">
        <v>3.2890410000000001</v>
      </c>
      <c r="O100">
        <v>3.4413399999999998</v>
      </c>
      <c r="P100">
        <v>0.356045</v>
      </c>
    </row>
    <row r="101" spans="1:16">
      <c r="A101" s="82">
        <v>43203</v>
      </c>
      <c r="B101">
        <v>7.9736380000000002</v>
      </c>
      <c r="C101">
        <v>1.042681</v>
      </c>
      <c r="E101">
        <v>3.493166</v>
      </c>
      <c r="F101">
        <v>7.1896890000000004</v>
      </c>
      <c r="G101">
        <v>1.056238</v>
      </c>
      <c r="H101">
        <v>7.0268509999999997</v>
      </c>
      <c r="J101">
        <v>6.3146040000000001</v>
      </c>
      <c r="K101">
        <v>4.2357100000000001</v>
      </c>
      <c r="L101">
        <v>0.67414499999999999</v>
      </c>
      <c r="M101">
        <v>3.5066670000000002</v>
      </c>
      <c r="N101">
        <v>3.28362</v>
      </c>
      <c r="O101">
        <v>3.4358390000000001</v>
      </c>
      <c r="P101">
        <v>0.35551500000000003</v>
      </c>
    </row>
    <row r="102" spans="1:16">
      <c r="A102" s="82">
        <v>43202</v>
      </c>
      <c r="B102">
        <v>7.9686009999999996</v>
      </c>
      <c r="C102">
        <v>1.0425070000000001</v>
      </c>
      <c r="E102">
        <v>3.4912290000000001</v>
      </c>
      <c r="F102">
        <v>7.1785920000000001</v>
      </c>
      <c r="G102">
        <v>1.0562990000000001</v>
      </c>
      <c r="H102">
        <v>7.0148700000000002</v>
      </c>
      <c r="J102">
        <v>6.3032069999999996</v>
      </c>
      <c r="K102">
        <v>4.2281880000000003</v>
      </c>
      <c r="L102">
        <v>0.67374500000000004</v>
      </c>
      <c r="M102">
        <v>3.504416</v>
      </c>
      <c r="N102">
        <v>3.2811409999999999</v>
      </c>
      <c r="O102">
        <v>3.434126</v>
      </c>
      <c r="P102">
        <v>0.35520200000000002</v>
      </c>
    </row>
    <row r="103" spans="1:16">
      <c r="A103" s="82">
        <v>43201</v>
      </c>
      <c r="B103">
        <v>7.9636110000000002</v>
      </c>
      <c r="C103">
        <v>1.0423210000000001</v>
      </c>
      <c r="E103">
        <v>3.4892970000000001</v>
      </c>
      <c r="F103">
        <v>7.1729820000000002</v>
      </c>
      <c r="G103">
        <v>1.0559069999999999</v>
      </c>
      <c r="H103">
        <v>7.0098209999999996</v>
      </c>
      <c r="J103">
        <v>6.2986019999999998</v>
      </c>
      <c r="K103">
        <v>4.2241140000000001</v>
      </c>
      <c r="L103">
        <v>0.67217099999999996</v>
      </c>
      <c r="M103">
        <v>3.5023240000000002</v>
      </c>
      <c r="N103">
        <v>3.2802519999999999</v>
      </c>
      <c r="O103">
        <v>3.4320080000000002</v>
      </c>
      <c r="P103">
        <v>0.35487400000000002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98</v>
      </c>
      <c r="B1" s="85">
        <v>5327</v>
      </c>
      <c r="C1" s="85" t="s">
        <v>182</v>
      </c>
      <c r="D1" s="90">
        <v>170000000</v>
      </c>
      <c r="E1" s="95">
        <v>170000000</v>
      </c>
      <c r="G1" s="92"/>
    </row>
    <row r="2" spans="1:7">
      <c r="A2" s="85" t="s">
        <v>99</v>
      </c>
      <c r="B2" s="85">
        <v>52584</v>
      </c>
      <c r="C2" s="85" t="s">
        <v>100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183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184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185</v>
      </c>
      <c r="D5" s="90">
        <v>220000000</v>
      </c>
      <c r="E5" s="95">
        <v>220000000</v>
      </c>
      <c r="F5" s="85"/>
      <c r="G5" s="92"/>
    </row>
    <row r="6" spans="1:7">
      <c r="A6" s="85" t="s">
        <v>186</v>
      </c>
      <c r="B6" s="85">
        <v>52897</v>
      </c>
      <c r="C6" s="85" t="s">
        <v>187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188</v>
      </c>
      <c r="D7" s="90">
        <v>210000000</v>
      </c>
      <c r="E7" s="95">
        <v>210000000</v>
      </c>
      <c r="F7" s="85"/>
      <c r="G7" s="92"/>
    </row>
    <row r="8" spans="1:7">
      <c r="A8" s="85" t="s">
        <v>189</v>
      </c>
      <c r="B8" s="85">
        <v>53068</v>
      </c>
      <c r="C8" s="85" t="s">
        <v>190</v>
      </c>
      <c r="D8" s="91">
        <v>50000000</v>
      </c>
      <c r="E8" s="95">
        <v>50000000</v>
      </c>
      <c r="F8" s="85"/>
      <c r="G8" s="92"/>
    </row>
    <row r="9" spans="1:7">
      <c r="A9" s="85" t="s">
        <v>101</v>
      </c>
      <c r="B9" s="85">
        <v>2571</v>
      </c>
      <c r="C9" s="85" t="s">
        <v>191</v>
      </c>
      <c r="D9" s="90">
        <v>50000000</v>
      </c>
      <c r="E9" s="95">
        <v>50000000</v>
      </c>
      <c r="F9" s="85"/>
      <c r="G9" s="92"/>
    </row>
    <row r="10" spans="1:7">
      <c r="A10" s="85" t="s">
        <v>102</v>
      </c>
      <c r="B10" s="85">
        <v>2405</v>
      </c>
      <c r="C10" s="85" t="s">
        <v>103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104</v>
      </c>
      <c r="B11" s="85">
        <v>38678</v>
      </c>
      <c r="C11" s="85" t="s">
        <v>105</v>
      </c>
      <c r="D11" s="90">
        <v>19000000</v>
      </c>
      <c r="E11" s="95">
        <v>19000000</v>
      </c>
      <c r="F11" s="85"/>
      <c r="G11" s="92"/>
    </row>
    <row r="12" spans="1:7">
      <c r="A12" s="85" t="s">
        <v>106</v>
      </c>
      <c r="B12" s="85">
        <v>38679</v>
      </c>
      <c r="C12" s="85" t="s">
        <v>107</v>
      </c>
      <c r="D12" s="90">
        <v>3700000</v>
      </c>
      <c r="E12" s="95">
        <v>3700000</v>
      </c>
      <c r="F12" s="85"/>
      <c r="G12" s="92"/>
    </row>
    <row r="13" spans="1:7">
      <c r="A13" s="85" t="s">
        <v>108</v>
      </c>
      <c r="B13" s="85">
        <v>5454</v>
      </c>
      <c r="C13" s="85" t="s">
        <v>192</v>
      </c>
      <c r="D13" s="90">
        <v>175742532</v>
      </c>
      <c r="E13" s="95">
        <v>175742532</v>
      </c>
      <c r="F13" s="85"/>
      <c r="G13" s="92"/>
    </row>
    <row r="14" spans="1:7">
      <c r="A14" s="85" t="s">
        <v>109</v>
      </c>
      <c r="B14" s="85">
        <v>90154</v>
      </c>
      <c r="C14" s="85" t="s">
        <v>110</v>
      </c>
      <c r="D14" s="90">
        <v>1507000</v>
      </c>
      <c r="E14" s="95">
        <v>1507000</v>
      </c>
      <c r="F14" s="85"/>
      <c r="G14" s="92"/>
    </row>
    <row r="15" spans="1:7">
      <c r="A15" s="85" t="s">
        <v>111</v>
      </c>
      <c r="B15" s="85">
        <v>5462</v>
      </c>
      <c r="C15" s="85" t="s">
        <v>193</v>
      </c>
      <c r="D15" s="90">
        <v>1766398</v>
      </c>
      <c r="E15" s="95">
        <v>1766398</v>
      </c>
      <c r="F15" s="85"/>
      <c r="G15" s="92"/>
    </row>
    <row r="16" spans="1:7">
      <c r="A16" s="85" t="s">
        <v>112</v>
      </c>
      <c r="B16" s="85">
        <v>50108</v>
      </c>
      <c r="C16" s="85" t="s">
        <v>113</v>
      </c>
      <c r="D16" s="90">
        <v>29755000</v>
      </c>
      <c r="E16" s="95">
        <v>29755000</v>
      </c>
      <c r="F16" s="85"/>
      <c r="G16" s="92"/>
    </row>
    <row r="17" spans="1:7">
      <c r="A17" s="85" t="s">
        <v>114</v>
      </c>
      <c r="B17" s="85">
        <v>50879</v>
      </c>
      <c r="C17" s="85" t="s">
        <v>115</v>
      </c>
      <c r="D17" s="90">
        <v>5803165</v>
      </c>
      <c r="E17" s="95">
        <v>5803165</v>
      </c>
      <c r="F17" s="85"/>
      <c r="G17" s="92"/>
    </row>
    <row r="18" spans="1:7">
      <c r="A18" s="85" t="s">
        <v>117</v>
      </c>
      <c r="B18" s="85">
        <v>51035</v>
      </c>
      <c r="C18" s="85" t="s">
        <v>118</v>
      </c>
      <c r="D18" s="90">
        <v>7344309</v>
      </c>
      <c r="E18" s="95">
        <v>7344309</v>
      </c>
      <c r="F18" s="85"/>
      <c r="G18" s="92"/>
    </row>
    <row r="19" spans="1:7">
      <c r="A19" s="85" t="s">
        <v>119</v>
      </c>
      <c r="B19" s="85">
        <v>51097</v>
      </c>
      <c r="C19" s="85" t="s">
        <v>120</v>
      </c>
      <c r="D19" s="90">
        <v>13763244</v>
      </c>
      <c r="E19" s="95">
        <v>13763244</v>
      </c>
      <c r="F19" s="85"/>
      <c r="G19" s="92"/>
    </row>
    <row r="20" spans="1:7">
      <c r="A20" s="85" t="s">
        <v>121</v>
      </c>
      <c r="B20" s="85">
        <v>51296</v>
      </c>
      <c r="C20" s="85" t="s">
        <v>122</v>
      </c>
      <c r="D20" s="90">
        <v>4800000</v>
      </c>
      <c r="E20" s="95">
        <v>1600320</v>
      </c>
      <c r="F20" s="85"/>
      <c r="G20" s="92"/>
    </row>
    <row r="21" spans="1:7">
      <c r="A21" s="85" t="s">
        <v>123</v>
      </c>
      <c r="B21" s="85">
        <v>5475</v>
      </c>
      <c r="C21" s="85" t="s">
        <v>124</v>
      </c>
      <c r="D21" s="90">
        <v>15000000</v>
      </c>
      <c r="E21" s="95">
        <v>15000000</v>
      </c>
      <c r="F21" s="85"/>
      <c r="G21" s="92"/>
    </row>
    <row r="22" spans="1:7">
      <c r="A22" s="85" t="s">
        <v>125</v>
      </c>
      <c r="B22" s="85">
        <v>5476</v>
      </c>
      <c r="C22" s="85" t="s">
        <v>126</v>
      </c>
      <c r="D22" s="90">
        <v>120000000</v>
      </c>
      <c r="E22" s="95">
        <v>120000000</v>
      </c>
      <c r="F22" s="85"/>
      <c r="G22" s="92"/>
    </row>
    <row r="23" spans="1:7">
      <c r="A23" s="85" t="s">
        <v>127</v>
      </c>
      <c r="B23" s="85">
        <v>51350</v>
      </c>
      <c r="C23" s="85" t="s">
        <v>128</v>
      </c>
      <c r="D23" s="90">
        <v>5084982</v>
      </c>
      <c r="E23" s="95">
        <v>5084982</v>
      </c>
      <c r="F23" s="85"/>
      <c r="G23" s="92"/>
    </row>
    <row r="24" spans="1:7">
      <c r="A24" s="85" t="s">
        <v>129</v>
      </c>
      <c r="B24" s="85">
        <v>51579</v>
      </c>
      <c r="C24" s="85" t="s">
        <v>194</v>
      </c>
      <c r="D24" s="90">
        <v>15000000</v>
      </c>
      <c r="E24" s="95">
        <v>15000000</v>
      </c>
      <c r="F24" s="85"/>
      <c r="G24" s="92"/>
    </row>
    <row r="25" spans="1:7">
      <c r="A25" s="85" t="s">
        <v>130</v>
      </c>
      <c r="B25" s="85">
        <v>51630</v>
      </c>
      <c r="C25" s="85" t="s">
        <v>131</v>
      </c>
      <c r="D25" s="90">
        <v>15888888</v>
      </c>
      <c r="E25" s="95">
        <v>15888888</v>
      </c>
      <c r="F25" s="85"/>
      <c r="G25" s="92"/>
    </row>
    <row r="26" spans="1:7">
      <c r="A26" s="85" t="s">
        <v>132</v>
      </c>
      <c r="B26" s="85">
        <v>5315</v>
      </c>
      <c r="C26" s="85" t="s">
        <v>195</v>
      </c>
      <c r="D26" s="90">
        <v>261600000</v>
      </c>
      <c r="E26" s="95">
        <v>261600000</v>
      </c>
      <c r="F26" s="85"/>
      <c r="G26" s="92"/>
    </row>
    <row r="27" spans="1:7">
      <c r="A27" s="85" t="s">
        <v>133</v>
      </c>
      <c r="B27" s="85">
        <v>51685</v>
      </c>
      <c r="C27" s="85" t="s">
        <v>134</v>
      </c>
      <c r="D27" s="90">
        <v>21900000</v>
      </c>
      <c r="E27" s="95">
        <v>21900000</v>
      </c>
      <c r="F27" s="85"/>
      <c r="G27" s="92"/>
    </row>
    <row r="28" spans="1:7">
      <c r="A28" s="85" t="s">
        <v>135</v>
      </c>
      <c r="B28" s="85">
        <v>51730</v>
      </c>
      <c r="C28" s="85" t="s">
        <v>136</v>
      </c>
      <c r="D28" s="90">
        <v>11546000</v>
      </c>
      <c r="E28" s="95">
        <v>11546000</v>
      </c>
      <c r="F28" s="85"/>
      <c r="G28" s="92"/>
    </row>
    <row r="29" spans="1:7">
      <c r="A29" s="85" t="s">
        <v>137</v>
      </c>
      <c r="B29" s="85">
        <v>51734</v>
      </c>
      <c r="C29" s="85" t="s">
        <v>138</v>
      </c>
      <c r="D29" s="90">
        <v>8000000</v>
      </c>
      <c r="E29" s="95">
        <v>8000000</v>
      </c>
      <c r="F29" s="85"/>
      <c r="G29" s="92"/>
    </row>
    <row r="30" spans="1:7">
      <c r="A30" s="85" t="s">
        <v>139</v>
      </c>
      <c r="B30" s="85">
        <v>51769</v>
      </c>
      <c r="C30" s="85" t="s">
        <v>140</v>
      </c>
      <c r="D30" s="90">
        <v>10821428</v>
      </c>
      <c r="E30" s="95">
        <v>10821428</v>
      </c>
      <c r="F30" s="85"/>
      <c r="G30" s="92"/>
    </row>
    <row r="31" spans="1:7">
      <c r="A31" s="85" t="s">
        <v>141</v>
      </c>
      <c r="B31" s="85">
        <v>51856</v>
      </c>
      <c r="C31" s="85" t="s">
        <v>142</v>
      </c>
      <c r="D31" s="90">
        <v>46463333</v>
      </c>
      <c r="E31" s="95">
        <v>46463333</v>
      </c>
      <c r="F31" s="85"/>
      <c r="G31" s="92"/>
    </row>
    <row r="32" spans="1:7">
      <c r="A32" s="85" t="s">
        <v>143</v>
      </c>
      <c r="B32" s="85">
        <v>51863</v>
      </c>
      <c r="C32" s="85" t="s">
        <v>144</v>
      </c>
      <c r="D32" s="90">
        <v>8500000</v>
      </c>
      <c r="E32" s="95">
        <v>8500000</v>
      </c>
      <c r="F32" s="85"/>
      <c r="G32" s="92"/>
    </row>
    <row r="33" spans="1:7">
      <c r="A33" s="85" t="s">
        <v>145</v>
      </c>
      <c r="B33" s="85">
        <v>51916</v>
      </c>
      <c r="C33" s="85" t="s">
        <v>146</v>
      </c>
      <c r="D33" s="90">
        <v>35023666</v>
      </c>
      <c r="E33" s="95">
        <v>35023666</v>
      </c>
      <c r="F33" s="85"/>
      <c r="G33" s="92"/>
    </row>
    <row r="34" spans="1:7">
      <c r="A34" s="85" t="s">
        <v>147</v>
      </c>
      <c r="B34" s="85">
        <v>51938</v>
      </c>
      <c r="C34" s="85" t="s">
        <v>148</v>
      </c>
      <c r="D34" s="90">
        <v>26277777</v>
      </c>
      <c r="E34" s="95">
        <v>26277777</v>
      </c>
      <c r="F34" s="85"/>
      <c r="G34" s="92"/>
    </row>
    <row r="35" spans="1:7">
      <c r="A35" s="85" t="s">
        <v>149</v>
      </c>
      <c r="B35" s="85">
        <v>51988</v>
      </c>
      <c r="C35" s="85" t="s">
        <v>150</v>
      </c>
      <c r="D35" s="90">
        <v>36000000</v>
      </c>
      <c r="E35" s="95">
        <v>36000000</v>
      </c>
      <c r="F35" s="85"/>
      <c r="G35" s="92"/>
    </row>
    <row r="36" spans="1:7">
      <c r="A36" s="85" t="s">
        <v>151</v>
      </c>
      <c r="B36" s="85">
        <v>52167</v>
      </c>
      <c r="C36" s="85" t="s">
        <v>152</v>
      </c>
      <c r="D36" s="90">
        <v>5285714</v>
      </c>
      <c r="E36" s="95">
        <v>5285714</v>
      </c>
      <c r="F36" s="85"/>
      <c r="G36" s="92"/>
    </row>
    <row r="37" spans="1:7">
      <c r="A37" s="85" t="s">
        <v>153</v>
      </c>
      <c r="B37" s="85">
        <v>52186</v>
      </c>
      <c r="C37" s="85" t="s">
        <v>154</v>
      </c>
      <c r="D37" s="90">
        <v>4900000</v>
      </c>
      <c r="E37" s="95">
        <v>4900000</v>
      </c>
      <c r="F37" s="85"/>
      <c r="G37" s="92"/>
    </row>
    <row r="38" spans="1:7">
      <c r="A38" s="85" t="s">
        <v>155</v>
      </c>
      <c r="B38" s="85">
        <v>52259</v>
      </c>
      <c r="C38" s="85" t="s">
        <v>156</v>
      </c>
      <c r="D38" s="90">
        <v>51500000</v>
      </c>
      <c r="E38" s="95">
        <v>51500000</v>
      </c>
      <c r="F38" s="85"/>
      <c r="G38" s="92"/>
    </row>
    <row r="39" spans="1:7">
      <c r="A39" s="85" t="s">
        <v>157</v>
      </c>
      <c r="B39" s="85">
        <v>52261</v>
      </c>
      <c r="C39" s="85" t="s">
        <v>158</v>
      </c>
      <c r="D39" s="90">
        <v>50000000</v>
      </c>
      <c r="E39" s="95">
        <v>50000000</v>
      </c>
      <c r="F39" s="85"/>
      <c r="G39" s="92"/>
    </row>
    <row r="40" spans="1:7">
      <c r="A40" s="85" t="s">
        <v>159</v>
      </c>
      <c r="B40" s="85">
        <v>52320</v>
      </c>
      <c r="C40" s="85" t="s">
        <v>160</v>
      </c>
      <c r="D40" s="90">
        <v>80000000</v>
      </c>
      <c r="E40" s="95">
        <v>80000000</v>
      </c>
      <c r="F40" s="85"/>
      <c r="G40" s="92"/>
    </row>
    <row r="41" spans="1:7">
      <c r="A41" s="85" t="s">
        <v>161</v>
      </c>
      <c r="B41" s="85">
        <v>5480</v>
      </c>
      <c r="C41" s="85" t="s">
        <v>196</v>
      </c>
      <c r="D41" s="90">
        <v>70000000</v>
      </c>
      <c r="E41" s="95">
        <v>70000000</v>
      </c>
      <c r="F41" s="85"/>
      <c r="G41" s="92"/>
    </row>
    <row r="42" spans="1:7">
      <c r="A42" s="85" t="s">
        <v>162</v>
      </c>
      <c r="B42" s="85">
        <v>92583</v>
      </c>
      <c r="C42" s="85" t="s">
        <v>163</v>
      </c>
      <c r="D42" s="90">
        <v>3000000</v>
      </c>
      <c r="E42" s="95">
        <v>3000000</v>
      </c>
      <c r="F42" s="85"/>
      <c r="G42" s="92"/>
    </row>
    <row r="43" spans="1:7">
      <c r="A43" s="85" t="s">
        <v>164</v>
      </c>
      <c r="B43" s="85">
        <v>52407</v>
      </c>
      <c r="C43" s="85" t="s">
        <v>165</v>
      </c>
      <c r="D43" s="90">
        <v>82000000</v>
      </c>
      <c r="E43" s="95">
        <v>82000000</v>
      </c>
      <c r="F43" s="85"/>
      <c r="G43" s="92"/>
    </row>
    <row r="44" spans="1:7">
      <c r="A44" s="85" t="s">
        <v>166</v>
      </c>
      <c r="B44" s="85">
        <v>52435</v>
      </c>
      <c r="C44" s="85" t="s">
        <v>167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171</v>
      </c>
      <c r="C1" s="83" t="s">
        <v>172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171</v>
      </c>
      <c r="C2" s="83" t="s">
        <v>173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171</v>
      </c>
      <c r="C3" s="83" t="s">
        <v>174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171</v>
      </c>
      <c r="C4" s="83" t="s">
        <v>175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171</v>
      </c>
      <c r="C5" s="83" t="s">
        <v>175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171</v>
      </c>
      <c r="C6" s="83" t="s">
        <v>175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171</v>
      </c>
      <c r="C7" s="83" t="s">
        <v>174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171</v>
      </c>
      <c r="C8" s="83" t="s">
        <v>174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171</v>
      </c>
      <c r="C9" s="83" t="s">
        <v>175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171</v>
      </c>
      <c r="C10" s="83" t="s">
        <v>176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69"/>
  <sheetViews>
    <sheetView topLeftCell="A24" workbookViewId="0">
      <selection activeCell="C45" sqref="C45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26</v>
      </c>
      <c r="B1" t="s">
        <v>98</v>
      </c>
      <c r="C1">
        <v>5327</v>
      </c>
    </row>
    <row r="2" spans="1:7">
      <c r="A2" t="s">
        <v>56</v>
      </c>
      <c r="B2" t="s">
        <v>99</v>
      </c>
      <c r="C2">
        <v>52584</v>
      </c>
      <c r="E2" s="85"/>
      <c r="F2" s="85"/>
      <c r="G2" s="85"/>
    </row>
    <row r="3" spans="1:7">
      <c r="A3" t="s">
        <v>273</v>
      </c>
      <c r="B3" t="s">
        <v>325</v>
      </c>
      <c r="C3">
        <v>46824</v>
      </c>
      <c r="E3" s="85"/>
      <c r="F3" s="85"/>
      <c r="G3" s="85"/>
    </row>
    <row r="4" spans="1:7">
      <c r="A4" t="s">
        <v>270</v>
      </c>
      <c r="B4" t="s">
        <v>326</v>
      </c>
      <c r="C4">
        <v>46825</v>
      </c>
      <c r="E4" s="85"/>
      <c r="F4" s="85"/>
      <c r="G4" s="85"/>
    </row>
    <row r="5" spans="1:7">
      <c r="A5" t="s">
        <v>271</v>
      </c>
      <c r="B5" t="s">
        <v>327</v>
      </c>
      <c r="C5">
        <v>46827</v>
      </c>
      <c r="E5" s="85"/>
      <c r="F5" s="85"/>
      <c r="G5" s="85"/>
    </row>
    <row r="6" spans="1:7" s="85" customFormat="1">
      <c r="A6" s="85" t="s">
        <v>272</v>
      </c>
      <c r="B6" s="85" t="s">
        <v>328</v>
      </c>
      <c r="C6" s="85">
        <v>46828</v>
      </c>
    </row>
    <row r="7" spans="1:7" s="147" customFormat="1">
      <c r="A7" s="147" t="s">
        <v>22</v>
      </c>
      <c r="B7" s="147" t="s">
        <v>101</v>
      </c>
      <c r="C7" s="147">
        <v>2571</v>
      </c>
    </row>
    <row r="8" spans="1:7">
      <c r="A8" t="s">
        <v>373</v>
      </c>
      <c r="B8" t="s">
        <v>101</v>
      </c>
      <c r="C8">
        <v>2571</v>
      </c>
      <c r="E8" s="85"/>
      <c r="F8" s="85"/>
      <c r="G8" s="85"/>
    </row>
    <row r="9" spans="1:7">
      <c r="A9" t="s">
        <v>32</v>
      </c>
      <c r="B9" t="s">
        <v>102</v>
      </c>
      <c r="C9">
        <v>2405</v>
      </c>
      <c r="E9" s="85"/>
      <c r="F9" s="85"/>
      <c r="G9" s="85"/>
    </row>
    <row r="10" spans="1:7">
      <c r="A10" t="s">
        <v>87</v>
      </c>
      <c r="B10" t="s">
        <v>104</v>
      </c>
      <c r="C10">
        <v>38678</v>
      </c>
      <c r="E10" s="85"/>
      <c r="F10" s="85"/>
      <c r="G10" s="85"/>
    </row>
    <row r="11" spans="1:7">
      <c r="A11" t="str">
        <f>+Valuacion!A96</f>
        <v>IMPSA - DMC4O</v>
      </c>
      <c r="B11" t="s">
        <v>106</v>
      </c>
      <c r="C11">
        <v>38679</v>
      </c>
      <c r="E11" s="85"/>
      <c r="F11" s="85"/>
      <c r="G11" s="85"/>
    </row>
    <row r="12" spans="1:7" s="147" customFormat="1">
      <c r="A12" s="147" t="s">
        <v>15</v>
      </c>
      <c r="B12" s="147" t="s">
        <v>108</v>
      </c>
      <c r="C12" s="147">
        <v>5454</v>
      </c>
    </row>
    <row r="13" spans="1:7">
      <c r="A13" t="s">
        <v>372</v>
      </c>
      <c r="B13" t="s">
        <v>108</v>
      </c>
      <c r="C13">
        <v>5454</v>
      </c>
      <c r="E13" s="85"/>
      <c r="F13" s="85"/>
      <c r="G13" s="85"/>
    </row>
    <row r="14" spans="1:7">
      <c r="A14" t="s">
        <v>75</v>
      </c>
      <c r="B14" t="s">
        <v>109</v>
      </c>
      <c r="C14">
        <v>90154</v>
      </c>
      <c r="E14" s="85"/>
      <c r="F14" s="85"/>
      <c r="G14" s="85"/>
    </row>
    <row r="15" spans="1:7">
      <c r="A15" t="s">
        <v>35</v>
      </c>
      <c r="B15" t="s">
        <v>111</v>
      </c>
      <c r="C15">
        <v>5462</v>
      </c>
      <c r="E15" s="85"/>
      <c r="F15" s="85"/>
      <c r="G15" s="85"/>
    </row>
    <row r="16" spans="1:7">
      <c r="A16" s="87" t="s">
        <v>376</v>
      </c>
      <c r="B16" t="s">
        <v>112</v>
      </c>
      <c r="C16">
        <v>50108</v>
      </c>
      <c r="E16" s="85"/>
      <c r="F16" s="85"/>
      <c r="G16" s="85"/>
    </row>
    <row r="17" spans="1:7">
      <c r="A17" t="s">
        <v>85</v>
      </c>
      <c r="B17" t="s">
        <v>114</v>
      </c>
      <c r="C17">
        <v>50879</v>
      </c>
      <c r="E17" s="85"/>
      <c r="F17" s="85"/>
      <c r="G17" s="85"/>
    </row>
    <row r="18" spans="1:7">
      <c r="A18" t="s">
        <v>12</v>
      </c>
      <c r="B18" t="s">
        <v>116</v>
      </c>
      <c r="C18">
        <v>5467</v>
      </c>
      <c r="E18" s="85"/>
      <c r="F18" s="85"/>
      <c r="G18" s="85"/>
    </row>
    <row r="19" spans="1:7">
      <c r="A19" t="s">
        <v>286</v>
      </c>
      <c r="B19" t="s">
        <v>117</v>
      </c>
      <c r="C19">
        <v>51035</v>
      </c>
      <c r="E19" s="85"/>
      <c r="F19" s="85"/>
      <c r="G19" s="85"/>
    </row>
    <row r="20" spans="1:7">
      <c r="A20" t="s">
        <v>287</v>
      </c>
      <c r="B20" t="s">
        <v>119</v>
      </c>
      <c r="C20">
        <v>51097</v>
      </c>
      <c r="E20" s="85"/>
      <c r="F20" s="85"/>
      <c r="G20" s="85"/>
    </row>
    <row r="21" spans="1:7">
      <c r="A21" t="s">
        <v>181</v>
      </c>
      <c r="B21" t="s">
        <v>121</v>
      </c>
      <c r="C21">
        <v>51296</v>
      </c>
      <c r="E21" s="85"/>
      <c r="F21" s="85"/>
      <c r="G21" s="85"/>
    </row>
    <row r="22" spans="1:7">
      <c r="A22" t="s">
        <v>14</v>
      </c>
      <c r="B22" t="s">
        <v>123</v>
      </c>
      <c r="C22">
        <v>5475</v>
      </c>
      <c r="E22" s="85"/>
      <c r="F22" s="85"/>
      <c r="G22" s="85"/>
    </row>
    <row r="23" spans="1:7" s="147" customFormat="1">
      <c r="A23" s="147" t="s">
        <v>17</v>
      </c>
      <c r="B23" s="147" t="s">
        <v>125</v>
      </c>
      <c r="C23" s="147">
        <v>5476</v>
      </c>
    </row>
    <row r="24" spans="1:7">
      <c r="A24" t="s">
        <v>371</v>
      </c>
      <c r="B24" t="s">
        <v>125</v>
      </c>
      <c r="C24">
        <v>5476</v>
      </c>
      <c r="E24" s="85"/>
      <c r="F24" s="85"/>
      <c r="G24" s="85"/>
    </row>
    <row r="25" spans="1:7">
      <c r="A25" t="s">
        <v>180</v>
      </c>
      <c r="B25" t="s">
        <v>127</v>
      </c>
      <c r="C25">
        <v>51350</v>
      </c>
      <c r="E25" s="85"/>
      <c r="F25" s="85"/>
      <c r="G25" s="85"/>
    </row>
    <row r="26" spans="1:7">
      <c r="A26" t="s">
        <v>54</v>
      </c>
      <c r="B26" t="s">
        <v>129</v>
      </c>
      <c r="C26">
        <v>51579</v>
      </c>
      <c r="E26" s="85"/>
      <c r="F26" s="85"/>
      <c r="G26" s="85"/>
    </row>
    <row r="27" spans="1:7">
      <c r="A27" t="s">
        <v>48</v>
      </c>
      <c r="B27" t="s">
        <v>130</v>
      </c>
      <c r="C27">
        <v>51630</v>
      </c>
      <c r="E27" s="85"/>
      <c r="F27" s="85"/>
      <c r="G27" s="85"/>
    </row>
    <row r="28" spans="1:7" s="147" customFormat="1">
      <c r="A28" s="147" t="s">
        <v>29</v>
      </c>
      <c r="B28" s="147" t="s">
        <v>132</v>
      </c>
      <c r="C28" s="147">
        <v>5315</v>
      </c>
    </row>
    <row r="29" spans="1:7">
      <c r="A29" s="147" t="s">
        <v>374</v>
      </c>
      <c r="B29" t="s">
        <v>132</v>
      </c>
      <c r="C29">
        <v>5315</v>
      </c>
      <c r="E29" s="85"/>
      <c r="F29" s="85"/>
      <c r="G29" s="85"/>
    </row>
    <row r="30" spans="1:7">
      <c r="A30" t="s">
        <v>58</v>
      </c>
      <c r="B30" t="s">
        <v>133</v>
      </c>
      <c r="C30">
        <v>51685</v>
      </c>
      <c r="E30" s="85"/>
      <c r="F30" s="85"/>
      <c r="G30" s="85"/>
    </row>
    <row r="31" spans="1:7">
      <c r="A31" t="s">
        <v>50</v>
      </c>
      <c r="B31" t="s">
        <v>135</v>
      </c>
      <c r="C31">
        <v>51730</v>
      </c>
      <c r="E31" s="85"/>
      <c r="F31" s="85"/>
      <c r="G31" s="85"/>
    </row>
    <row r="32" spans="1:7">
      <c r="A32" t="s">
        <v>276</v>
      </c>
      <c r="B32" t="s">
        <v>137</v>
      </c>
      <c r="C32">
        <v>51734</v>
      </c>
      <c r="E32" s="85"/>
      <c r="F32" s="85"/>
      <c r="G32" s="85"/>
    </row>
    <row r="33" spans="1:7">
      <c r="A33" t="s">
        <v>67</v>
      </c>
      <c r="B33" t="s">
        <v>139</v>
      </c>
      <c r="C33">
        <v>51769</v>
      </c>
      <c r="E33" s="85"/>
      <c r="F33" s="85"/>
      <c r="G33" s="85"/>
    </row>
    <row r="34" spans="1:7">
      <c r="A34" t="s">
        <v>61</v>
      </c>
      <c r="B34" t="s">
        <v>141</v>
      </c>
      <c r="C34">
        <v>51856</v>
      </c>
      <c r="E34" s="85"/>
      <c r="F34" s="85"/>
      <c r="G34" s="85"/>
    </row>
    <row r="35" spans="1:7">
      <c r="A35" t="s">
        <v>73</v>
      </c>
      <c r="B35" t="s">
        <v>143</v>
      </c>
      <c r="C35">
        <v>51863</v>
      </c>
      <c r="E35" s="85"/>
      <c r="F35" s="85"/>
      <c r="G35" s="85"/>
    </row>
    <row r="36" spans="1:7">
      <c r="A36" t="s">
        <v>70</v>
      </c>
      <c r="B36" t="s">
        <v>145</v>
      </c>
      <c r="C36">
        <v>51916</v>
      </c>
      <c r="E36" s="85"/>
      <c r="F36" s="85"/>
      <c r="G36" s="85"/>
    </row>
    <row r="37" spans="1:7">
      <c r="A37" t="s">
        <v>283</v>
      </c>
      <c r="B37" t="s">
        <v>147</v>
      </c>
      <c r="C37">
        <v>51938</v>
      </c>
      <c r="E37" s="85"/>
      <c r="F37" s="85"/>
      <c r="G37" s="85"/>
    </row>
    <row r="38" spans="1:7">
      <c r="A38" t="s">
        <v>66</v>
      </c>
      <c r="B38" t="s">
        <v>149</v>
      </c>
      <c r="C38">
        <v>51988</v>
      </c>
      <c r="E38" s="85"/>
      <c r="F38" s="85"/>
      <c r="G38" s="85"/>
    </row>
    <row r="39" spans="1:7">
      <c r="A39" t="s">
        <v>52</v>
      </c>
      <c r="B39" t="s">
        <v>151</v>
      </c>
      <c r="C39">
        <v>52167</v>
      </c>
      <c r="E39" s="85"/>
      <c r="F39" s="85"/>
      <c r="G39" s="85"/>
    </row>
    <row r="40" spans="1:7">
      <c r="A40" t="s">
        <v>64</v>
      </c>
      <c r="B40" t="s">
        <v>153</v>
      </c>
      <c r="C40">
        <v>52186</v>
      </c>
      <c r="E40" s="85"/>
      <c r="F40" s="85"/>
      <c r="G40" s="85"/>
    </row>
    <row r="41" spans="1:7">
      <c r="A41" t="s">
        <v>41</v>
      </c>
      <c r="B41" t="s">
        <v>155</v>
      </c>
      <c r="C41">
        <v>52259</v>
      </c>
      <c r="E41" s="85"/>
      <c r="F41" s="85"/>
      <c r="G41" s="85"/>
    </row>
    <row r="42" spans="1:7">
      <c r="A42" t="s">
        <v>44</v>
      </c>
      <c r="B42" t="s">
        <v>157</v>
      </c>
      <c r="C42">
        <v>52261</v>
      </c>
      <c r="E42" s="85"/>
      <c r="F42" s="85"/>
      <c r="G42" s="85"/>
    </row>
    <row r="43" spans="1:7">
      <c r="A43" t="s">
        <v>40</v>
      </c>
      <c r="B43" t="s">
        <v>159</v>
      </c>
      <c r="C43">
        <v>52320</v>
      </c>
      <c r="E43" s="85"/>
      <c r="F43" s="85"/>
      <c r="G43" s="85"/>
    </row>
    <row r="44" spans="1:7" s="147" customFormat="1">
      <c r="A44" s="147" t="s">
        <v>375</v>
      </c>
      <c r="B44" s="147" t="s">
        <v>377</v>
      </c>
      <c r="C44" s="147" t="s">
        <v>378</v>
      </c>
    </row>
    <row r="45" spans="1:7" s="147" customFormat="1">
      <c r="A45" s="147" t="s">
        <v>20</v>
      </c>
      <c r="B45" s="147" t="s">
        <v>161</v>
      </c>
      <c r="C45" s="147">
        <v>5480</v>
      </c>
    </row>
    <row r="46" spans="1:7">
      <c r="A46" t="s">
        <v>370</v>
      </c>
      <c r="B46" t="s">
        <v>161</v>
      </c>
      <c r="C46">
        <v>5480</v>
      </c>
      <c r="E46" s="85"/>
      <c r="F46" s="85"/>
      <c r="G46" s="85"/>
    </row>
    <row r="47" spans="1:7">
      <c r="A47" t="s">
        <v>37</v>
      </c>
      <c r="B47" t="s">
        <v>162</v>
      </c>
      <c r="C47">
        <v>92583</v>
      </c>
      <c r="E47" s="85"/>
      <c r="F47" s="85"/>
      <c r="G47" s="85"/>
    </row>
    <row r="48" spans="1:7">
      <c r="A48" t="s">
        <v>369</v>
      </c>
      <c r="B48" t="s">
        <v>164</v>
      </c>
      <c r="C48">
        <v>52407</v>
      </c>
      <c r="E48" s="85"/>
      <c r="F48" s="85"/>
      <c r="G48" s="85"/>
    </row>
    <row r="49" spans="1:7">
      <c r="A49" t="s">
        <v>46</v>
      </c>
      <c r="B49" t="s">
        <v>166</v>
      </c>
      <c r="C49">
        <v>52435</v>
      </c>
      <c r="E49" s="85"/>
      <c r="F49" s="85"/>
      <c r="G49" s="85"/>
    </row>
    <row r="50" spans="1:7">
      <c r="A50" t="s">
        <v>95</v>
      </c>
      <c r="B50" t="s">
        <v>170</v>
      </c>
      <c r="C50">
        <v>5458</v>
      </c>
      <c r="E50" s="85"/>
      <c r="F50" s="85"/>
      <c r="G50" s="85"/>
    </row>
    <row r="51" spans="1:7">
      <c r="A51" t="s">
        <v>278</v>
      </c>
      <c r="B51" t="s">
        <v>186</v>
      </c>
      <c r="C51">
        <v>52897</v>
      </c>
    </row>
    <row r="52" spans="1:7">
      <c r="A52" t="s">
        <v>280</v>
      </c>
      <c r="B52" t="s">
        <v>189</v>
      </c>
      <c r="C52">
        <v>53068</v>
      </c>
    </row>
    <row r="53" spans="1:7">
      <c r="A53" s="85" t="s">
        <v>198</v>
      </c>
      <c r="B53" s="85" t="s">
        <v>197</v>
      </c>
      <c r="C53" s="85">
        <v>99924</v>
      </c>
    </row>
    <row r="54" spans="1:7">
      <c r="A54" s="85" t="s">
        <v>200</v>
      </c>
      <c r="B54" s="85" t="s">
        <v>199</v>
      </c>
      <c r="C54" s="85">
        <v>89545</v>
      </c>
    </row>
    <row r="55" spans="1:7">
      <c r="A55" t="s">
        <v>282</v>
      </c>
      <c r="B55" t="s">
        <v>288</v>
      </c>
      <c r="C55">
        <v>11111</v>
      </c>
    </row>
    <row r="56" spans="1:7">
      <c r="A56" t="s">
        <v>275</v>
      </c>
      <c r="B56" t="s">
        <v>293</v>
      </c>
      <c r="C56" s="102">
        <v>11111</v>
      </c>
    </row>
    <row r="57" spans="1:7">
      <c r="A57" t="s">
        <v>281</v>
      </c>
      <c r="B57" t="s">
        <v>297</v>
      </c>
      <c r="C57" s="102">
        <v>11111</v>
      </c>
    </row>
    <row r="58" spans="1:7" s="123" customFormat="1">
      <c r="A58" s="123" t="s">
        <v>301</v>
      </c>
      <c r="B58" s="123" t="s">
        <v>303</v>
      </c>
      <c r="C58" s="123">
        <v>11111</v>
      </c>
    </row>
    <row r="59" spans="1:7">
      <c r="A59" t="s">
        <v>330</v>
      </c>
      <c r="B59" t="s">
        <v>331</v>
      </c>
      <c r="C59" s="123">
        <v>11111</v>
      </c>
    </row>
    <row r="60" spans="1:7">
      <c r="A60" t="s">
        <v>306</v>
      </c>
      <c r="B60" t="s">
        <v>332</v>
      </c>
      <c r="C60" s="123">
        <v>11111</v>
      </c>
    </row>
    <row r="61" spans="1:7">
      <c r="A61" t="s">
        <v>333</v>
      </c>
      <c r="B61" t="s">
        <v>334</v>
      </c>
      <c r="C61" s="123">
        <v>11111</v>
      </c>
    </row>
    <row r="62" spans="1:7">
      <c r="A62" t="s">
        <v>61</v>
      </c>
      <c r="B62" t="s">
        <v>336</v>
      </c>
      <c r="C62" s="123">
        <v>11111</v>
      </c>
    </row>
    <row r="63" spans="1:7" s="123" customFormat="1">
      <c r="A63" s="123" t="s">
        <v>340</v>
      </c>
      <c r="B63" s="123" t="s">
        <v>345</v>
      </c>
      <c r="C63" s="123">
        <v>11111</v>
      </c>
    </row>
    <row r="64" spans="1:7" s="123" customFormat="1">
      <c r="A64" s="123" t="s">
        <v>341</v>
      </c>
      <c r="B64" s="123" t="s">
        <v>346</v>
      </c>
      <c r="C64" s="123">
        <v>11111</v>
      </c>
    </row>
    <row r="65" spans="1:3" s="123" customFormat="1">
      <c r="A65" s="123" t="s">
        <v>342</v>
      </c>
      <c r="B65" s="123" t="s">
        <v>347</v>
      </c>
      <c r="C65" s="123">
        <v>11111</v>
      </c>
    </row>
    <row r="66" spans="1:3">
      <c r="A66" t="s">
        <v>343</v>
      </c>
      <c r="B66" t="s">
        <v>351</v>
      </c>
      <c r="C66" s="123">
        <v>11111</v>
      </c>
    </row>
    <row r="67" spans="1:3">
      <c r="A67" t="s">
        <v>344</v>
      </c>
      <c r="B67" t="s">
        <v>352</v>
      </c>
      <c r="C67" s="123">
        <v>11111</v>
      </c>
    </row>
    <row r="68" spans="1:3" s="123" customFormat="1">
      <c r="A68" s="123" t="s">
        <v>335</v>
      </c>
      <c r="B68" s="123" t="s">
        <v>336</v>
      </c>
      <c r="C68" s="123">
        <v>11111</v>
      </c>
    </row>
    <row r="69" spans="1:3" s="123" customFormat="1">
      <c r="A69" s="123" t="s">
        <v>353</v>
      </c>
      <c r="B69" s="123" t="s">
        <v>354</v>
      </c>
      <c r="C69" s="123">
        <v>11111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58"/>
  <sheetViews>
    <sheetView topLeftCell="C1" zoomScale="90" zoomScaleNormal="90" workbookViewId="0">
      <selection activeCell="G23" sqref="G23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05"/>
      <c r="B2" s="105"/>
      <c r="C2" s="107"/>
      <c r="D2" s="105"/>
      <c r="E2" s="105"/>
      <c r="F2" s="105"/>
      <c r="G2" s="105"/>
      <c r="H2" s="105"/>
      <c r="I2" s="107"/>
      <c r="J2" s="122"/>
      <c r="K2" s="105"/>
      <c r="L2" s="105"/>
    </row>
    <row r="3" spans="1:12">
      <c r="A3" s="105"/>
      <c r="B3" s="105"/>
      <c r="C3" s="108" t="s">
        <v>202</v>
      </c>
      <c r="D3" s="112" t="s">
        <v>203</v>
      </c>
      <c r="E3" s="112" t="s">
        <v>202</v>
      </c>
      <c r="F3" s="105"/>
      <c r="G3" s="112" t="s">
        <v>204</v>
      </c>
      <c r="H3" s="112"/>
      <c r="I3" s="108"/>
      <c r="J3" s="108"/>
      <c r="K3" s="108"/>
      <c r="L3" s="105"/>
    </row>
    <row r="4" spans="1:12" ht="15.75" thickBot="1">
      <c r="A4" s="106" t="s">
        <v>205</v>
      </c>
      <c r="B4" s="106" t="s">
        <v>206</v>
      </c>
      <c r="C4" s="110" t="s">
        <v>207</v>
      </c>
      <c r="D4" s="113"/>
      <c r="E4" s="113"/>
      <c r="F4" s="105"/>
      <c r="G4" s="113" t="s">
        <v>208</v>
      </c>
      <c r="H4" s="113" t="s">
        <v>209</v>
      </c>
      <c r="I4" s="110"/>
      <c r="J4" s="110"/>
      <c r="K4" s="110" t="s">
        <v>257</v>
      </c>
      <c r="L4" s="105"/>
    </row>
    <row r="5" spans="1:12">
      <c r="A5" s="106" t="s">
        <v>210</v>
      </c>
      <c r="B5" s="106" t="s">
        <v>214</v>
      </c>
      <c r="C5" s="106" t="s">
        <v>15</v>
      </c>
      <c r="D5" s="111">
        <v>108</v>
      </c>
      <c r="E5" s="111">
        <v>109.19290454987876</v>
      </c>
      <c r="F5" s="114"/>
      <c r="G5" s="116">
        <v>108</v>
      </c>
      <c r="H5" s="117">
        <v>2.0791526902813828E-2</v>
      </c>
      <c r="I5" s="106" t="s">
        <v>212</v>
      </c>
      <c r="J5" s="106" t="s">
        <v>215</v>
      </c>
      <c r="K5" s="116">
        <v>0.40463196020501291</v>
      </c>
      <c r="L5" s="105"/>
    </row>
    <row r="6" spans="1:12">
      <c r="A6" s="106" t="s">
        <v>210</v>
      </c>
      <c r="B6" s="106" t="s">
        <v>216</v>
      </c>
      <c r="C6" s="106" t="s">
        <v>17</v>
      </c>
      <c r="D6" s="111">
        <v>93.789000000000001</v>
      </c>
      <c r="E6" s="111">
        <v>103.17240625875753</v>
      </c>
      <c r="F6" s="105"/>
      <c r="G6" s="116">
        <v>93.789000000000001</v>
      </c>
      <c r="H6" s="117">
        <v>8.443084834564818E-2</v>
      </c>
      <c r="I6" s="106" t="s">
        <v>212</v>
      </c>
      <c r="J6" s="106" t="s">
        <v>215</v>
      </c>
      <c r="K6" s="116">
        <v>1.0349799588057953</v>
      </c>
      <c r="L6" s="106"/>
    </row>
    <row r="7" spans="1:12">
      <c r="A7" s="106" t="s">
        <v>210</v>
      </c>
      <c r="B7" s="106" t="s">
        <v>217</v>
      </c>
      <c r="C7" s="106" t="s">
        <v>20</v>
      </c>
      <c r="D7" s="111">
        <v>94.5</v>
      </c>
      <c r="E7" s="111">
        <v>103.38734077897968</v>
      </c>
      <c r="F7" s="105"/>
      <c r="G7" s="116">
        <v>94.5</v>
      </c>
      <c r="H7" s="117">
        <v>7.5491957337918691E-2</v>
      </c>
      <c r="I7" s="106" t="s">
        <v>212</v>
      </c>
      <c r="J7" s="106" t="s">
        <v>215</v>
      </c>
      <c r="K7" s="116">
        <v>1.7139892769792007</v>
      </c>
      <c r="L7" s="106"/>
    </row>
    <row r="8" spans="1:12">
      <c r="A8" s="106" t="s">
        <v>218</v>
      </c>
      <c r="B8" s="106" t="s">
        <v>219</v>
      </c>
      <c r="C8" s="106" t="s">
        <v>22</v>
      </c>
      <c r="D8" s="111">
        <v>150.75</v>
      </c>
      <c r="E8" s="111">
        <v>175.74585919547201</v>
      </c>
      <c r="F8" s="114"/>
      <c r="G8" s="116">
        <v>150.75</v>
      </c>
      <c r="H8" s="117">
        <v>0.14217421660951146</v>
      </c>
      <c r="I8" s="106" t="s">
        <v>212</v>
      </c>
      <c r="J8" s="106" t="s">
        <v>215</v>
      </c>
      <c r="K8" s="116">
        <v>1.3610585047658439</v>
      </c>
      <c r="L8" s="106"/>
    </row>
    <row r="9" spans="1:12">
      <c r="A9" s="106" t="s">
        <v>210</v>
      </c>
      <c r="B9" s="106" t="s">
        <v>220</v>
      </c>
      <c r="C9" s="106" t="s">
        <v>26</v>
      </c>
      <c r="D9" s="111">
        <v>115.5</v>
      </c>
      <c r="E9" s="111">
        <v>0</v>
      </c>
      <c r="F9" s="105"/>
      <c r="G9" s="116">
        <v>115.5</v>
      </c>
      <c r="H9" s="117">
        <v>0.53197874449158888</v>
      </c>
      <c r="I9" s="106"/>
      <c r="J9" s="106" t="s">
        <v>215</v>
      </c>
      <c r="K9" s="116">
        <v>0.97641184350089261</v>
      </c>
      <c r="L9" s="106"/>
    </row>
    <row r="10" spans="1:12">
      <c r="A10" s="106" t="s">
        <v>222</v>
      </c>
      <c r="B10" s="106" t="s">
        <v>355</v>
      </c>
      <c r="C10" s="106" t="s">
        <v>341</v>
      </c>
      <c r="D10" s="111">
        <v>117.5</v>
      </c>
      <c r="E10" s="111">
        <v>117.49999989717637</v>
      </c>
      <c r="F10" s="105"/>
      <c r="G10" s="116">
        <v>117.5</v>
      </c>
      <c r="H10" s="117">
        <v>0.12169905304908757</v>
      </c>
      <c r="I10" s="105" t="s">
        <v>221</v>
      </c>
      <c r="J10" s="106" t="s">
        <v>215</v>
      </c>
      <c r="K10" s="116">
        <v>0.42119649016679944</v>
      </c>
      <c r="L10" s="106"/>
    </row>
    <row r="11" spans="1:12">
      <c r="A11" s="106" t="s">
        <v>222</v>
      </c>
      <c r="B11" s="106" t="s">
        <v>302</v>
      </c>
      <c r="C11" s="106" t="s">
        <v>301</v>
      </c>
      <c r="D11" s="111">
        <v>105</v>
      </c>
      <c r="E11" s="111">
        <v>105.00000029626051</v>
      </c>
      <c r="F11" s="105"/>
      <c r="G11" s="116">
        <v>105</v>
      </c>
      <c r="H11" s="117">
        <v>0.12761753201484671</v>
      </c>
      <c r="I11" s="106" t="s">
        <v>221</v>
      </c>
      <c r="J11" s="106" t="s">
        <v>215</v>
      </c>
      <c r="K11" s="116">
        <v>1.2407948450963548</v>
      </c>
      <c r="L11" s="106"/>
    </row>
    <row r="12" spans="1:12">
      <c r="A12" s="106" t="s">
        <v>222</v>
      </c>
      <c r="B12" s="106" t="s">
        <v>223</v>
      </c>
      <c r="C12" s="106" t="s">
        <v>29</v>
      </c>
      <c r="D12" s="111">
        <v>138</v>
      </c>
      <c r="E12" s="111">
        <v>160.68235500351133</v>
      </c>
      <c r="F12" s="114"/>
      <c r="G12" s="116">
        <v>138</v>
      </c>
      <c r="H12" s="117">
        <v>9.2189300513543238E-2</v>
      </c>
      <c r="I12" s="106" t="s">
        <v>221</v>
      </c>
      <c r="J12" s="106" t="s">
        <v>215</v>
      </c>
      <c r="K12" s="116">
        <v>2.662753879662386</v>
      </c>
      <c r="L12" s="106"/>
    </row>
    <row r="13" spans="1:12">
      <c r="A13" s="106" t="s">
        <v>210</v>
      </c>
      <c r="B13" s="106" t="s">
        <v>356</v>
      </c>
      <c r="C13" s="107" t="s">
        <v>340</v>
      </c>
      <c r="D13" s="118">
        <v>2941</v>
      </c>
      <c r="E13" s="118">
        <v>4080.3149405487447</v>
      </c>
      <c r="F13" s="119"/>
      <c r="G13" s="120">
        <v>2941</v>
      </c>
      <c r="H13" s="121">
        <v>0.18234572666068072</v>
      </c>
      <c r="I13" s="107" t="s">
        <v>221</v>
      </c>
      <c r="J13" s="107" t="s">
        <v>215</v>
      </c>
      <c r="K13" s="120">
        <v>2.2527074912839242</v>
      </c>
      <c r="L13" s="106"/>
    </row>
    <row r="14" spans="1:12">
      <c r="A14" s="106" t="s">
        <v>210</v>
      </c>
      <c r="B14" s="106" t="s">
        <v>225</v>
      </c>
      <c r="C14" s="106" t="s">
        <v>37</v>
      </c>
      <c r="D14" s="111">
        <v>3200</v>
      </c>
      <c r="E14" s="111">
        <v>3763.2849716341257</v>
      </c>
      <c r="F14" s="114"/>
      <c r="G14" s="116">
        <v>3200</v>
      </c>
      <c r="H14" s="117">
        <v>0.10650141203149577</v>
      </c>
      <c r="I14" s="106" t="s">
        <v>224</v>
      </c>
      <c r="J14" s="106" t="s">
        <v>215</v>
      </c>
      <c r="K14" s="116">
        <v>2.9333233746423444</v>
      </c>
      <c r="L14" s="106"/>
    </row>
    <row r="15" spans="1:12">
      <c r="A15" s="106" t="s">
        <v>210</v>
      </c>
      <c r="B15" s="106" t="s">
        <v>214</v>
      </c>
      <c r="C15" s="106" t="s">
        <v>372</v>
      </c>
      <c r="D15" s="111">
        <v>104.9</v>
      </c>
      <c r="E15" s="111">
        <v>105.34336434870472</v>
      </c>
      <c r="F15" s="114"/>
      <c r="G15" s="116">
        <v>104.9</v>
      </c>
      <c r="H15" s="117">
        <v>9.1621186002386779E-2</v>
      </c>
      <c r="I15" s="106" t="s">
        <v>212</v>
      </c>
      <c r="J15" s="106" t="s">
        <v>380</v>
      </c>
      <c r="K15" s="116">
        <v>0.40463196020501291</v>
      </c>
      <c r="L15" s="106"/>
    </row>
    <row r="16" spans="1:12">
      <c r="A16" s="106" t="s">
        <v>210</v>
      </c>
      <c r="B16" s="106" t="s">
        <v>216</v>
      </c>
      <c r="C16" s="106" t="s">
        <v>371</v>
      </c>
      <c r="D16" s="111">
        <v>101.84</v>
      </c>
      <c r="E16" s="111">
        <v>102.89280762160618</v>
      </c>
      <c r="F16" s="114"/>
      <c r="G16" s="116">
        <v>101.84</v>
      </c>
      <c r="H16" s="117">
        <v>8.5059991805946922E-3</v>
      </c>
      <c r="I16" s="106" t="s">
        <v>212</v>
      </c>
      <c r="J16" s="106" t="s">
        <v>380</v>
      </c>
      <c r="K16" s="116">
        <v>1.0349799588057953</v>
      </c>
      <c r="L16" s="106"/>
    </row>
    <row r="17" spans="1:12">
      <c r="A17" s="106" t="s">
        <v>210</v>
      </c>
      <c r="B17" s="106" t="s">
        <v>217</v>
      </c>
      <c r="C17" s="106" t="s">
        <v>370</v>
      </c>
      <c r="D17" s="111">
        <v>108.22</v>
      </c>
      <c r="E17" s="111">
        <v>110.08993542509276</v>
      </c>
      <c r="F17" s="109"/>
      <c r="G17" s="116">
        <v>108.22</v>
      </c>
      <c r="H17" s="117">
        <v>-6.2128217386181461E-4</v>
      </c>
      <c r="I17" s="106" t="s">
        <v>212</v>
      </c>
      <c r="J17" s="106" t="s">
        <v>380</v>
      </c>
      <c r="K17" s="116">
        <v>1.7139892769792007</v>
      </c>
      <c r="L17" s="106"/>
    </row>
    <row r="18" spans="1:12">
      <c r="A18" s="106" t="s">
        <v>218</v>
      </c>
      <c r="B18" s="106" t="s">
        <v>219</v>
      </c>
      <c r="C18" s="106" t="s">
        <v>373</v>
      </c>
      <c r="D18" s="111">
        <v>150.75</v>
      </c>
      <c r="E18" s="111">
        <v>152.01065113784816</v>
      </c>
      <c r="F18" s="114"/>
      <c r="G18" s="116">
        <v>150.75</v>
      </c>
      <c r="H18" s="117">
        <v>0.14217421660951146</v>
      </c>
      <c r="I18" s="106" t="s">
        <v>212</v>
      </c>
      <c r="J18" s="106" t="s">
        <v>380</v>
      </c>
      <c r="K18" s="116">
        <v>1.3610585047658439</v>
      </c>
      <c r="L18" s="106"/>
    </row>
    <row r="19" spans="1:12">
      <c r="A19" s="106" t="s">
        <v>222</v>
      </c>
      <c r="B19" s="106" t="s">
        <v>223</v>
      </c>
      <c r="C19" s="106" t="s">
        <v>374</v>
      </c>
      <c r="D19" s="111">
        <v>0</v>
      </c>
      <c r="E19" s="111">
        <v>160.81451993723928</v>
      </c>
      <c r="F19" s="114" t="s">
        <v>211</v>
      </c>
      <c r="G19" s="116">
        <v>160.81451993723928</v>
      </c>
      <c r="H19" s="117">
        <v>3.5499999999999997E-2</v>
      </c>
      <c r="I19" s="106" t="s">
        <v>221</v>
      </c>
      <c r="J19" s="106" t="s">
        <v>380</v>
      </c>
      <c r="K19" s="116">
        <v>2.662753879662386</v>
      </c>
      <c r="L19" s="106"/>
    </row>
    <row r="20" spans="1:12">
      <c r="A20" s="106" t="s">
        <v>226</v>
      </c>
      <c r="B20" s="106" t="s">
        <v>227</v>
      </c>
      <c r="C20" s="106" t="s">
        <v>41</v>
      </c>
      <c r="D20" s="111">
        <v>93</v>
      </c>
      <c r="E20" s="111">
        <v>89.444354831181954</v>
      </c>
      <c r="F20" s="114" t="s">
        <v>211</v>
      </c>
      <c r="G20" s="116">
        <v>89.444354831181954</v>
      </c>
      <c r="H20" s="117">
        <v>0.15571408972910283</v>
      </c>
      <c r="I20" s="106" t="s">
        <v>212</v>
      </c>
      <c r="J20" s="106" t="s">
        <v>213</v>
      </c>
      <c r="K20" s="116">
        <v>1.03953372026743</v>
      </c>
      <c r="L20" s="106"/>
    </row>
    <row r="21" spans="1:12">
      <c r="A21" s="106" t="s">
        <v>226</v>
      </c>
      <c r="B21" s="106" t="s">
        <v>295</v>
      </c>
      <c r="C21" s="106" t="s">
        <v>275</v>
      </c>
      <c r="D21" s="111">
        <v>88.4</v>
      </c>
      <c r="E21" s="111">
        <v>89.17001694867173</v>
      </c>
      <c r="F21" s="114" t="s">
        <v>211</v>
      </c>
      <c r="G21" s="116">
        <v>89.17001694867173</v>
      </c>
      <c r="H21" s="117">
        <v>0.17137989585336089</v>
      </c>
      <c r="I21" s="106" t="s">
        <v>212</v>
      </c>
      <c r="J21" s="106" t="s">
        <v>213</v>
      </c>
      <c r="K21" s="116">
        <v>1.0193595864434664</v>
      </c>
      <c r="L21" s="106"/>
    </row>
    <row r="22" spans="1:12">
      <c r="A22" s="106" t="s">
        <v>226</v>
      </c>
      <c r="B22" s="106" t="s">
        <v>228</v>
      </c>
      <c r="C22" s="106" t="s">
        <v>44</v>
      </c>
      <c r="D22" s="111">
        <v>94.8</v>
      </c>
      <c r="E22" s="111">
        <v>88.100554239557681</v>
      </c>
      <c r="F22" s="114" t="s">
        <v>211</v>
      </c>
      <c r="G22" s="116">
        <v>88.100554239557681</v>
      </c>
      <c r="H22" s="117">
        <v>0.16334124076099443</v>
      </c>
      <c r="I22" s="106" t="s">
        <v>212</v>
      </c>
      <c r="J22" s="106" t="s">
        <v>213</v>
      </c>
      <c r="K22" s="116">
        <v>1.048644744363739</v>
      </c>
      <c r="L22" s="106"/>
    </row>
    <row r="23" spans="1:12">
      <c r="A23" s="106" t="s">
        <v>226</v>
      </c>
      <c r="B23" s="106" t="s">
        <v>230</v>
      </c>
      <c r="C23" s="106" t="s">
        <v>40</v>
      </c>
      <c r="D23" s="111">
        <v>97.5</v>
      </c>
      <c r="E23" s="111">
        <v>104.16588382170328</v>
      </c>
      <c r="F23" s="114" t="s">
        <v>211</v>
      </c>
      <c r="G23" s="116">
        <v>104.16588382170328</v>
      </c>
      <c r="H23" s="117">
        <v>4.6735109168676403E-2</v>
      </c>
      <c r="I23" s="106" t="s">
        <v>212</v>
      </c>
      <c r="J23" s="106" t="s">
        <v>213</v>
      </c>
      <c r="K23" s="116">
        <v>1.0261071307002267</v>
      </c>
      <c r="L23" s="106"/>
    </row>
    <row r="24" spans="1:12">
      <c r="A24" s="106" t="s">
        <v>226</v>
      </c>
      <c r="B24" s="106" t="s">
        <v>230</v>
      </c>
      <c r="C24" s="106" t="s">
        <v>375</v>
      </c>
      <c r="D24" s="111">
        <v>83.8</v>
      </c>
      <c r="E24" s="111">
        <v>86.182928486414482</v>
      </c>
      <c r="F24" s="114" t="s">
        <v>211</v>
      </c>
      <c r="G24" s="116">
        <v>86.182928486414482</v>
      </c>
      <c r="H24" s="117">
        <v>0.14600150787159671</v>
      </c>
      <c r="I24" s="106" t="s">
        <v>212</v>
      </c>
      <c r="J24" s="106" t="s">
        <v>213</v>
      </c>
      <c r="K24" s="116">
        <v>1.7290914999031723</v>
      </c>
      <c r="L24" s="106"/>
    </row>
    <row r="25" spans="1:12">
      <c r="A25" s="106" t="s">
        <v>226</v>
      </c>
      <c r="B25" s="106" t="s">
        <v>231</v>
      </c>
      <c r="C25" s="106" t="s">
        <v>48</v>
      </c>
      <c r="D25" s="111">
        <v>100.04</v>
      </c>
      <c r="E25" s="111">
        <v>105.30969114524648</v>
      </c>
      <c r="F25" s="115" t="s">
        <v>211</v>
      </c>
      <c r="G25" s="116">
        <v>105.30969114524648</v>
      </c>
      <c r="H25" s="117">
        <v>3.6095803978669599E-2</v>
      </c>
      <c r="I25" s="106" t="s">
        <v>212</v>
      </c>
      <c r="J25" s="106" t="s">
        <v>213</v>
      </c>
      <c r="K25" s="116">
        <v>0.64298965922134643</v>
      </c>
      <c r="L25" s="106"/>
    </row>
    <row r="26" spans="1:12">
      <c r="A26" s="106" t="s">
        <v>226</v>
      </c>
      <c r="B26" s="106" t="s">
        <v>232</v>
      </c>
      <c r="C26" s="106" t="s">
        <v>50</v>
      </c>
      <c r="D26" s="111">
        <v>94.8</v>
      </c>
      <c r="E26" s="111">
        <v>93.44205875118989</v>
      </c>
      <c r="F26" s="114" t="s">
        <v>211</v>
      </c>
      <c r="G26" s="116">
        <v>93.44205875118989</v>
      </c>
      <c r="H26" s="117">
        <v>0.16636184439711782</v>
      </c>
      <c r="I26" s="106" t="s">
        <v>212</v>
      </c>
      <c r="J26" s="106" t="s">
        <v>213</v>
      </c>
      <c r="K26" s="116">
        <v>0.72850250034001029</v>
      </c>
      <c r="L26" s="106"/>
    </row>
    <row r="27" spans="1:12">
      <c r="A27" s="106" t="s">
        <v>226</v>
      </c>
      <c r="B27" s="106" t="s">
        <v>233</v>
      </c>
      <c r="C27" s="106" t="s">
        <v>276</v>
      </c>
      <c r="D27" s="111">
        <v>103.4</v>
      </c>
      <c r="E27" s="111">
        <v>0</v>
      </c>
      <c r="F27" s="114" t="s">
        <v>211</v>
      </c>
      <c r="G27" s="116">
        <v>0</v>
      </c>
      <c r="H27" s="117">
        <v>2.9267695519006903E-2</v>
      </c>
      <c r="I27" s="106" t="s">
        <v>212</v>
      </c>
      <c r="J27" s="106" t="s">
        <v>213</v>
      </c>
      <c r="K27" s="116" t="e">
        <v>#NUM!</v>
      </c>
      <c r="L27" s="106"/>
    </row>
    <row r="28" spans="1:12">
      <c r="A28" s="106" t="s">
        <v>226</v>
      </c>
      <c r="B28" s="106" t="s">
        <v>234</v>
      </c>
      <c r="C28" s="106" t="s">
        <v>52</v>
      </c>
      <c r="D28" s="111">
        <v>0</v>
      </c>
      <c r="E28" s="111">
        <v>104.44018229064525</v>
      </c>
      <c r="F28" s="114" t="s">
        <v>211</v>
      </c>
      <c r="G28" s="116">
        <v>104.44018229064525</v>
      </c>
      <c r="H28" s="117">
        <v>3.44E-2</v>
      </c>
      <c r="I28" s="106" t="s">
        <v>212</v>
      </c>
      <c r="J28" s="106" t="s">
        <v>229</v>
      </c>
      <c r="K28" s="116">
        <v>0.3210758636232382</v>
      </c>
      <c r="L28" s="106"/>
    </row>
    <row r="29" spans="1:12">
      <c r="A29" s="106" t="s">
        <v>226</v>
      </c>
      <c r="B29" s="106" t="s">
        <v>235</v>
      </c>
      <c r="C29" s="106" t="s">
        <v>54</v>
      </c>
      <c r="D29" s="111">
        <v>91.64</v>
      </c>
      <c r="E29" s="111">
        <v>98.588407484202349</v>
      </c>
      <c r="F29" s="114" t="s">
        <v>211</v>
      </c>
      <c r="G29" s="116">
        <v>98.588407484202349</v>
      </c>
      <c r="H29" s="117">
        <v>0.19920212087205841</v>
      </c>
      <c r="I29" s="106" t="s">
        <v>212</v>
      </c>
      <c r="J29" s="106" t="s">
        <v>213</v>
      </c>
      <c r="K29" s="116">
        <v>0.56719922869002426</v>
      </c>
      <c r="L29" s="106"/>
    </row>
    <row r="30" spans="1:12">
      <c r="A30" s="106" t="s">
        <v>226</v>
      </c>
      <c r="B30" s="106" t="s">
        <v>236</v>
      </c>
      <c r="C30" s="106" t="s">
        <v>56</v>
      </c>
      <c r="D30" s="111">
        <v>0</v>
      </c>
      <c r="E30" s="111">
        <v>107.14562017648508</v>
      </c>
      <c r="F30" s="114" t="s">
        <v>211</v>
      </c>
      <c r="G30" s="116">
        <v>107.14562017648508</v>
      </c>
      <c r="H30" s="117">
        <v>3.9699999999999999E-2</v>
      </c>
      <c r="I30" s="106" t="s">
        <v>212</v>
      </c>
      <c r="J30" s="106" t="s">
        <v>229</v>
      </c>
      <c r="K30" s="116">
        <v>1.1167540291020452</v>
      </c>
      <c r="L30" s="106"/>
    </row>
    <row r="31" spans="1:12">
      <c r="A31" s="106" t="s">
        <v>226</v>
      </c>
      <c r="B31" s="106" t="s">
        <v>237</v>
      </c>
      <c r="C31" s="106" t="s">
        <v>278</v>
      </c>
      <c r="D31" s="111">
        <v>0</v>
      </c>
      <c r="E31" s="111">
        <v>106.37250863549559</v>
      </c>
      <c r="F31" s="114" t="s">
        <v>211</v>
      </c>
      <c r="G31" s="116">
        <v>106.37250863549559</v>
      </c>
      <c r="H31" s="117">
        <v>4.1700000000000001E-2</v>
      </c>
      <c r="I31" s="106" t="s">
        <v>212</v>
      </c>
      <c r="J31" s="106" t="s">
        <v>229</v>
      </c>
      <c r="K31" s="116">
        <v>1.235821904553756</v>
      </c>
      <c r="L31" s="106"/>
    </row>
    <row r="32" spans="1:12">
      <c r="A32" s="106" t="s">
        <v>226</v>
      </c>
      <c r="B32" s="106" t="s">
        <v>238</v>
      </c>
      <c r="C32" s="106" t="s">
        <v>58</v>
      </c>
      <c r="D32" s="111">
        <v>88.75</v>
      </c>
      <c r="E32" s="111">
        <v>89.956998812885743</v>
      </c>
      <c r="F32" s="115" t="s">
        <v>211</v>
      </c>
      <c r="G32" s="116">
        <v>89.956998812885743</v>
      </c>
      <c r="H32" s="117">
        <v>0.16362747733996913</v>
      </c>
      <c r="I32" s="106" t="s">
        <v>212</v>
      </c>
      <c r="J32" s="106" t="s">
        <v>213</v>
      </c>
      <c r="K32" s="116">
        <v>1.2184965807939472</v>
      </c>
      <c r="L32" s="106"/>
    </row>
    <row r="33" spans="1:12">
      <c r="A33" s="106" t="s">
        <v>226</v>
      </c>
      <c r="B33" s="106" t="s">
        <v>239</v>
      </c>
      <c r="C33" s="106" t="s">
        <v>61</v>
      </c>
      <c r="D33" s="111">
        <v>90.77</v>
      </c>
      <c r="E33" s="111">
        <v>93.039510049041652</v>
      </c>
      <c r="F33" s="114" t="s">
        <v>211</v>
      </c>
      <c r="G33" s="116">
        <v>93.039510049041652</v>
      </c>
      <c r="H33" s="117">
        <v>0.15643694276371956</v>
      </c>
      <c r="I33" s="106" t="s">
        <v>212</v>
      </c>
      <c r="J33" s="106" t="s">
        <v>213</v>
      </c>
      <c r="K33" s="116">
        <v>1.2101932588927984</v>
      </c>
      <c r="L33" s="106"/>
    </row>
    <row r="34" spans="1:12">
      <c r="A34" s="106" t="s">
        <v>226</v>
      </c>
      <c r="B34" s="106" t="s">
        <v>240</v>
      </c>
      <c r="C34" s="106" t="s">
        <v>363</v>
      </c>
      <c r="D34" s="111">
        <v>97.5</v>
      </c>
      <c r="E34" s="111">
        <v>95.052995193350256</v>
      </c>
      <c r="F34" s="114" t="s">
        <v>211</v>
      </c>
      <c r="G34" s="116">
        <v>95.052995193350256</v>
      </c>
      <c r="H34" s="117">
        <v>0.17328492599898465</v>
      </c>
      <c r="I34" s="106" t="s">
        <v>212</v>
      </c>
      <c r="J34" s="106" t="s">
        <v>213</v>
      </c>
      <c r="K34" s="116">
        <v>0.69417599757452553</v>
      </c>
      <c r="L34" s="106"/>
    </row>
    <row r="35" spans="1:12">
      <c r="A35" s="106" t="s">
        <v>226</v>
      </c>
      <c r="B35" s="106" t="s">
        <v>241</v>
      </c>
      <c r="C35" s="106" t="s">
        <v>64</v>
      </c>
      <c r="D35" s="111">
        <v>97.01</v>
      </c>
      <c r="E35" s="111">
        <v>101.1633314087898</v>
      </c>
      <c r="F35" s="115" t="s">
        <v>211</v>
      </c>
      <c r="G35" s="116">
        <v>101.1633314087898</v>
      </c>
      <c r="H35" s="117">
        <v>0.13552236016536101</v>
      </c>
      <c r="I35" s="106" t="s">
        <v>212</v>
      </c>
      <c r="J35" s="106" t="s">
        <v>213</v>
      </c>
      <c r="K35" s="116">
        <v>0.23382470881483766</v>
      </c>
      <c r="L35" s="106"/>
    </row>
    <row r="36" spans="1:12">
      <c r="A36" s="106" t="s">
        <v>226</v>
      </c>
      <c r="B36" s="106" t="s">
        <v>242</v>
      </c>
      <c r="C36" s="106" t="s">
        <v>67</v>
      </c>
      <c r="D36" s="111">
        <v>0</v>
      </c>
      <c r="E36" s="111">
        <v>101.62912778290033</v>
      </c>
      <c r="F36" s="114" t="s">
        <v>211</v>
      </c>
      <c r="G36" s="116">
        <v>101.62912778290033</v>
      </c>
      <c r="H36" s="117">
        <v>3.2399999999999998E-2</v>
      </c>
      <c r="I36" s="106" t="s">
        <v>212</v>
      </c>
      <c r="J36" s="106" t="s">
        <v>229</v>
      </c>
      <c r="K36" s="116">
        <v>0.56960922494611677</v>
      </c>
      <c r="L36" s="106"/>
    </row>
    <row r="37" spans="1:12">
      <c r="A37" s="106" t="s">
        <v>226</v>
      </c>
      <c r="B37" s="106" t="s">
        <v>243</v>
      </c>
      <c r="C37" s="106" t="s">
        <v>369</v>
      </c>
      <c r="D37" s="111">
        <v>83.45</v>
      </c>
      <c r="E37" s="111">
        <v>86.22827055553671</v>
      </c>
      <c r="F37" s="114" t="s">
        <v>211</v>
      </c>
      <c r="G37" s="116">
        <v>86.22827055553671</v>
      </c>
      <c r="H37" s="117">
        <v>0.15247398300616349</v>
      </c>
      <c r="I37" s="106" t="s">
        <v>212</v>
      </c>
      <c r="J37" s="106" t="s">
        <v>213</v>
      </c>
      <c r="K37" s="116">
        <v>1.5076587462217828</v>
      </c>
      <c r="L37" s="106"/>
    </row>
    <row r="38" spans="1:12">
      <c r="A38" s="106" t="s">
        <v>226</v>
      </c>
      <c r="B38" s="106" t="s">
        <v>244</v>
      </c>
      <c r="C38" s="106" t="s">
        <v>70</v>
      </c>
      <c r="D38" s="111">
        <v>86.11</v>
      </c>
      <c r="E38" s="111">
        <v>89.813755771974328</v>
      </c>
      <c r="F38" s="114" t="s">
        <v>211</v>
      </c>
      <c r="G38" s="116">
        <v>89.813755771974328</v>
      </c>
      <c r="H38" s="117">
        <v>0.1581247491952506</v>
      </c>
      <c r="I38" s="106" t="s">
        <v>212</v>
      </c>
      <c r="J38" s="106" t="s">
        <v>213</v>
      </c>
      <c r="K38" s="116">
        <v>1.3147950570722984</v>
      </c>
      <c r="L38" s="106"/>
    </row>
    <row r="39" spans="1:12">
      <c r="A39" s="106" t="s">
        <v>226</v>
      </c>
      <c r="B39" s="106" t="s">
        <v>245</v>
      </c>
      <c r="C39" s="106" t="s">
        <v>66</v>
      </c>
      <c r="D39" s="111">
        <v>100.3</v>
      </c>
      <c r="E39" s="111">
        <v>105.33947574130687</v>
      </c>
      <c r="F39" s="114" t="s">
        <v>211</v>
      </c>
      <c r="G39" s="116">
        <v>105.33947574130687</v>
      </c>
      <c r="H39" s="117">
        <v>7.3966571240585754E-2</v>
      </c>
      <c r="I39" s="106" t="s">
        <v>212</v>
      </c>
      <c r="J39" s="106" t="s">
        <v>213</v>
      </c>
      <c r="K39" s="116">
        <v>2.3132419984071742E-2</v>
      </c>
      <c r="L39" s="106"/>
    </row>
    <row r="40" spans="1:12">
      <c r="A40" s="106" t="s">
        <v>226</v>
      </c>
      <c r="B40" s="106" t="s">
        <v>246</v>
      </c>
      <c r="C40" s="106" t="s">
        <v>73</v>
      </c>
      <c r="D40" s="111">
        <v>100.4</v>
      </c>
      <c r="E40" s="111">
        <v>35.626617438817583</v>
      </c>
      <c r="F40" s="115" t="s">
        <v>211</v>
      </c>
      <c r="G40" s="116">
        <v>35.626617438817583</v>
      </c>
      <c r="H40" s="117">
        <v>3.6517997107349681E-2</v>
      </c>
      <c r="I40" s="106" t="s">
        <v>212</v>
      </c>
      <c r="J40" s="106" t="s">
        <v>213</v>
      </c>
      <c r="K40" s="116">
        <v>3.0987965708952525</v>
      </c>
      <c r="L40" s="105"/>
    </row>
    <row r="41" spans="1:12">
      <c r="A41" s="106" t="s">
        <v>247</v>
      </c>
      <c r="B41" s="106" t="s">
        <v>248</v>
      </c>
      <c r="C41" s="106" t="s">
        <v>46</v>
      </c>
      <c r="D41" s="111">
        <v>2117</v>
      </c>
      <c r="E41" s="111">
        <v>2378.0441307316723</v>
      </c>
      <c r="F41" s="115" t="s">
        <v>211</v>
      </c>
      <c r="G41" s="116">
        <v>2378.0441307316723</v>
      </c>
      <c r="H41" s="117">
        <v>7.9107328944986399E-2</v>
      </c>
      <c r="I41" s="106" t="s">
        <v>221</v>
      </c>
      <c r="J41" s="106" t="s">
        <v>213</v>
      </c>
      <c r="K41" s="116">
        <v>1.5812721791868323</v>
      </c>
      <c r="L41" s="105"/>
    </row>
    <row r="42" spans="1:12">
      <c r="A42" s="106" t="s">
        <v>226</v>
      </c>
      <c r="B42" s="106" t="s">
        <v>249</v>
      </c>
      <c r="C42" s="106" t="s">
        <v>376</v>
      </c>
      <c r="D42" s="111">
        <v>87.6</v>
      </c>
      <c r="E42" s="111">
        <v>88.310707111778697</v>
      </c>
      <c r="F42" s="115" t="s">
        <v>211</v>
      </c>
      <c r="G42" s="116">
        <v>88.310707111778697</v>
      </c>
      <c r="H42" s="117">
        <v>0.16822132537264933</v>
      </c>
      <c r="I42" s="106" t="s">
        <v>212</v>
      </c>
      <c r="J42" s="106" t="s">
        <v>213</v>
      </c>
      <c r="K42" s="116">
        <v>1.0976774948899419</v>
      </c>
      <c r="L42" s="105"/>
    </row>
    <row r="43" spans="1:12">
      <c r="A43" s="106" t="s">
        <v>226</v>
      </c>
      <c r="B43" s="106" t="s">
        <v>250</v>
      </c>
      <c r="C43" s="106" t="s">
        <v>286</v>
      </c>
      <c r="D43" s="111">
        <v>80.849999999999994</v>
      </c>
      <c r="E43" s="111">
        <v>81.917538709944708</v>
      </c>
      <c r="F43" s="114" t="s">
        <v>211</v>
      </c>
      <c r="G43" s="116">
        <v>81.917538709944708</v>
      </c>
      <c r="H43" s="117">
        <v>0.15490060636406638</v>
      </c>
      <c r="I43" s="106" t="s">
        <v>212</v>
      </c>
      <c r="J43" s="106" t="s">
        <v>213</v>
      </c>
      <c r="K43" s="116">
        <v>1.427509270407449</v>
      </c>
      <c r="L43" s="106"/>
    </row>
    <row r="44" spans="1:12">
      <c r="A44" s="105" t="s">
        <v>226</v>
      </c>
      <c r="B44" s="105" t="s">
        <v>251</v>
      </c>
      <c r="C44" s="129" t="s">
        <v>287</v>
      </c>
      <c r="D44" s="111">
        <v>86.96</v>
      </c>
      <c r="E44" s="111">
        <v>87.973075443817706</v>
      </c>
      <c r="F44" s="105" t="s">
        <v>211</v>
      </c>
      <c r="G44" s="105">
        <v>87.973075443817706</v>
      </c>
      <c r="H44" s="103">
        <v>0.15602550307219382</v>
      </c>
      <c r="I44" s="105" t="s">
        <v>212</v>
      </c>
      <c r="J44" s="105" t="s">
        <v>213</v>
      </c>
      <c r="K44" s="105">
        <v>1.3212651556192638</v>
      </c>
      <c r="L44" s="105"/>
    </row>
    <row r="45" spans="1:12">
      <c r="A45" s="105" t="s">
        <v>226</v>
      </c>
      <c r="B45" s="105" t="s">
        <v>252</v>
      </c>
      <c r="C45" s="106" t="s">
        <v>85</v>
      </c>
      <c r="D45" s="111">
        <v>97.45</v>
      </c>
      <c r="E45" s="111">
        <v>100.06507312685311</v>
      </c>
      <c r="F45" s="105" t="s">
        <v>211</v>
      </c>
      <c r="G45" s="116">
        <v>100.06507312685311</v>
      </c>
      <c r="H45" s="117">
        <v>0.17349663833280704</v>
      </c>
      <c r="I45" s="105" t="s">
        <v>212</v>
      </c>
      <c r="J45" s="106" t="s">
        <v>213</v>
      </c>
      <c r="K45" s="116">
        <v>0.47499342918817661</v>
      </c>
      <c r="L45" s="105"/>
    </row>
    <row r="46" spans="1:12">
      <c r="A46" s="105" t="s">
        <v>247</v>
      </c>
      <c r="B46" s="105" t="s">
        <v>253</v>
      </c>
      <c r="C46" s="106" t="s">
        <v>75</v>
      </c>
      <c r="D46" s="111">
        <v>3255</v>
      </c>
      <c r="E46" s="111">
        <v>4131.9818616759812</v>
      </c>
      <c r="F46" s="105" t="s">
        <v>211</v>
      </c>
      <c r="G46" s="116">
        <v>4131.9818616759812</v>
      </c>
      <c r="H46" s="117">
        <v>6.6900000000000001E-2</v>
      </c>
      <c r="I46" s="105" t="s">
        <v>224</v>
      </c>
      <c r="J46" s="106" t="s">
        <v>213</v>
      </c>
      <c r="K46" s="116">
        <v>3.5768825170502105</v>
      </c>
      <c r="L46" s="105"/>
    </row>
    <row r="47" spans="1:12">
      <c r="A47" s="105" t="s">
        <v>255</v>
      </c>
      <c r="B47" s="105" t="s">
        <v>256</v>
      </c>
      <c r="C47" s="106" t="s">
        <v>280</v>
      </c>
      <c r="D47" s="111">
        <v>90.2</v>
      </c>
      <c r="E47" s="111">
        <v>92.126116362004794</v>
      </c>
      <c r="F47" s="105" t="s">
        <v>211</v>
      </c>
      <c r="G47" s="116">
        <v>92.126116362004794</v>
      </c>
      <c r="H47" s="117">
        <v>0.12441270352654366</v>
      </c>
      <c r="I47" s="105" t="s">
        <v>224</v>
      </c>
      <c r="J47" s="106" t="s">
        <v>213</v>
      </c>
      <c r="K47" s="116">
        <v>1.5847358997523198</v>
      </c>
      <c r="L47" s="105"/>
    </row>
    <row r="48" spans="1:12">
      <c r="A48" s="105" t="s">
        <v>255</v>
      </c>
      <c r="B48" s="105" t="s">
        <v>357</v>
      </c>
      <c r="C48" s="106" t="s">
        <v>306</v>
      </c>
      <c r="D48" s="111">
        <v>90</v>
      </c>
      <c r="E48" s="111">
        <v>94.710476098064049</v>
      </c>
      <c r="F48" s="115" t="s">
        <v>211</v>
      </c>
      <c r="G48" s="116">
        <v>94.710476098064049</v>
      </c>
      <c r="H48" s="117">
        <v>0.11873408176602984</v>
      </c>
      <c r="I48" s="105" t="s">
        <v>224</v>
      </c>
      <c r="J48" s="106" t="s">
        <v>213</v>
      </c>
      <c r="K48" s="116">
        <v>1.3776685834151892</v>
      </c>
      <c r="L48" s="105"/>
    </row>
    <row r="49" spans="1:11">
      <c r="A49" s="96" t="s">
        <v>255</v>
      </c>
      <c r="B49" s="96" t="s">
        <v>290</v>
      </c>
      <c r="C49" s="96" t="s">
        <v>282</v>
      </c>
      <c r="D49" s="97">
        <v>97.68</v>
      </c>
      <c r="E49" s="97">
        <v>104.29002746161321</v>
      </c>
      <c r="F49" s="98" t="s">
        <v>211</v>
      </c>
      <c r="G49" s="99">
        <v>104.29002746161321</v>
      </c>
      <c r="H49" s="104">
        <v>8.6785135075589381E-3</v>
      </c>
      <c r="I49" s="96" t="s">
        <v>224</v>
      </c>
      <c r="J49" s="96" t="s">
        <v>213</v>
      </c>
      <c r="K49" s="85">
        <v>0.94486346289056378</v>
      </c>
    </row>
    <row r="50" spans="1:11">
      <c r="A50" s="96" t="s">
        <v>247</v>
      </c>
      <c r="B50" s="96" t="s">
        <v>296</v>
      </c>
      <c r="C50" s="96" t="s">
        <v>281</v>
      </c>
      <c r="D50" s="97">
        <v>2279</v>
      </c>
      <c r="E50" s="97">
        <v>2591.8789868554031</v>
      </c>
      <c r="F50" s="98" t="s">
        <v>211</v>
      </c>
      <c r="G50" s="99">
        <v>2591.8789868554031</v>
      </c>
      <c r="H50" s="99">
        <v>3.5694337054590797E-2</v>
      </c>
      <c r="I50" s="96" t="s">
        <v>224</v>
      </c>
      <c r="J50" s="96" t="s">
        <v>213</v>
      </c>
      <c r="K50" s="85">
        <v>1.3297193231065696</v>
      </c>
    </row>
    <row r="51" spans="1:11">
      <c r="A51" s="96" t="s">
        <v>247</v>
      </c>
      <c r="B51" s="96" t="s">
        <v>358</v>
      </c>
      <c r="C51" s="96" t="s">
        <v>330</v>
      </c>
      <c r="D51" s="97">
        <v>88.4</v>
      </c>
      <c r="E51" s="97">
        <v>88.645707705880639</v>
      </c>
      <c r="F51" s="98" t="s">
        <v>211</v>
      </c>
      <c r="G51" s="99">
        <v>88.645707705880639</v>
      </c>
      <c r="H51" s="99">
        <v>0.43498448836567855</v>
      </c>
      <c r="I51" s="96" t="s">
        <v>224</v>
      </c>
      <c r="J51" s="96" t="s">
        <v>213</v>
      </c>
      <c r="K51" s="85">
        <v>1.274312906456907</v>
      </c>
    </row>
    <row r="52" spans="1:11">
      <c r="A52" s="96" t="s">
        <v>247</v>
      </c>
      <c r="B52" s="96" t="s">
        <v>359</v>
      </c>
      <c r="C52" s="96" t="s">
        <v>333</v>
      </c>
      <c r="D52" s="97">
        <v>83.98</v>
      </c>
      <c r="E52" s="97">
        <v>83.484786656529039</v>
      </c>
      <c r="F52" s="98" t="s">
        <v>211</v>
      </c>
      <c r="G52" s="99">
        <v>83.484786656529039</v>
      </c>
      <c r="H52" s="99">
        <v>0.4883697260258808</v>
      </c>
      <c r="I52" s="96" t="s">
        <v>224</v>
      </c>
      <c r="J52" s="96" t="s">
        <v>213</v>
      </c>
      <c r="K52" s="85">
        <v>0.93431661957353729</v>
      </c>
    </row>
    <row r="53" spans="1:11">
      <c r="A53" s="96" t="s">
        <v>226</v>
      </c>
      <c r="B53" s="96" t="s">
        <v>360</v>
      </c>
      <c r="C53" s="96" t="s">
        <v>335</v>
      </c>
      <c r="D53" s="97">
        <v>80</v>
      </c>
      <c r="E53" s="97">
        <v>80.612683418477118</v>
      </c>
      <c r="F53" s="98" t="s">
        <v>211</v>
      </c>
      <c r="G53" s="99">
        <v>80.612683418477118</v>
      </c>
      <c r="H53" s="99">
        <v>0.26238252298326903</v>
      </c>
      <c r="I53" s="96" t="s">
        <v>224</v>
      </c>
      <c r="J53" s="96" t="s">
        <v>213</v>
      </c>
      <c r="K53" s="85">
        <v>1.2705916678702345</v>
      </c>
    </row>
    <row r="54" spans="1:11">
      <c r="A54" s="96" t="s">
        <v>247</v>
      </c>
      <c r="B54" s="96" t="s">
        <v>361</v>
      </c>
      <c r="C54" s="96" t="s">
        <v>343</v>
      </c>
      <c r="D54" s="97">
        <v>0</v>
      </c>
      <c r="E54" s="97">
        <v>4595.0349454952802</v>
      </c>
      <c r="F54" s="98" t="s">
        <v>211</v>
      </c>
      <c r="G54" s="99">
        <v>4595.0349454952802</v>
      </c>
      <c r="H54" s="99">
        <v>8.5000000000000006E-2</v>
      </c>
      <c r="I54" s="96" t="s">
        <v>224</v>
      </c>
      <c r="J54" s="96" t="s">
        <v>229</v>
      </c>
      <c r="K54" s="85">
        <v>4.4400913731314517</v>
      </c>
    </row>
    <row r="55" spans="1:11">
      <c r="A55" s="96" t="s">
        <v>226</v>
      </c>
      <c r="B55" s="96" t="s">
        <v>362</v>
      </c>
      <c r="C55" s="96" t="s">
        <v>344</v>
      </c>
      <c r="D55" s="97">
        <v>0</v>
      </c>
      <c r="E55" s="97">
        <v>186.25742142017981</v>
      </c>
      <c r="F55" s="98" t="s">
        <v>211</v>
      </c>
      <c r="G55" s="99">
        <v>186.25742142017981</v>
      </c>
      <c r="H55" s="99">
        <v>3.5000000000000003E-2</v>
      </c>
      <c r="I55" s="96" t="s">
        <v>224</v>
      </c>
      <c r="J55" s="96" t="s">
        <v>229</v>
      </c>
      <c r="K55" s="85">
        <v>2.4843241979824069</v>
      </c>
    </row>
    <row r="57" spans="1:11">
      <c r="C57" s="96" t="s">
        <v>353</v>
      </c>
      <c r="D57" s="97">
        <v>111</v>
      </c>
      <c r="E57" s="97">
        <v>111.09673588866281</v>
      </c>
      <c r="G57" s="99">
        <v>111</v>
      </c>
      <c r="H57" s="99">
        <v>0.66235859050495505</v>
      </c>
      <c r="J57" s="96" t="s">
        <v>254</v>
      </c>
      <c r="K57" s="85">
        <v>2.3073339652854713E-2</v>
      </c>
    </row>
    <row r="58" spans="1:11">
      <c r="C58" s="96" t="s">
        <v>342</v>
      </c>
      <c r="D58" s="97">
        <v>106</v>
      </c>
      <c r="E58" s="97">
        <v>107.37741655427764</v>
      </c>
      <c r="G58" s="99">
        <v>106</v>
      </c>
      <c r="H58" s="99">
        <v>0.62864702462442612</v>
      </c>
      <c r="J58" s="96" t="s">
        <v>254</v>
      </c>
      <c r="K58" s="85">
        <v>7.0652812678806381E-2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Resumen</vt:lpstr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2018-09-11T15:21:34Z</dcterms:modified>
</cp:coreProperties>
</file>