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40" yWindow="45" windowWidth="28380" windowHeight="12660"/>
  </bookViews>
  <sheets>
    <sheet name="Valuacion" sheetId="1" r:id="rId1"/>
    <sheet name="FCI" sheetId="9" r:id="rId2"/>
    <sheet name="Pos Tit Sura" sheetId="4" r:id="rId3"/>
    <sheet name="Pos PF Sura" sheetId="7" r:id="rId4"/>
    <sheet name="Pos Tit ACG" sheetId="6" r:id="rId5"/>
    <sheet name="Pos PF ACG" sheetId="8" r:id="rId6"/>
    <sheet name="Identidad de Codigos" sheetId="5" r:id="rId7"/>
    <sheet name="Precios para Valuar" sheetId="10" r:id="rId8"/>
    <sheet name="Hoja1" sheetId="11" r:id="rId9"/>
  </sheets>
  <definedNames>
    <definedName name="Badlar">Valuacion!$B$106</definedName>
    <definedName name="cccccccccccccc">Valuacion!#REF!</definedName>
    <definedName name="CER">Valuacion!$B$108</definedName>
    <definedName name="dev" localSheetId="5">Valuacion!#REF!</definedName>
    <definedName name="dev" localSheetId="3">Valuacion!#REF!</definedName>
    <definedName name="dev" localSheetId="4">Valuacion!#REF!</definedName>
    <definedName name="Dev">Valuacion!$B$109</definedName>
    <definedName name="inf" localSheetId="5">Valuacion!#REF!</definedName>
    <definedName name="inf" localSheetId="3">Valuacion!#REF!</definedName>
    <definedName name="inf" localSheetId="4">Valuacion!#REF!</definedName>
    <definedName name="inf">Valuacion!#REF!</definedName>
    <definedName name="Tasatm20">Valuacion!$B$107</definedName>
  </definedNames>
  <calcPr calcId="145621"/>
</workbook>
</file>

<file path=xl/calcChain.xml><?xml version="1.0" encoding="utf-8"?>
<calcChain xmlns="http://schemas.openxmlformats.org/spreadsheetml/2006/main">
  <c r="T52" i="1" l="1"/>
  <c r="Q52" i="1"/>
  <c r="O52" i="1"/>
  <c r="L52" i="1"/>
  <c r="N52" i="1" s="1"/>
  <c r="H52" i="1"/>
  <c r="T26" i="1" l="1"/>
  <c r="Q26" i="1"/>
  <c r="O26" i="1"/>
  <c r="P26" i="1" s="1"/>
  <c r="L26" i="1"/>
  <c r="G26" i="1"/>
  <c r="H26" i="1" s="1"/>
  <c r="N26" i="1" l="1"/>
  <c r="T48" i="1" l="1"/>
  <c r="Q48" i="1"/>
  <c r="O48" i="1"/>
  <c r="P48" i="1" s="1"/>
  <c r="L48" i="1"/>
  <c r="G48" i="1"/>
  <c r="H48" i="1" s="1"/>
  <c r="N48" i="1" l="1"/>
  <c r="G91" i="1"/>
  <c r="G89" i="1"/>
  <c r="G85" i="1"/>
  <c r="G84" i="1"/>
  <c r="G46" i="1"/>
  <c r="G44" i="1"/>
  <c r="G43" i="1"/>
  <c r="G41" i="1"/>
  <c r="G40" i="1"/>
  <c r="G38" i="1"/>
  <c r="G37" i="1"/>
  <c r="G34" i="1"/>
  <c r="G33" i="1"/>
  <c r="G32" i="1"/>
  <c r="G29" i="1"/>
  <c r="G28" i="1"/>
  <c r="G27" i="1"/>
  <c r="G25" i="1"/>
  <c r="O66" i="1"/>
  <c r="Q66" i="1" s="1"/>
  <c r="N66" i="1"/>
  <c r="O65" i="1"/>
  <c r="P65" i="1" s="1"/>
  <c r="O70" i="1"/>
  <c r="P70" i="1" s="1"/>
  <c r="N70" i="1"/>
  <c r="O69" i="1"/>
  <c r="O68" i="1"/>
  <c r="Q68" i="1" s="1"/>
  <c r="N68" i="1"/>
  <c r="O67" i="1"/>
  <c r="P67" i="1" s="1"/>
  <c r="G100" i="1"/>
  <c r="G99" i="1"/>
  <c r="G98" i="1"/>
  <c r="G96" i="1"/>
  <c r="G95" i="1"/>
  <c r="G94" i="1"/>
  <c r="G88" i="1"/>
  <c r="G87" i="1"/>
  <c r="G86" i="1"/>
  <c r="G82" i="1"/>
  <c r="G81" i="1"/>
  <c r="G78" i="1"/>
  <c r="G77" i="1"/>
  <c r="G76" i="1"/>
  <c r="G75" i="1"/>
  <c r="G74" i="1"/>
  <c r="G73" i="1"/>
  <c r="G72" i="1"/>
  <c r="G47" i="1"/>
  <c r="G45" i="1"/>
  <c r="G42" i="1"/>
  <c r="G39" i="1"/>
  <c r="G36" i="1"/>
  <c r="G35" i="1"/>
  <c r="G31" i="1"/>
  <c r="G20" i="1"/>
  <c r="G15" i="1"/>
  <c r="G13" i="1"/>
  <c r="G7" i="1"/>
  <c r="G6" i="1"/>
  <c r="G30" i="1"/>
  <c r="Q65" i="1" l="1"/>
  <c r="P66" i="1"/>
  <c r="N65" i="1"/>
  <c r="Q67" i="1"/>
  <c r="P69" i="1"/>
  <c r="Q69" i="1"/>
  <c r="N69" i="1"/>
  <c r="Q70" i="1"/>
  <c r="P68" i="1"/>
  <c r="N67" i="1"/>
  <c r="L96" i="1"/>
  <c r="L95" i="1"/>
  <c r="L94" i="1"/>
  <c r="L82" i="1"/>
  <c r="L81" i="1"/>
  <c r="L78" i="1"/>
  <c r="L77" i="1"/>
  <c r="L76" i="1"/>
  <c r="L75" i="1"/>
  <c r="L74" i="1"/>
  <c r="L73" i="1"/>
  <c r="L72" i="1"/>
  <c r="Q91" i="1" l="1"/>
  <c r="Q88" i="1"/>
  <c r="Q87" i="1"/>
  <c r="Q86" i="1"/>
  <c r="Q53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5" i="1"/>
  <c r="Q22" i="1"/>
  <c r="Q21" i="1"/>
  <c r="Q20" i="1"/>
  <c r="Q19" i="1"/>
  <c r="Q16" i="1"/>
  <c r="Q15" i="1"/>
  <c r="Q13" i="1"/>
  <c r="Q11" i="1"/>
  <c r="Q9" i="1"/>
  <c r="Q8" i="1"/>
  <c r="Q7" i="1"/>
  <c r="Q6" i="1"/>
  <c r="Q5" i="1"/>
  <c r="O5" i="1"/>
  <c r="P5" i="1" s="1"/>
  <c r="L47" i="1" l="1"/>
  <c r="T91" i="1" l="1"/>
  <c r="O91" i="1"/>
  <c r="P91" i="1" s="1"/>
  <c r="T89" i="1"/>
  <c r="O89" i="1"/>
  <c r="P89" i="1" s="1"/>
  <c r="T88" i="1"/>
  <c r="O88" i="1"/>
  <c r="P88" i="1" s="1"/>
  <c r="T87" i="1"/>
  <c r="O87" i="1"/>
  <c r="P87" i="1" s="1"/>
  <c r="T86" i="1"/>
  <c r="O86" i="1"/>
  <c r="P86" i="1" s="1"/>
  <c r="T53" i="1"/>
  <c r="O53" i="1"/>
  <c r="T47" i="1"/>
  <c r="O47" i="1"/>
  <c r="P47" i="1" s="1"/>
  <c r="T46" i="1"/>
  <c r="O46" i="1"/>
  <c r="P46" i="1" s="1"/>
  <c r="O45" i="1"/>
  <c r="P45" i="1" s="1"/>
  <c r="T44" i="1"/>
  <c r="O44" i="1"/>
  <c r="P44" i="1" s="1"/>
  <c r="T43" i="1"/>
  <c r="O43" i="1"/>
  <c r="P43" i="1" s="1"/>
  <c r="T42" i="1"/>
  <c r="O42" i="1"/>
  <c r="P42" i="1" s="1"/>
  <c r="T41" i="1"/>
  <c r="O41" i="1"/>
  <c r="P41" i="1" s="1"/>
  <c r="T40" i="1"/>
  <c r="O40" i="1"/>
  <c r="P40" i="1" s="1"/>
  <c r="T39" i="1"/>
  <c r="O39" i="1"/>
  <c r="P39" i="1" s="1"/>
  <c r="T38" i="1"/>
  <c r="O38" i="1"/>
  <c r="P38" i="1" s="1"/>
  <c r="T37" i="1"/>
  <c r="O37" i="1"/>
  <c r="P37" i="1" s="1"/>
  <c r="T36" i="1"/>
  <c r="O36" i="1"/>
  <c r="P36" i="1" s="1"/>
  <c r="T35" i="1"/>
  <c r="O35" i="1"/>
  <c r="P35" i="1" s="1"/>
  <c r="T34" i="1"/>
  <c r="O34" i="1"/>
  <c r="P34" i="1" s="1"/>
  <c r="T33" i="1"/>
  <c r="O33" i="1"/>
  <c r="P33" i="1" s="1"/>
  <c r="T32" i="1"/>
  <c r="O32" i="1"/>
  <c r="P32" i="1" s="1"/>
  <c r="T31" i="1"/>
  <c r="O31" i="1"/>
  <c r="P31" i="1" s="1"/>
  <c r="T30" i="1"/>
  <c r="O30" i="1"/>
  <c r="P30" i="1" s="1"/>
  <c r="T29" i="1"/>
  <c r="O29" i="1"/>
  <c r="P29" i="1" s="1"/>
  <c r="T28" i="1"/>
  <c r="O28" i="1"/>
  <c r="P28" i="1" s="1"/>
  <c r="T27" i="1"/>
  <c r="O27" i="1"/>
  <c r="P27" i="1" s="1"/>
  <c r="T25" i="1"/>
  <c r="O25" i="1"/>
  <c r="P25" i="1" s="1"/>
  <c r="T22" i="1"/>
  <c r="O22" i="1"/>
  <c r="P22" i="1" s="1"/>
  <c r="T21" i="1"/>
  <c r="O21" i="1"/>
  <c r="P21" i="1" s="1"/>
  <c r="T20" i="1"/>
  <c r="O20" i="1"/>
  <c r="P20" i="1" s="1"/>
  <c r="T19" i="1"/>
  <c r="O19" i="1"/>
  <c r="P19" i="1" s="1"/>
  <c r="T16" i="1"/>
  <c r="O16" i="1"/>
  <c r="P16" i="1" s="1"/>
  <c r="T15" i="1"/>
  <c r="O15" i="1"/>
  <c r="P15" i="1" s="1"/>
  <c r="T13" i="1"/>
  <c r="O13" i="1"/>
  <c r="P13" i="1" s="1"/>
  <c r="T11" i="1"/>
  <c r="O11" i="1"/>
  <c r="P11" i="1" s="1"/>
  <c r="T9" i="1"/>
  <c r="O9" i="1"/>
  <c r="P9" i="1" s="1"/>
  <c r="T8" i="1"/>
  <c r="O8" i="1"/>
  <c r="P8" i="1" s="1"/>
  <c r="T7" i="1"/>
  <c r="O7" i="1"/>
  <c r="P7" i="1" s="1"/>
  <c r="T6" i="1"/>
  <c r="O6" i="1"/>
  <c r="P6" i="1" s="1"/>
  <c r="L91" i="1"/>
  <c r="M91" i="1" s="1"/>
  <c r="L89" i="1"/>
  <c r="L88" i="1"/>
  <c r="L87" i="1"/>
  <c r="L86" i="1"/>
  <c r="L53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5" i="1"/>
  <c r="L22" i="1"/>
  <c r="L21" i="1"/>
  <c r="L20" i="1"/>
  <c r="N20" i="1" s="1"/>
  <c r="L19" i="1"/>
  <c r="L16" i="1"/>
  <c r="M16" i="1" s="1"/>
  <c r="L15" i="1"/>
  <c r="M15" i="1" s="1"/>
  <c r="L13" i="1"/>
  <c r="L11" i="1"/>
  <c r="L9" i="1"/>
  <c r="L8" i="1"/>
  <c r="L7" i="1"/>
  <c r="L6" i="1"/>
  <c r="L5" i="1"/>
  <c r="E63" i="1" l="1"/>
  <c r="E62" i="1"/>
  <c r="E61" i="1"/>
  <c r="E60" i="1"/>
  <c r="E59" i="1"/>
  <c r="E58" i="1"/>
  <c r="E57" i="1"/>
  <c r="E56" i="1"/>
  <c r="E55" i="1"/>
  <c r="D63" i="1"/>
  <c r="D62" i="1"/>
  <c r="D61" i="1"/>
  <c r="D60" i="1"/>
  <c r="D59" i="1"/>
  <c r="D58" i="1"/>
  <c r="D57" i="1"/>
  <c r="D56" i="1"/>
  <c r="D55" i="1"/>
  <c r="N55" i="1" s="1"/>
  <c r="A56" i="1"/>
  <c r="A57" i="1"/>
  <c r="A58" i="1"/>
  <c r="A59" i="1"/>
  <c r="A60" i="1"/>
  <c r="A61" i="1"/>
  <c r="A62" i="1"/>
  <c r="A63" i="1"/>
  <c r="A64" i="1"/>
  <c r="A55" i="1"/>
  <c r="N50" i="1"/>
  <c r="N49" i="1"/>
  <c r="N47" i="1"/>
  <c r="N34" i="1"/>
  <c r="C34" i="1"/>
  <c r="H34" i="1" s="1"/>
  <c r="B34" i="1"/>
  <c r="O61" i="1" l="1"/>
  <c r="P61" i="1" s="1"/>
  <c r="N61" i="1"/>
  <c r="O62" i="1"/>
  <c r="P62" i="1" s="1"/>
  <c r="N62" i="1"/>
  <c r="O56" i="1"/>
  <c r="P56" i="1" s="1"/>
  <c r="N56" i="1"/>
  <c r="O57" i="1"/>
  <c r="P57" i="1" s="1"/>
  <c r="N57" i="1"/>
  <c r="O63" i="1"/>
  <c r="P63" i="1" s="1"/>
  <c r="N63" i="1"/>
  <c r="O58" i="1"/>
  <c r="P58" i="1" s="1"/>
  <c r="N58" i="1"/>
  <c r="O64" i="1"/>
  <c r="P64" i="1" s="1"/>
  <c r="N64" i="1"/>
  <c r="O59" i="1"/>
  <c r="P59" i="1" s="1"/>
  <c r="N59" i="1"/>
  <c r="N60" i="1"/>
  <c r="Q56" i="1"/>
  <c r="Q61" i="1"/>
  <c r="Q57" i="1"/>
  <c r="Q63" i="1"/>
  <c r="Q64" i="1"/>
  <c r="O60" i="1"/>
  <c r="P60" i="1" s="1"/>
  <c r="O55" i="1"/>
  <c r="P55" i="1" s="1"/>
  <c r="M73" i="1"/>
  <c r="Q58" i="1" l="1"/>
  <c r="Q59" i="1"/>
  <c r="Q62" i="1"/>
  <c r="Q60" i="1"/>
  <c r="Q55" i="1"/>
  <c r="A10" i="5"/>
  <c r="C84" i="1"/>
  <c r="B84" i="1"/>
  <c r="C19" i="1"/>
  <c r="C11" i="1"/>
  <c r="J11" i="1" s="1"/>
  <c r="G11" i="1" s="1"/>
  <c r="B11" i="1"/>
  <c r="C9" i="1"/>
  <c r="J9" i="1" s="1"/>
  <c r="G9" i="1" s="1"/>
  <c r="B9" i="1"/>
  <c r="C52" i="1" l="1"/>
  <c r="B52" i="1"/>
  <c r="C26" i="1"/>
  <c r="B26" i="1"/>
  <c r="C91" i="1"/>
  <c r="B48" i="1"/>
  <c r="C48" i="1"/>
  <c r="C5" i="1"/>
  <c r="J5" i="1" s="1"/>
  <c r="B29" i="1"/>
  <c r="B15" i="1"/>
  <c r="C30" i="1"/>
  <c r="B32" i="1"/>
  <c r="C27" i="1"/>
  <c r="C46" i="1"/>
  <c r="B7" i="1"/>
  <c r="C33" i="1"/>
  <c r="C8" i="1"/>
  <c r="J8" i="1" s="1"/>
  <c r="G8" i="1" s="1"/>
  <c r="C40" i="1"/>
  <c r="C37" i="1"/>
  <c r="C43" i="1"/>
  <c r="B25" i="1"/>
  <c r="B36" i="1"/>
  <c r="C85" i="1"/>
  <c r="C15" i="1"/>
  <c r="B28" i="1"/>
  <c r="B31" i="1"/>
  <c r="B35" i="1"/>
  <c r="B38" i="1"/>
  <c r="B41" i="1"/>
  <c r="B44" i="1"/>
  <c r="B53" i="1"/>
  <c r="B86" i="1"/>
  <c r="C7" i="1"/>
  <c r="B5" i="1"/>
  <c r="B8" i="1"/>
  <c r="C28" i="1"/>
  <c r="C31" i="1"/>
  <c r="C35" i="1"/>
  <c r="C38" i="1"/>
  <c r="C41" i="1"/>
  <c r="C44" i="1"/>
  <c r="C53" i="1"/>
  <c r="C86" i="1"/>
  <c r="B39" i="1"/>
  <c r="B42" i="1"/>
  <c r="B45" i="1"/>
  <c r="B87" i="1"/>
  <c r="B6" i="1"/>
  <c r="B13" i="1"/>
  <c r="C25" i="1"/>
  <c r="C29" i="1"/>
  <c r="C32" i="1"/>
  <c r="C36" i="1"/>
  <c r="C39" i="1"/>
  <c r="C42" i="1"/>
  <c r="C45" i="1"/>
  <c r="B89" i="1"/>
  <c r="C6" i="1"/>
  <c r="C13" i="1"/>
  <c r="B27" i="1"/>
  <c r="B30" i="1"/>
  <c r="B33" i="1"/>
  <c r="B37" i="1"/>
  <c r="B40" i="1"/>
  <c r="B43" i="1"/>
  <c r="B46" i="1"/>
  <c r="B85" i="1"/>
  <c r="C89" i="1"/>
  <c r="C87" i="1"/>
  <c r="B88" i="1"/>
  <c r="C50" i="1"/>
  <c r="H50" i="1" s="1"/>
  <c r="B50" i="1"/>
  <c r="C49" i="1"/>
  <c r="H49" i="1" s="1"/>
  <c r="B49" i="1"/>
  <c r="B16" i="1"/>
  <c r="C16" i="1"/>
  <c r="B47" i="1"/>
  <c r="C47" i="1"/>
  <c r="H47" i="1" s="1"/>
  <c r="B91" i="1"/>
  <c r="C22" i="1"/>
  <c r="C20" i="1"/>
  <c r="C21" i="1"/>
  <c r="C88" i="1"/>
  <c r="J19" i="1"/>
  <c r="G19" i="1" s="1"/>
  <c r="N19" i="1" s="1"/>
  <c r="H9" i="1"/>
  <c r="H11" i="1"/>
  <c r="H8" i="1" l="1"/>
  <c r="H25" i="1"/>
  <c r="H13" i="1"/>
  <c r="H7" i="1"/>
  <c r="H6" i="1"/>
  <c r="H15" i="1"/>
  <c r="H5" i="1"/>
  <c r="J16" i="1"/>
  <c r="G16" i="1" s="1"/>
  <c r="N16" i="1" s="1"/>
  <c r="J22" i="1"/>
  <c r="G22" i="1" s="1"/>
  <c r="N22" i="1" s="1"/>
  <c r="J21" i="1"/>
  <c r="G21" i="1" s="1"/>
  <c r="N21" i="1" s="1"/>
  <c r="H88" i="1"/>
  <c r="H87" i="1"/>
  <c r="H42" i="1"/>
  <c r="H32" i="1"/>
  <c r="H89" i="1"/>
  <c r="H44" i="1"/>
  <c r="H35" i="1"/>
  <c r="H85" i="1"/>
  <c r="H40" i="1"/>
  <c r="H30" i="1"/>
  <c r="H84" i="1"/>
  <c r="H39" i="1"/>
  <c r="H29" i="1"/>
  <c r="H86" i="1"/>
  <c r="H41" i="1"/>
  <c r="H31" i="1"/>
  <c r="H46" i="1"/>
  <c r="H37" i="1"/>
  <c r="H91" i="1"/>
  <c r="H45" i="1"/>
  <c r="H36" i="1"/>
  <c r="H27" i="1"/>
  <c r="H53" i="1"/>
  <c r="H38" i="1"/>
  <c r="H28" i="1"/>
  <c r="H43" i="1"/>
  <c r="H33" i="1"/>
  <c r="H16" i="1" l="1"/>
  <c r="N96" i="1"/>
  <c r="N95" i="1"/>
  <c r="N94" i="1"/>
  <c r="N82" i="1"/>
  <c r="N81" i="1"/>
  <c r="N78" i="1"/>
  <c r="N77" i="1"/>
  <c r="N76" i="1"/>
  <c r="N75" i="1"/>
  <c r="N74" i="1"/>
  <c r="N73" i="1"/>
  <c r="N72" i="1"/>
  <c r="N13" i="1" l="1"/>
  <c r="N11" i="1" l="1"/>
  <c r="N85" i="1"/>
  <c r="N88" i="1"/>
  <c r="N84" i="1"/>
  <c r="N31" i="1"/>
  <c r="N7" i="1"/>
  <c r="N9" i="1"/>
  <c r="N6" i="1"/>
  <c r="N8" i="1"/>
  <c r="N39" i="1"/>
  <c r="N15" i="1"/>
  <c r="N36" i="1" l="1"/>
  <c r="N45" i="1"/>
  <c r="N42" i="1"/>
  <c r="N86" i="1"/>
  <c r="N87" i="1"/>
  <c r="N32" i="1"/>
  <c r="N29" i="1"/>
  <c r="N53" i="1"/>
  <c r="N30" i="1"/>
  <c r="N37" i="1"/>
  <c r="N35" i="1"/>
  <c r="N38" i="1"/>
  <c r="N89" i="1"/>
  <c r="N44" i="1"/>
  <c r="N25" i="1"/>
  <c r="N46" i="1"/>
  <c r="N40" i="1"/>
  <c r="N28" i="1"/>
  <c r="N33" i="1"/>
  <c r="N43" i="1"/>
  <c r="N27" i="1"/>
  <c r="N41" i="1"/>
  <c r="N5" i="1" l="1"/>
  <c r="N91" i="1"/>
  <c r="N102" i="1" l="1"/>
  <c r="R52" i="1" s="1"/>
  <c r="R48" i="1" l="1"/>
  <c r="R26" i="1"/>
  <c r="R66" i="1"/>
  <c r="R65" i="1"/>
  <c r="R68" i="1"/>
  <c r="R70" i="1"/>
  <c r="R69" i="1"/>
  <c r="R67" i="1"/>
  <c r="R91" i="1"/>
  <c r="R53" i="1"/>
  <c r="R89" i="1"/>
  <c r="R87" i="1"/>
  <c r="R88" i="1"/>
  <c r="R86" i="1"/>
  <c r="R50" i="1"/>
  <c r="R47" i="1"/>
  <c r="R49" i="1"/>
  <c r="R46" i="1"/>
  <c r="R44" i="1"/>
  <c r="R42" i="1"/>
  <c r="R40" i="1"/>
  <c r="R38" i="1"/>
  <c r="R36" i="1"/>
  <c r="R34" i="1"/>
  <c r="R32" i="1"/>
  <c r="R30" i="1"/>
  <c r="R28" i="1"/>
  <c r="R25" i="1"/>
  <c r="R45" i="1"/>
  <c r="R43" i="1"/>
  <c r="R41" i="1"/>
  <c r="R39" i="1"/>
  <c r="R37" i="1"/>
  <c r="R35" i="1"/>
  <c r="R33" i="1"/>
  <c r="R31" i="1"/>
  <c r="R29" i="1"/>
  <c r="R27" i="1"/>
  <c r="R22" i="1"/>
  <c r="R20" i="1"/>
  <c r="R21" i="1"/>
  <c r="R19" i="1"/>
  <c r="R16" i="1"/>
  <c r="R15" i="1"/>
  <c r="R11" i="1"/>
  <c r="R13" i="1"/>
  <c r="R9" i="1"/>
  <c r="R7" i="1"/>
  <c r="R8" i="1"/>
  <c r="R6" i="1"/>
  <c r="R64" i="1"/>
  <c r="R58" i="1"/>
  <c r="R63" i="1"/>
  <c r="R57" i="1"/>
  <c r="R62" i="1"/>
  <c r="R56" i="1"/>
  <c r="R61" i="1"/>
  <c r="R60" i="1"/>
  <c r="R59" i="1"/>
  <c r="R84" i="1"/>
  <c r="R81" i="1"/>
  <c r="R94" i="1"/>
  <c r="R74" i="1"/>
  <c r="R85" i="1"/>
  <c r="R55" i="1"/>
  <c r="R5" i="1"/>
  <c r="R95" i="1"/>
  <c r="R98" i="1"/>
  <c r="R82" i="1"/>
  <c r="R99" i="1"/>
  <c r="R76" i="1"/>
  <c r="R77" i="1"/>
  <c r="R73" i="1"/>
  <c r="R96" i="1"/>
  <c r="R72" i="1"/>
  <c r="R78" i="1"/>
  <c r="R100" i="1"/>
  <c r="R75" i="1"/>
  <c r="P102" i="1" l="1"/>
  <c r="Q102" i="1"/>
</calcChain>
</file>

<file path=xl/sharedStrings.xml><?xml version="1.0" encoding="utf-8"?>
<sst xmlns="http://schemas.openxmlformats.org/spreadsheetml/2006/main" count="1182" uniqueCount="361">
  <si>
    <t>Issuer</t>
  </si>
  <si>
    <t>Coupon</t>
  </si>
  <si>
    <t>Maturity</t>
  </si>
  <si>
    <t>Currency</t>
  </si>
  <si>
    <t>Shares</t>
  </si>
  <si>
    <t>Price ARS</t>
  </si>
  <si>
    <t>Market Value ARS</t>
  </si>
  <si>
    <t>YTM</t>
  </si>
  <si>
    <t>MD</t>
  </si>
  <si>
    <t>Weight</t>
  </si>
  <si>
    <t>Sovereign</t>
  </si>
  <si>
    <t>FRN Badlar rate</t>
  </si>
  <si>
    <t>Argentina Government - AO17P</t>
  </si>
  <si>
    <t>BAD</t>
  </si>
  <si>
    <t>Argentina Government - AMX8</t>
  </si>
  <si>
    <t>B+2.75%</t>
  </si>
  <si>
    <t>Argentina Government - AMX9P</t>
  </si>
  <si>
    <t>B+2.50%</t>
  </si>
  <si>
    <t>Argentina Government - AM20P</t>
  </si>
  <si>
    <t>B+3.25%</t>
  </si>
  <si>
    <t>Total</t>
  </si>
  <si>
    <t>Argentina Government - AA22P</t>
  </si>
  <si>
    <t>B+2.00%</t>
  </si>
  <si>
    <t>Argentina Government - PR15</t>
  </si>
  <si>
    <t>B+0%</t>
  </si>
  <si>
    <t>FRN Repo rate</t>
  </si>
  <si>
    <t>HF Pesos Plus Clase I</t>
  </si>
  <si>
    <t>Argentina Government - TJ20P</t>
  </si>
  <si>
    <t>R+0%</t>
  </si>
  <si>
    <t>REPO</t>
  </si>
  <si>
    <t>Argentina Government - TC21P</t>
  </si>
  <si>
    <t>Inflation linked</t>
  </si>
  <si>
    <t>Banco Patagonia S.A.</t>
  </si>
  <si>
    <t>Argentina Government - NF18P</t>
  </si>
  <si>
    <t>CER</t>
  </si>
  <si>
    <t>USD (hard and linked)</t>
  </si>
  <si>
    <t>Argentina Government - AM18</t>
  </si>
  <si>
    <t>D+2.40%</t>
  </si>
  <si>
    <t>USD</t>
  </si>
  <si>
    <t>Argentina Government - A2E2D</t>
  </si>
  <si>
    <t>Fondo Lombard Capital</t>
  </si>
  <si>
    <t>Corporate</t>
  </si>
  <si>
    <t>Banco Santander Río S.A. - BNCKO</t>
  </si>
  <si>
    <t>BANCO HIPOTECARIO NACIONAL XLII - BH42O</t>
  </si>
  <si>
    <t>B+3.20%</t>
  </si>
  <si>
    <t>Lombard Renta Fija en Dolares</t>
  </si>
  <si>
    <t>Banco Santander Río S.A. - BNCIO</t>
  </si>
  <si>
    <t>B+2.77%</t>
  </si>
  <si>
    <t>BANCO HIPOTECARIO NACIONAL XLII - BH43O</t>
  </si>
  <si>
    <t>B+2.47%</t>
  </si>
  <si>
    <t>Banco Itaú Argentina S.A. - BTCKO</t>
  </si>
  <si>
    <t>B+3.39%</t>
  </si>
  <si>
    <t>BBVA - BFCLO</t>
  </si>
  <si>
    <t>B+3.23%</t>
  </si>
  <si>
    <t>B+2.78%</t>
  </si>
  <si>
    <t>GPAT Compañía Financiera - GPRBO</t>
  </si>
  <si>
    <t>B+3.44%</t>
  </si>
  <si>
    <t>GPAT Compañía Financiera - GPOBO</t>
  </si>
  <si>
    <t>B+3.50%</t>
  </si>
  <si>
    <t>GPAT Compañía Financiera - GPUBO</t>
  </si>
  <si>
    <t>B+3.97%</t>
  </si>
  <si>
    <t>Schroder Desarrollo y Crecimiento Clase A</t>
  </si>
  <si>
    <t>B+4.2%</t>
  </si>
  <si>
    <t>Tarjetas Cuyanas Clase 25 - TCQ2O</t>
  </si>
  <si>
    <t>B+3.94</t>
  </si>
  <si>
    <t>Gainvest Infraestructura - Clase A</t>
  </si>
  <si>
    <t>Tarjeta Naranja - T352O</t>
  </si>
  <si>
    <t>B+3.99%</t>
  </si>
  <si>
    <t>B+4.0%</t>
  </si>
  <si>
    <t>Rombo Compañía Financiera - RB36O</t>
  </si>
  <si>
    <t>B+3.24%</t>
  </si>
  <si>
    <t>Telecom Personal S.A. - TLS3O</t>
  </si>
  <si>
    <t>Rombo Compañía Financiera - RBSZO</t>
  </si>
  <si>
    <t>Gainvest PYMES - Clase B</t>
  </si>
  <si>
    <t>B+2.99%</t>
  </si>
  <si>
    <t>Tarjetas Cuyanas Clase 26 - TCR2O</t>
  </si>
  <si>
    <t>B+4%</t>
  </si>
  <si>
    <t>B+2.9%</t>
  </si>
  <si>
    <t>Lombard Renta en Pesos</t>
  </si>
  <si>
    <t>B+3.70%</t>
  </si>
  <si>
    <t>TOYOTA CIA FIN. CLASE 20  - TYCLO</t>
  </si>
  <si>
    <t>B+2.95%</t>
  </si>
  <si>
    <t>YPF S.A. - YPCUO</t>
  </si>
  <si>
    <t>C+2.75%</t>
  </si>
  <si>
    <t>Term Deposits</t>
  </si>
  <si>
    <t>ARS</t>
  </si>
  <si>
    <t>Premier Abierto Pymes - Clase A</t>
  </si>
  <si>
    <t>Mutual Funds</t>
  </si>
  <si>
    <t>Goal Capital Plus Pesos B</t>
  </si>
  <si>
    <t>OPTIMUM RENTA FIJA ARGENTINA Unico</t>
  </si>
  <si>
    <t>Fima Ahorro Plus C $</t>
  </si>
  <si>
    <t>Regulatory Requirement - Item K</t>
  </si>
  <si>
    <t>Schroder Infraestructura</t>
  </si>
  <si>
    <t>YPF S.A. - YCA8O</t>
  </si>
  <si>
    <t>Corporate Bonds FRN</t>
  </si>
  <si>
    <t>IMPSA - OMPE10</t>
  </si>
  <si>
    <t>IMPSA - OMPE11</t>
  </si>
  <si>
    <t>BLAR + 0%</t>
  </si>
  <si>
    <t>Corporate Bonds USD</t>
  </si>
  <si>
    <t>Regulatory Requirement - Item L</t>
  </si>
  <si>
    <t>Provisions</t>
  </si>
  <si>
    <t>Cash</t>
  </si>
  <si>
    <t>BCRA</t>
  </si>
  <si>
    <t>Seguros Sura</t>
  </si>
  <si>
    <t>Bills</t>
  </si>
  <si>
    <t>zero coupon</t>
  </si>
  <si>
    <t>ACG</t>
  </si>
  <si>
    <t>Argentina Government - AY24</t>
  </si>
  <si>
    <t>YTM o Margen</t>
  </si>
  <si>
    <t>Fuente de Precios</t>
  </si>
  <si>
    <t>ARARGE3204M0</t>
  </si>
  <si>
    <t>ARGPAT5600E6</t>
  </si>
  <si>
    <t>ON GPAT CIA.FIN.28 CL.B. V.27/</t>
  </si>
  <si>
    <t>ARARGE03G621</t>
  </si>
  <si>
    <t>ARBNAC030255</t>
  </si>
  <si>
    <t>BONOS GARANTIZADOS DEC 1579/02</t>
  </si>
  <si>
    <t>ARIPSA050207</t>
  </si>
  <si>
    <t>ON IND MET PESCARMONA CL10 $</t>
  </si>
  <si>
    <t>ARIPSA050215</t>
  </si>
  <si>
    <t>ON IND MET PESCARMONA CL11 U$S</t>
  </si>
  <si>
    <t>ARARGE03H348</t>
  </si>
  <si>
    <t>USP989MJAY76</t>
  </si>
  <si>
    <t>ON YPF SA CL 28 Vto 4/4/2024</t>
  </si>
  <si>
    <t>ARARGE320093</t>
  </si>
  <si>
    <t>ARYPFS560010</t>
  </si>
  <si>
    <t>O.N. YPF S.A. CLASE 36 $ ESC.</t>
  </si>
  <si>
    <t>ARYPFS560085</t>
  </si>
  <si>
    <t>O.N. YPF S.A. CLASE 41 $ ESC</t>
  </si>
  <si>
    <t>ARARGE3200T3</t>
  </si>
  <si>
    <t>ARPANE560055</t>
  </si>
  <si>
    <t>ON PAN AMERICAN ENERGY 7</t>
  </si>
  <si>
    <t>ARPANE560063</t>
  </si>
  <si>
    <t>ON PAN AMERICAN ENERGY 8 $ CG.</t>
  </si>
  <si>
    <t>ARTCFA5600A4</t>
  </si>
  <si>
    <t>ON TOYOTA CIA.FIN. 18 $</t>
  </si>
  <si>
    <t>ARARGE3201A1</t>
  </si>
  <si>
    <t>BONO NACION ARG $ BADLAR+275</t>
  </si>
  <si>
    <t>ARARGE3201B9</t>
  </si>
  <si>
    <t>BONO NACION ARG $ BADLAR+325</t>
  </si>
  <si>
    <t>ARJDCC560022</t>
  </si>
  <si>
    <t>ON JHON DEERE CRED CIA FIN 6 $</t>
  </si>
  <si>
    <t>ARGPAT560065</t>
  </si>
  <si>
    <t>ARITAU560074</t>
  </si>
  <si>
    <t>O.N. BCO. ITAU CL19 V 13/07/19</t>
  </si>
  <si>
    <t>ARARGE320283</t>
  </si>
  <si>
    <t>ARTACU5600D7</t>
  </si>
  <si>
    <t>ON T.CUYANAS C25 S2 V 26/07/20</t>
  </si>
  <si>
    <t>ARFRAN560094</t>
  </si>
  <si>
    <t>ON BBVA BCO.FRANCES C 20</t>
  </si>
  <si>
    <t>ARFICR560057</t>
  </si>
  <si>
    <t>ON FCA COMP.FINAN. CL.11</t>
  </si>
  <si>
    <t>ARROMB560069</t>
  </si>
  <si>
    <t>ON ROMBO CIA.FIN. S.33</t>
  </si>
  <si>
    <t>ARTANA5600C8</t>
  </si>
  <si>
    <t>ON TARJETA NARANJA C.35 S.2 $</t>
  </si>
  <si>
    <t>ARTCFA5600E6</t>
  </si>
  <si>
    <t>ON TOYOTA CIA.FIN.20 28/9/18 $</t>
  </si>
  <si>
    <t>ARTACU5600F2</t>
  </si>
  <si>
    <t>ON TARJETAS CUYANAS 26 S2 V24/</t>
  </si>
  <si>
    <t>ARROMB5600A7</t>
  </si>
  <si>
    <t>ON ROMBO CIA.FIN. S.35 V.28/10</t>
  </si>
  <si>
    <t>ARTELM560034</t>
  </si>
  <si>
    <t>ON TELECOM PERSONAL SERIE III</t>
  </si>
  <si>
    <t>ARGPAT5600A4</t>
  </si>
  <si>
    <t>ON GPAT CIA.FIN.26 CL.B. V.24/</t>
  </si>
  <si>
    <t>ARROMB5600B5</t>
  </si>
  <si>
    <t>ON ROMBO CIA.FIN. S.36 V.30/01</t>
  </si>
  <si>
    <t>ARBHIP5600O4</t>
  </si>
  <si>
    <t>ON BCO.HIPOTECARIO CL. 42 V.20</t>
  </si>
  <si>
    <t>ARBRIO5600D9</t>
  </si>
  <si>
    <t>ON BCO.SANTANDER RIO CL.17 V.2</t>
  </si>
  <si>
    <t>ARBRIO5600F4</t>
  </si>
  <si>
    <t>ON BCO.SANTANDER RIO CL.19 V.3</t>
  </si>
  <si>
    <t>ARARGE3203R1</t>
  </si>
  <si>
    <t>US040114HK99</t>
  </si>
  <si>
    <t>BONO REP. ARGENTINA USD 5,625%</t>
  </si>
  <si>
    <t>ARARCS560050</t>
  </si>
  <si>
    <t>O.N. ARCOR S.A.I.C. CL.11 V.03</t>
  </si>
  <si>
    <t>ARBHIP5600P1</t>
  </si>
  <si>
    <t>ON BCO.HIPOTECARIO CL.43 V.08/</t>
  </si>
  <si>
    <t>ISIN</t>
  </si>
  <si>
    <t>Codigo de Caja</t>
  </si>
  <si>
    <t>ARARGE03H413</t>
  </si>
  <si>
    <t>N</t>
  </si>
  <si>
    <t>BANCO DE GALICIA Y BS AS</t>
  </si>
  <si>
    <t>BANCO ITAU ARGENTINA SA</t>
  </si>
  <si>
    <t>BBVA BANCO FRANCES SA</t>
  </si>
  <si>
    <t>BCO.PATAGONIA SA</t>
  </si>
  <si>
    <t>STANDARD BANK ARGENTINA SA</t>
  </si>
  <si>
    <t>RSAI</t>
  </si>
  <si>
    <t>Rombo Compañía Financiera - RB35O</t>
  </si>
  <si>
    <t>FCA Compañía Financiera - FTCBO</t>
  </si>
  <si>
    <t>LEBAC INT $ V.18/04/18 273dias I18A8</t>
  </si>
  <si>
    <t>LEBAC INT $ V.16/05/18 273dias I16Y8</t>
  </si>
  <si>
    <t>LEBAC INT $ V.21/06/18 274dias I21J8</t>
  </si>
  <si>
    <t>LEBAC INT $ V.18/07/18 273dias I18L8</t>
  </si>
  <si>
    <t>Timestamp</t>
  </si>
  <si>
    <t>Net Asset Value</t>
  </si>
  <si>
    <t>Pan American Energy VII - PNC7O</t>
  </si>
  <si>
    <t>Pan American Energy VIII - PNC8O</t>
  </si>
  <si>
    <t>YPF S.A. - YCA3O</t>
  </si>
  <si>
    <t>John Deere Clase 6 - JHC6O</t>
  </si>
  <si>
    <t>Arcor S.A.I.C - RCCBO</t>
  </si>
  <si>
    <t>TOYOTA CIA FIN. CLASE 18 - TYCJO</t>
  </si>
  <si>
    <t>BONOS DEL TESORO $ TPM V.2020</t>
  </si>
  <si>
    <t>LEBAC INT $ V.18/04/18 273dias</t>
  </si>
  <si>
    <t>LEBAC INT $ V.16/05/18 273dias</t>
  </si>
  <si>
    <t>LEBAC INT $ V.21/06/18 274dias</t>
  </si>
  <si>
    <t>ARGPAT5600H9</t>
  </si>
  <si>
    <t>ON GPAT C FIN 30 CL B 5/10/18</t>
  </si>
  <si>
    <t>LEBAC INT $ V.18/07/18 273dias</t>
  </si>
  <si>
    <t>ARROBE560051</t>
  </si>
  <si>
    <t>ON HSBC ARG. CL. 7 V.07/12/20</t>
  </si>
  <si>
    <t>BONOS DE CONSOLIDACION SERIE 8</t>
  </si>
  <si>
    <t>BONO NAC ARG $ TBADLAR V.2019</t>
  </si>
  <si>
    <t>BONO NACION ARG. U$S 2.4% 2018</t>
  </si>
  <si>
    <t>ON GPAT CIA. FIN. S.23 Cl. "B"</t>
  </si>
  <si>
    <t>BONO TES NAC 2,5% $ 22/07/21</t>
  </si>
  <si>
    <t>BONO NACION ARG. $ BADLAR+200</t>
  </si>
  <si>
    <t>CESVI0000001</t>
  </si>
  <si>
    <t>CESVI ARGENTINA S.A.</t>
  </si>
  <si>
    <t>SSN570000001</t>
  </si>
  <si>
    <t>FORESTADORA SAN JAVIER S.A.</t>
  </si>
  <si>
    <t>GPAT 2020 Badlar + 417 - Serie XXX - GPWBO</t>
  </si>
  <si>
    <t>HSBC Clase 7 - HSC7O</t>
  </si>
  <si>
    <t>copiar y pegar de Historia Precios Sura.xls</t>
  </si>
  <si>
    <t>Valuado</t>
  </si>
  <si>
    <t>Operado</t>
  </si>
  <si>
    <t>Precio</t>
  </si>
  <si>
    <t>Ruta</t>
  </si>
  <si>
    <t>Cashflow</t>
  </si>
  <si>
    <t>Codigo</t>
  </si>
  <si>
    <t>Mercado</t>
  </si>
  <si>
    <t>TIR o Margen</t>
  </si>
  <si>
    <t>K:\BondsBase\Cash Flows\Argentina\Sovereign\BODEN\</t>
  </si>
  <si>
    <t>Bonar 2018 Badlar + 275.xlsm</t>
  </si>
  <si>
    <t>x</t>
  </si>
  <si>
    <t>mas Badlar</t>
  </si>
  <si>
    <t>devengado</t>
  </si>
  <si>
    <t>BOCAN 2019 Badlar + 250.xlsm</t>
  </si>
  <si>
    <t>IAMC</t>
  </si>
  <si>
    <t>Bonar 2020 Badlar + 325.xlsm</t>
  </si>
  <si>
    <t>Bocan 2022 Badlar + 200.xlsm</t>
  </si>
  <si>
    <t>K:\BondsBase\Cash Flows\Argentina\Sovereign\Bocones\Bocones Nuevos\</t>
  </si>
  <si>
    <t>PR15.xlsm</t>
  </si>
  <si>
    <t>Bonar 2020 Repo.xlsm</t>
  </si>
  <si>
    <t>mas Inflacion Esperada</t>
  </si>
  <si>
    <t>K:\BondsBase\Cash Flows\Argentina\Sovereign\CER\</t>
  </si>
  <si>
    <t>BONCER 2021.xlsm</t>
  </si>
  <si>
    <t>Bonad 2018 DL 2,40%.xlsm</t>
  </si>
  <si>
    <t>mas Devaluacion Esperada</t>
  </si>
  <si>
    <t>Argentina 2022 5.625% USD.xlsm</t>
  </si>
  <si>
    <t>K:\BondsBase\Cash Flows\Argentina\Corporate\Corp Badlar\</t>
  </si>
  <si>
    <t>Banco Hipotecario 2020 Badlar + 320.xlsm</t>
  </si>
  <si>
    <t>Banco Santander Río 2020 Badlar + 277.xlsm</t>
  </si>
  <si>
    <t>VT</t>
  </si>
  <si>
    <t>Banco Santander Río 2020 Badlar + 247.xlsm</t>
  </si>
  <si>
    <t>Banco Santander Río 2019 Badlar + 399.xlsm</t>
  </si>
  <si>
    <t>Banco Frances 2019 Badlar + 323 - Clase 20.xlsm</t>
  </si>
  <si>
    <t>FCA Compania Financiera 2018 Badlar + 278 - FTCBO.xlsm</t>
  </si>
  <si>
    <t>GPAT 2019 Badlar + 344 - Serie XXVI.xlsm</t>
  </si>
  <si>
    <t>GPAT 2019 Badlar + 350 - Serie XXIII.xlsm</t>
  </si>
  <si>
    <t>GPAT 2020 Badlar + 397 - Serie XXVIII.xlsm</t>
  </si>
  <si>
    <t>GPAT 2020 Badlar + 417 - Serie XXX.xlsm</t>
  </si>
  <si>
    <t>John Deere B+420 2018.xlsm</t>
  </si>
  <si>
    <t>Tarjetas Cuyanas 2020 Badlar + 394 - Clase 25 Serie 2.xlsm</t>
  </si>
  <si>
    <t>Tarjeta Naranja 2020 Badlar + 399 - Clase 35 Serie II.xlsm</t>
  </si>
  <si>
    <t>Rombo Cia Financiera 2019 Badlar + 400 Serie 35.xlsm</t>
  </si>
  <si>
    <t>Rombo Cia Financiera 2019 Badlar + 324 Serie 36.xlsm</t>
  </si>
  <si>
    <t>Rombo Cia Financiera 2019 Badlar + 324 Serie 33.xlsm</t>
  </si>
  <si>
    <t>Arcor 2021 Badlar + 299 - Clase xi.xlsm</t>
  </si>
  <si>
    <t>Tarjetas Cuyanas 2020 Badlar + 400 - Clase 26 Serie 2.xlsm</t>
  </si>
  <si>
    <t>Telecom 2018 Badlar + 290 - Serie III.xlsm</t>
  </si>
  <si>
    <t>Toyota 2018 Badlar + 370.xlsm</t>
  </si>
  <si>
    <t>Toyota 2018 Badlar + 295.xlsm</t>
  </si>
  <si>
    <t>K:\BondsBase\Cash Flows\Argentina\Corporate\</t>
  </si>
  <si>
    <t>BHIP  UVA 2,75% 2020.xlsm</t>
  </si>
  <si>
    <t>YPF 2020 Badlar + 474 Clase XXXVI.xlsm</t>
  </si>
  <si>
    <t>Pan American Energy 2020 B+0 - Clase 7 Inciso K.xlsm</t>
  </si>
  <si>
    <t>Pan American Energy 2020 B+0 - Clase 8 Inciso K.xlsm</t>
  </si>
  <si>
    <t>YPF 2020 Badlar + 0 Clase XLI - Inciso K.xlsm</t>
  </si>
  <si>
    <t>ypf 2024.xlsm</t>
  </si>
  <si>
    <t>MAE</t>
  </si>
  <si>
    <t>K:\BondsBase\Cash Flows\Argentina\Corporate\TM20\</t>
  </si>
  <si>
    <t>HSBC 2020.xlsm</t>
  </si>
  <si>
    <t>Duration</t>
  </si>
  <si>
    <t>Badlar</t>
  </si>
  <si>
    <t>Inflacion esperada</t>
  </si>
  <si>
    <t>Devaluacion esperada</t>
  </si>
  <si>
    <t>Informacion Adicional:</t>
  </si>
  <si>
    <t>Price USD</t>
  </si>
  <si>
    <t>D+5,625%</t>
  </si>
  <si>
    <t>Banco de Galicia y Buenos Aires S.A.</t>
  </si>
  <si>
    <t>BBVA – Banco Francés S.A.</t>
  </si>
  <si>
    <t>Banco Santander Río S.A.</t>
  </si>
  <si>
    <t>Updated at 18:01:58</t>
  </si>
  <si>
    <t>SURA</t>
  </si>
  <si>
    <t>AMORTIZO</t>
  </si>
  <si>
    <t>cupon a cobrar</t>
  </si>
  <si>
    <t>AMORTIZACION</t>
  </si>
  <si>
    <t>SURA ARGENTINA</t>
  </si>
  <si>
    <t>Sovereign / Government guaranteed</t>
  </si>
  <si>
    <t>Industry</t>
  </si>
  <si>
    <t>Purchase Date</t>
  </si>
  <si>
    <t>YTM Compra</t>
  </si>
  <si>
    <t>Cost MO</t>
  </si>
  <si>
    <t>Cost ARS</t>
  </si>
  <si>
    <t>Price MO</t>
  </si>
  <si>
    <t>DOLARES</t>
  </si>
  <si>
    <t>B+2.55%</t>
  </si>
  <si>
    <t>BCRA Bills</t>
  </si>
  <si>
    <t>BCRA Bill - 16/05/2018</t>
  </si>
  <si>
    <t>Central Bank</t>
  </si>
  <si>
    <t>BCRA Bill - 21/06/2018</t>
  </si>
  <si>
    <t>BCRA Bill - 18/07/2018</t>
  </si>
  <si>
    <t>BCRA Bill - 18/04/2018</t>
  </si>
  <si>
    <t>Corporate Bonds</t>
  </si>
  <si>
    <t>Banks</t>
  </si>
  <si>
    <t>BANCO HIPOTECARIO NACIONAL XLII - BH49O</t>
  </si>
  <si>
    <t>B+3.6%</t>
  </si>
  <si>
    <t>FCA Compañía Financiera - FTB10</t>
  </si>
  <si>
    <t>Financials (Non-Banks)</t>
  </si>
  <si>
    <t>B+3.5%</t>
  </si>
  <si>
    <t>GPAT Compañía Financiera - GPWBO</t>
  </si>
  <si>
    <t>B+4.17%</t>
  </si>
  <si>
    <t>HSBC Bank Argentina S.A. - HSC7O</t>
  </si>
  <si>
    <t>TM20 + 3.5%</t>
  </si>
  <si>
    <t>JOHN DEERE CLASE 6</t>
  </si>
  <si>
    <t>ICBC Argentina S.A. - NDC7O</t>
  </si>
  <si>
    <t>B+4.37%</t>
  </si>
  <si>
    <t>PSA Finance - PSSRO</t>
  </si>
  <si>
    <t>Rombo Compañía Financiera - RMB35</t>
  </si>
  <si>
    <t>Arcor S.A.I.C - RC11O</t>
  </si>
  <si>
    <t>B+3.94%</t>
  </si>
  <si>
    <t>TOYOTA CIA FIN. CLASE 18</t>
  </si>
  <si>
    <t>Banco Itaú Argentina S.A.</t>
  </si>
  <si>
    <t>ICBC Argentina S.A.</t>
  </si>
  <si>
    <t>Rate</t>
  </si>
  <si>
    <t>Mutual fund</t>
  </si>
  <si>
    <t>Goal Capital Plus B $</t>
  </si>
  <si>
    <t>Optimun Renta Fija Arg. $</t>
  </si>
  <si>
    <t>Schroder Infraestructura - Clase B</t>
  </si>
  <si>
    <t>Industrials</t>
  </si>
  <si>
    <t>YPF S.A. - OYPF36</t>
  </si>
  <si>
    <t>Pan American Energy VII</t>
  </si>
  <si>
    <t>Pan American Energy VIII</t>
  </si>
  <si>
    <t>Schroder Desarrollo y Crecimiento Clase B</t>
  </si>
  <si>
    <t>TOTAL</t>
  </si>
  <si>
    <t>PSA 2020 TM20+275 - PSSRO</t>
  </si>
  <si>
    <t>ARPSAF560083</t>
  </si>
  <si>
    <t>TM20</t>
  </si>
  <si>
    <t>PSA 2020 TM20+275 - PSSRO.xlsm</t>
  </si>
  <si>
    <t>TM+2,75%</t>
  </si>
  <si>
    <t>TM+4.2%</t>
  </si>
  <si>
    <t>Banco Hipotecario 2020 Badlar + 360 - BH49O</t>
  </si>
  <si>
    <t>ARBHIP5600W7</t>
  </si>
  <si>
    <t>B+3,60%</t>
  </si>
  <si>
    <t>Banco Hipotecario 2020 Badlar + 360.xlsm</t>
  </si>
  <si>
    <t>ICBC UVA  2020.xlsm</t>
  </si>
  <si>
    <t>ICBC UVA  2020 - NDC7O</t>
  </si>
  <si>
    <t>ARBBOS560053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</si>
</sst>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8">
    <numFmt numFmtId="43" formatCode="_ * #,##0.00_ ;_ * \-#,##0.00_ ;_ * &quot;-&quot;??_ ;_ @_ "/>
    <numFmt numFmtId="164" formatCode="_-* #,##0.00\ _€_-;\-* #,##0.00\ _€_-;_-* &quot;-&quot;??\ _€_-;_-@_-"/>
    <numFmt numFmtId="165" formatCode="#,##0.0000"/>
    <numFmt numFmtId="166" formatCode="#,##0.00_ ;\-#,##0.00\ "/>
    <numFmt numFmtId="167" formatCode="_(* #,##0.00_);_(* \(#,##0.00\);_(* &quot;-&quot;??_);_(@_)"/>
    <numFmt numFmtId="168" formatCode="#,##0_ ;\-#,##0\ "/>
    <numFmt numFmtId="169" formatCode="0.000000"/>
    <numFmt numFmtId="170" formatCode="_-* #,##0\ _€_-;\-* #,##0\ _€_-;_-* &quot;-&quot;??\ _€_-;_-@_-"/>
    <numFmt numFmtId="171" formatCode="0.000"/>
    <numFmt numFmtId="172" formatCode="_(&quot;$&quot;* #,##0.00_);_(&quot;$&quot;* \(#,##0.00\);_(&quot;$&quot;* &quot;-&quot;??_);_(@_)"/>
    <numFmt numFmtId="173" formatCode="dd\ mmmyy"/>
    <numFmt numFmtId="174" formatCode="dd\ mmmyy\ hh:mm"/>
    <numFmt numFmtId="175" formatCode="#.##000"/>
    <numFmt numFmtId="176" formatCode="\$#,#00"/>
    <numFmt numFmtId="177" formatCode="\$#,##0\ ;\(\$#,##0\)"/>
    <numFmt numFmtId="178" formatCode="_ [$€-2]\ * #,##0.00_ ;_ [$€-2]\ * \-#,##0.00_ ;_ [$€-2]\ * &quot;-&quot;??_ "/>
    <numFmt numFmtId="179" formatCode="#,#00"/>
    <numFmt numFmtId="180" formatCode="\$#,"/>
    <numFmt numFmtId="181" formatCode="General_)"/>
    <numFmt numFmtId="182" formatCode="#.##0,"/>
    <numFmt numFmtId="183" formatCode="dd/mm/yyyy;@"/>
    <numFmt numFmtId="184" formatCode="#,##0.000000000000"/>
    <numFmt numFmtId="185" formatCode="#,##0.000000"/>
    <numFmt numFmtId="186" formatCode="#,##0.0"/>
    <numFmt numFmtId="187" formatCode="0.0000%"/>
    <numFmt numFmtId="188" formatCode="0.00000"/>
    <numFmt numFmtId="189" formatCode="#,##0.000000000000000"/>
    <numFmt numFmtId="192" formatCode="_-* #,##0.00\ [$€-1]_-;\-* #,##0.00\ [$€-1]_-;_-* &quot;-&quot;??\ [$€-1]_-"/>
  </numFmts>
  <fonts count="5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Calibri"/>
      <family val="2"/>
    </font>
    <font>
      <sz val="10"/>
      <name val="Calibri"/>
      <family val="2"/>
      <scheme val="minor"/>
    </font>
    <font>
      <b/>
      <sz val="10"/>
      <name val="Calibri"/>
      <family val="2"/>
    </font>
    <font>
      <b/>
      <sz val="10"/>
      <name val="Calibri"/>
      <family val="2"/>
      <scheme val="minor"/>
    </font>
    <font>
      <sz val="10"/>
      <name val="Arial"/>
      <family val="2"/>
    </font>
    <font>
      <sz val="9"/>
      <name val="Tahoma"/>
      <family val="2"/>
    </font>
    <font>
      <b/>
      <sz val="9"/>
      <color indexed="12"/>
      <name val="Tahoma"/>
      <family val="2"/>
    </font>
    <font>
      <b/>
      <sz val="9"/>
      <color indexed="20"/>
      <name val="Tahoma"/>
      <family val="2"/>
    </font>
    <font>
      <b/>
      <sz val="9"/>
      <color indexed="63"/>
      <name val="Tahoma"/>
      <family val="2"/>
    </font>
    <font>
      <b/>
      <sz val="12"/>
      <color indexed="20"/>
      <name val="Tahoma"/>
      <family val="2"/>
    </font>
    <font>
      <b/>
      <sz val="9"/>
      <name val="Tahoma"/>
      <family val="2"/>
    </font>
    <font>
      <b/>
      <sz val="12"/>
      <color indexed="61"/>
      <name val="Tahoma"/>
      <family val="2"/>
    </font>
    <font>
      <b/>
      <sz val="9"/>
      <color indexed="42"/>
      <name val="Tahoma"/>
      <family val="2"/>
    </font>
    <font>
      <b/>
      <sz val="8"/>
      <color indexed="9"/>
      <name val="Arial"/>
      <family val="2"/>
    </font>
    <font>
      <sz val="11"/>
      <color indexed="8"/>
      <name val="Calibri"/>
      <family val="2"/>
    </font>
    <font>
      <sz val="10"/>
      <name val="MS Sans Serif"/>
      <family val="2"/>
    </font>
    <font>
      <sz val="1"/>
      <color indexed="8"/>
      <name val="Courier"/>
      <family val="3"/>
    </font>
    <font>
      <sz val="10"/>
      <color indexed="22"/>
      <name val="MS Sans Serif"/>
      <family val="2"/>
    </font>
    <font>
      <b/>
      <sz val="1"/>
      <color indexed="8"/>
      <name val="Courier"/>
      <family val="3"/>
    </font>
    <font>
      <sz val="22"/>
      <name val="UBSHeadline"/>
      <family val="1"/>
    </font>
    <font>
      <sz val="10"/>
      <name val="Frutiger 45 Light"/>
      <family val="2"/>
    </font>
    <font>
      <sz val="11"/>
      <color indexed="8"/>
      <name val="Times New Roman"/>
      <family val="2"/>
    </font>
    <font>
      <sz val="10"/>
      <color indexed="8"/>
      <name val="Arial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10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8"/>
      <color indexed="22"/>
      <name val="Arial"/>
      <family val="2"/>
    </font>
    <font>
      <b/>
      <sz val="12"/>
      <color indexed="22"/>
      <name val="Arial"/>
      <family val="2"/>
    </font>
    <font>
      <b/>
      <sz val="11"/>
      <color indexed="62"/>
      <name val="Calibri"/>
      <family val="2"/>
    </font>
    <font>
      <sz val="11"/>
      <color indexed="1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u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name val="Calibri"/>
      <family val="2"/>
    </font>
    <font>
      <sz val="10"/>
      <name val="Arial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60"/>
      <name val="Calibri"/>
      <family val="2"/>
    </font>
    <font>
      <b/>
      <sz val="11"/>
      <color indexed="8"/>
      <name val="Calibri"/>
      <family val="2"/>
    </font>
    <font>
      <b/>
      <sz val="15"/>
      <color indexed="57"/>
      <name val="Calibri"/>
      <family val="2"/>
    </font>
    <font>
      <b/>
      <sz val="13"/>
      <color indexed="57"/>
      <name val="Calibri"/>
      <family val="2"/>
    </font>
    <font>
      <b/>
      <sz val="11"/>
      <color indexed="57"/>
      <name val="Calibri"/>
      <family val="2"/>
    </font>
    <font>
      <b/>
      <sz val="18"/>
      <color indexed="57"/>
      <name val="Cambria"/>
      <family val="2"/>
    </font>
  </fonts>
  <fills count="33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57"/>
      </patternFill>
    </fill>
    <fill>
      <patternFill patternType="solid">
        <fgColor indexed="22"/>
      </patternFill>
    </fill>
  </fills>
  <borders count="17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indexed="63"/>
      </right>
      <top style="thin">
        <color indexed="63"/>
      </top>
      <bottom/>
      <diagonal/>
    </border>
    <border>
      <left style="thin">
        <color indexed="20"/>
      </left>
      <right style="thin">
        <color indexed="20"/>
      </right>
      <top style="thin">
        <color indexed="20"/>
      </top>
      <bottom style="thin">
        <color indexed="2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57"/>
      </bottom>
      <diagonal/>
    </border>
    <border>
      <left/>
      <right/>
      <top style="thin">
        <color indexed="57"/>
      </top>
      <bottom style="double">
        <color indexed="57"/>
      </bottom>
      <diagonal/>
    </border>
  </borders>
  <cellStyleXfs count="216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1" fillId="0" borderId="0"/>
    <xf numFmtId="0" fontId="11" fillId="7" borderId="0"/>
    <xf numFmtId="0" fontId="17" fillId="8" borderId="0">
      <alignment vertical="center"/>
    </xf>
    <xf numFmtId="0" fontId="12" fillId="9" borderId="0"/>
    <xf numFmtId="0" fontId="12" fillId="9" borderId="0"/>
    <xf numFmtId="39" fontId="13" fillId="10" borderId="4">
      <protection locked="0"/>
    </xf>
    <xf numFmtId="0" fontId="16" fillId="9" borderId="5">
      <alignment horizontal="left"/>
    </xf>
    <xf numFmtId="173" fontId="11" fillId="0" borderId="0" applyFont="0" applyFill="0" applyBorder="0" applyAlignment="0" applyProtection="0"/>
    <xf numFmtId="174" fontId="16" fillId="9" borderId="0" applyFont="0" applyFill="0" applyBorder="0" applyAlignment="0" applyProtection="0">
      <alignment vertical="center"/>
    </xf>
    <xf numFmtId="0" fontId="18" fillId="11" borderId="0"/>
    <xf numFmtId="0" fontId="13" fillId="10" borderId="6">
      <protection locked="0"/>
    </xf>
    <xf numFmtId="0" fontId="14" fillId="7" borderId="0"/>
    <xf numFmtId="0" fontId="15" fillId="12" borderId="6">
      <protection locked="0"/>
    </xf>
    <xf numFmtId="0" fontId="14" fillId="7" borderId="0"/>
    <xf numFmtId="0" fontId="16" fillId="7" borderId="0"/>
    <xf numFmtId="0" fontId="16" fillId="9" borderId="0"/>
    <xf numFmtId="0" fontId="12" fillId="13" borderId="0"/>
    <xf numFmtId="0" fontId="16" fillId="9" borderId="0"/>
    <xf numFmtId="0" fontId="11" fillId="9" borderId="0"/>
    <xf numFmtId="0" fontId="16" fillId="9" borderId="0"/>
    <xf numFmtId="0" fontId="19" fillId="11" borderId="0" applyBorder="0"/>
    <xf numFmtId="0" fontId="10" fillId="0" borderId="0"/>
    <xf numFmtId="0" fontId="10" fillId="0" borderId="0"/>
    <xf numFmtId="0" fontId="22" fillId="0" borderId="0">
      <protection locked="0"/>
    </xf>
    <xf numFmtId="0" fontId="22" fillId="0" borderId="0">
      <protection locked="0"/>
    </xf>
    <xf numFmtId="0" fontId="21" fillId="0" borderId="0"/>
    <xf numFmtId="3" fontId="23" fillId="0" borderId="0" applyFont="0" applyFill="0" applyBorder="0" applyAlignment="0" applyProtection="0"/>
    <xf numFmtId="177" fontId="23" fillId="0" borderId="0" applyFont="0" applyFill="0" applyBorder="0" applyAlignment="0" applyProtection="0"/>
    <xf numFmtId="0" fontId="10" fillId="0" borderId="0" applyNumberFormat="0" applyFill="0" applyBorder="0" applyAlignment="0" applyProtection="0"/>
    <xf numFmtId="178" fontId="21" fillId="0" borderId="0" applyFont="0" applyFill="0" applyBorder="0" applyAlignment="0" applyProtection="0"/>
    <xf numFmtId="0" fontId="22" fillId="0" borderId="0">
      <protection locked="0"/>
    </xf>
    <xf numFmtId="0" fontId="22" fillId="0" borderId="0">
      <protection locked="0"/>
    </xf>
    <xf numFmtId="0" fontId="22" fillId="0" borderId="0">
      <protection locked="0"/>
    </xf>
    <xf numFmtId="0" fontId="22" fillId="0" borderId="0">
      <protection locked="0"/>
    </xf>
    <xf numFmtId="0" fontId="22" fillId="0" borderId="0">
      <protection locked="0"/>
    </xf>
    <xf numFmtId="0" fontId="22" fillId="0" borderId="0">
      <protection locked="0"/>
    </xf>
    <xf numFmtId="0" fontId="22" fillId="0" borderId="0">
      <protection locked="0"/>
    </xf>
    <xf numFmtId="0" fontId="21" fillId="0" borderId="0"/>
    <xf numFmtId="0" fontId="22" fillId="0" borderId="0">
      <protection locked="0"/>
    </xf>
    <xf numFmtId="179" fontId="22" fillId="0" borderId="0">
      <protection locked="0"/>
    </xf>
    <xf numFmtId="179" fontId="22" fillId="0" borderId="0">
      <protection locked="0"/>
    </xf>
    <xf numFmtId="0" fontId="24" fillId="0" borderId="0">
      <protection locked="0"/>
    </xf>
    <xf numFmtId="0" fontId="24" fillId="0" borderId="0">
      <protection locked="0"/>
    </xf>
    <xf numFmtId="15" fontId="10" fillId="0" borderId="0"/>
    <xf numFmtId="176" fontId="22" fillId="0" borderId="0">
      <protection locked="0"/>
    </xf>
    <xf numFmtId="180" fontId="22" fillId="0" borderId="0">
      <protection locked="0"/>
    </xf>
    <xf numFmtId="181" fontId="25" fillId="0" borderId="2">
      <alignment vertical="center"/>
    </xf>
    <xf numFmtId="9" fontId="10" fillId="0" borderId="0" applyFont="0" applyFill="0" applyBorder="0" applyAlignment="0" applyProtection="0"/>
    <xf numFmtId="175" fontId="22" fillId="0" borderId="0">
      <protection locked="0"/>
    </xf>
    <xf numFmtId="182" fontId="22" fillId="0" borderId="0">
      <protection locked="0"/>
    </xf>
    <xf numFmtId="49" fontId="26" fillId="0" borderId="2">
      <alignment vertical="center"/>
    </xf>
    <xf numFmtId="0" fontId="21" fillId="0" borderId="0"/>
    <xf numFmtId="9" fontId="20" fillId="0" borderId="0" applyFont="0" applyFill="0" applyBorder="0" applyAlignment="0" applyProtection="0"/>
    <xf numFmtId="0" fontId="27" fillId="0" borderId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0" fillId="0" borderId="0">
      <alignment vertical="top"/>
    </xf>
    <xf numFmtId="0" fontId="10" fillId="0" borderId="0"/>
    <xf numFmtId="0" fontId="28" fillId="0" borderId="0">
      <alignment vertical="top"/>
    </xf>
    <xf numFmtId="0" fontId="10" fillId="0" borderId="0">
      <alignment vertical="top"/>
    </xf>
    <xf numFmtId="0" fontId="28" fillId="0" borderId="0">
      <alignment vertical="top"/>
    </xf>
    <xf numFmtId="0" fontId="10" fillId="0" borderId="0" applyNumberFormat="0" applyFill="0" applyBorder="0" applyAlignment="0" applyProtection="0"/>
    <xf numFmtId="172" fontId="10" fillId="0" borderId="0" applyFont="0" applyFill="0" applyBorder="0" applyAlignment="0" applyProtection="0"/>
    <xf numFmtId="0" fontId="10" fillId="0" borderId="0">
      <alignment vertical="top"/>
    </xf>
    <xf numFmtId="0" fontId="10" fillId="0" borderId="0"/>
    <xf numFmtId="0" fontId="10" fillId="0" borderId="0">
      <alignment vertical="top"/>
    </xf>
    <xf numFmtId="0" fontId="10" fillId="0" borderId="0">
      <alignment vertical="top"/>
    </xf>
    <xf numFmtId="9" fontId="10" fillId="0" borderId="0" applyFont="0" applyFill="0" applyBorder="0" applyAlignment="0" applyProtection="0"/>
    <xf numFmtId="172" fontId="1" fillId="0" borderId="0" applyFont="0" applyFill="0" applyBorder="0" applyAlignment="0" applyProtection="0"/>
    <xf numFmtId="39" fontId="13" fillId="10" borderId="4">
      <protection locked="0"/>
    </xf>
    <xf numFmtId="0" fontId="16" fillId="9" borderId="5">
      <alignment horizontal="left"/>
    </xf>
    <xf numFmtId="0" fontId="13" fillId="10" borderId="6">
      <protection locked="0"/>
    </xf>
    <xf numFmtId="167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>
      <alignment vertical="top"/>
    </xf>
    <xf numFmtId="167" fontId="1" fillId="0" borderId="0" applyFont="0" applyFill="0" applyBorder="0" applyAlignment="0" applyProtection="0"/>
    <xf numFmtId="167" fontId="10" fillId="0" borderId="0" applyFont="0" applyFill="0" applyBorder="0" applyAlignment="0" applyProtection="0"/>
    <xf numFmtId="0" fontId="10" fillId="0" borderId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20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20" fillId="16" borderId="0" applyNumberFormat="0" applyBorder="0" applyAlignment="0" applyProtection="0"/>
    <xf numFmtId="0" fontId="20" fillId="18" borderId="0" applyNumberFormat="0" applyBorder="0" applyAlignment="0" applyProtection="0"/>
    <xf numFmtId="0" fontId="20" fillId="15" borderId="0" applyNumberFormat="0" applyBorder="0" applyAlignment="0" applyProtection="0"/>
    <xf numFmtId="0" fontId="20" fillId="19" borderId="0" applyNumberFormat="0" applyBorder="0" applyAlignment="0" applyProtection="0"/>
    <xf numFmtId="0" fontId="20" fillId="20" borderId="0" applyNumberFormat="0" applyBorder="0" applyAlignment="0" applyProtection="0"/>
    <xf numFmtId="0" fontId="20" fillId="18" borderId="0" applyNumberFormat="0" applyBorder="0" applyAlignment="0" applyProtection="0"/>
    <xf numFmtId="0" fontId="20" fillId="16" borderId="0" applyNumberFormat="0" applyBorder="0" applyAlignment="0" applyProtection="0"/>
    <xf numFmtId="0" fontId="29" fillId="18" borderId="0" applyNumberFormat="0" applyBorder="0" applyAlignment="0" applyProtection="0"/>
    <xf numFmtId="0" fontId="29" fillId="21" borderId="0" applyNumberFormat="0" applyBorder="0" applyAlignment="0" applyProtection="0"/>
    <xf numFmtId="0" fontId="29" fillId="22" borderId="0" applyNumberFormat="0" applyBorder="0" applyAlignment="0" applyProtection="0"/>
    <xf numFmtId="0" fontId="29" fillId="20" borderId="0" applyNumberFormat="0" applyBorder="0" applyAlignment="0" applyProtection="0"/>
    <xf numFmtId="0" fontId="29" fillId="18" borderId="0" applyNumberFormat="0" applyBorder="0" applyAlignment="0" applyProtection="0"/>
    <xf numFmtId="0" fontId="29" fillId="15" borderId="0" applyNumberFormat="0" applyBorder="0" applyAlignment="0" applyProtection="0"/>
    <xf numFmtId="0" fontId="29" fillId="23" borderId="0" applyNumberFormat="0" applyBorder="0" applyAlignment="0" applyProtection="0"/>
    <xf numFmtId="0" fontId="29" fillId="21" borderId="0" applyNumberFormat="0" applyBorder="0" applyAlignment="0" applyProtection="0"/>
    <xf numFmtId="0" fontId="29" fillId="22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29" fillId="26" borderId="0" applyNumberFormat="0" applyBorder="0" applyAlignment="0" applyProtection="0"/>
    <xf numFmtId="0" fontId="30" fillId="27" borderId="0" applyNumberFormat="0" applyBorder="0" applyAlignment="0" applyProtection="0"/>
    <xf numFmtId="0" fontId="31" fillId="28" borderId="7" applyNumberFormat="0" applyAlignment="0" applyProtection="0"/>
    <xf numFmtId="0" fontId="32" fillId="29" borderId="8" applyNumberFormat="0" applyAlignment="0" applyProtection="0"/>
    <xf numFmtId="0" fontId="33" fillId="0" borderId="0" applyNumberFormat="0" applyFill="0" applyBorder="0" applyAlignment="0" applyProtection="0"/>
    <xf numFmtId="0" fontId="34" fillId="18" borderId="0" applyNumberFormat="0" applyBorder="0" applyAlignment="0" applyProtection="0"/>
    <xf numFmtId="0" fontId="35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9" applyNumberFormat="0" applyFill="0" applyAlignment="0" applyProtection="0"/>
    <xf numFmtId="0" fontId="37" fillId="0" borderId="0" applyNumberFormat="0" applyFill="0" applyBorder="0" applyAlignment="0" applyProtection="0"/>
    <xf numFmtId="0" fontId="38" fillId="0" borderId="10" applyNumberFormat="0" applyFill="0" applyAlignment="0" applyProtection="0"/>
    <xf numFmtId="0" fontId="10" fillId="16" borderId="11" applyNumberFormat="0" applyFont="0" applyAlignment="0" applyProtection="0"/>
    <xf numFmtId="0" fontId="39" fillId="28" borderId="4" applyNumberFormat="0" applyAlignment="0" applyProtection="0"/>
    <xf numFmtId="0" fontId="40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28" fillId="0" borderId="0">
      <alignment vertical="top"/>
    </xf>
    <xf numFmtId="167" fontId="1" fillId="0" borderId="0" applyFont="0" applyFill="0" applyBorder="0" applyAlignment="0" applyProtection="0"/>
    <xf numFmtId="0" fontId="45" fillId="0" borderId="0"/>
    <xf numFmtId="0" fontId="20" fillId="28" borderId="0" applyNumberFormat="0" applyBorder="0" applyAlignment="0" applyProtection="0"/>
    <xf numFmtId="0" fontId="20" fillId="14" borderId="0" applyNumberFormat="0" applyBorder="0" applyAlignment="0" applyProtection="0"/>
    <xf numFmtId="0" fontId="20" fillId="28" borderId="0" applyNumberFormat="0" applyBorder="0" applyAlignment="0" applyProtection="0"/>
    <xf numFmtId="0" fontId="20" fillId="15" borderId="0" applyNumberFormat="0" applyBorder="0" applyAlignment="0" applyProtection="0"/>
    <xf numFmtId="0" fontId="20" fillId="28" borderId="0" applyNumberFormat="0" applyBorder="0" applyAlignment="0" applyProtection="0"/>
    <xf numFmtId="0" fontId="20" fillId="16" borderId="0" applyNumberFormat="0" applyBorder="0" applyAlignment="0" applyProtection="0"/>
    <xf numFmtId="0" fontId="20" fillId="28" borderId="0" applyNumberFormat="0" applyBorder="0" applyAlignment="0" applyProtection="0"/>
    <xf numFmtId="0" fontId="20" fillId="17" borderId="0" applyNumberFormat="0" applyBorder="0" applyAlignment="0" applyProtection="0"/>
    <xf numFmtId="0" fontId="20" fillId="16" borderId="0" applyNumberFormat="0" applyBorder="0" applyAlignment="0" applyProtection="0"/>
    <xf numFmtId="0" fontId="20" fillId="18" borderId="0" applyNumberFormat="0" applyBorder="0" applyAlignment="0" applyProtection="0"/>
    <xf numFmtId="0" fontId="20" fillId="28" borderId="0" applyNumberFormat="0" applyBorder="0" applyAlignment="0" applyProtection="0"/>
    <xf numFmtId="0" fontId="20" fillId="16" borderId="0" applyNumberFormat="0" applyBorder="0" applyAlignment="0" applyProtection="0"/>
    <xf numFmtId="0" fontId="20" fillId="25" borderId="0" applyNumberFormat="0" applyBorder="0" applyAlignment="0" applyProtection="0"/>
    <xf numFmtId="0" fontId="20" fillId="18" borderId="0" applyNumberFormat="0" applyBorder="0" applyAlignment="0" applyProtection="0"/>
    <xf numFmtId="0" fontId="20" fillId="30" borderId="0" applyNumberFormat="0" applyBorder="0" applyAlignment="0" applyProtection="0"/>
    <xf numFmtId="0" fontId="20" fillId="15" borderId="0" applyNumberFormat="0" applyBorder="0" applyAlignment="0" applyProtection="0"/>
    <xf numFmtId="0" fontId="20" fillId="28" borderId="0" applyNumberFormat="0" applyBorder="0" applyAlignment="0" applyProtection="0"/>
    <xf numFmtId="0" fontId="20" fillId="19" borderId="0" applyNumberFormat="0" applyBorder="0" applyAlignment="0" applyProtection="0"/>
    <xf numFmtId="0" fontId="20" fillId="28" borderId="0" applyNumberFormat="0" applyBorder="0" applyAlignment="0" applyProtection="0"/>
    <xf numFmtId="0" fontId="20" fillId="20" borderId="0" applyNumberFormat="0" applyBorder="0" applyAlignment="0" applyProtection="0"/>
    <xf numFmtId="0" fontId="20" fillId="16" borderId="0" applyNumberFormat="0" applyBorder="0" applyAlignment="0" applyProtection="0"/>
    <xf numFmtId="0" fontId="20" fillId="18" borderId="0" applyNumberFormat="0" applyBorder="0" applyAlignment="0" applyProtection="0"/>
    <xf numFmtId="0" fontId="20" fillId="17" borderId="0" applyNumberFormat="0" applyBorder="0" applyAlignment="0" applyProtection="0"/>
    <xf numFmtId="0" fontId="20" fillId="16" borderId="0" applyNumberFormat="0" applyBorder="0" applyAlignment="0" applyProtection="0"/>
    <xf numFmtId="0" fontId="29" fillId="31" borderId="0" applyNumberFormat="0" applyBorder="0" applyAlignment="0" applyProtection="0"/>
    <xf numFmtId="0" fontId="29" fillId="18" borderId="0" applyNumberFormat="0" applyBorder="0" applyAlignment="0" applyProtection="0"/>
    <xf numFmtId="0" fontId="29" fillId="30" borderId="0" applyNumberFormat="0" applyBorder="0" applyAlignment="0" applyProtection="0"/>
    <xf numFmtId="0" fontId="29" fillId="21" borderId="0" applyNumberFormat="0" applyBorder="0" applyAlignment="0" applyProtection="0"/>
    <xf numFmtId="0" fontId="29" fillId="32" borderId="0" applyNumberFormat="0" applyBorder="0" applyAlignment="0" applyProtection="0"/>
    <xf numFmtId="0" fontId="29" fillId="22" borderId="0" applyNumberFormat="0" applyBorder="0" applyAlignment="0" applyProtection="0"/>
    <xf numFmtId="0" fontId="29" fillId="32" borderId="0" applyNumberFormat="0" applyBorder="0" applyAlignment="0" applyProtection="0"/>
    <xf numFmtId="0" fontId="29" fillId="20" borderId="0" applyNumberFormat="0" applyBorder="0" applyAlignment="0" applyProtection="0"/>
    <xf numFmtId="0" fontId="29" fillId="19" borderId="0" applyNumberFormat="0" applyBorder="0" applyAlignment="0" applyProtection="0"/>
    <xf numFmtId="0" fontId="29" fillId="18" borderId="0" applyNumberFormat="0" applyBorder="0" applyAlignment="0" applyProtection="0"/>
    <xf numFmtId="0" fontId="29" fillId="31" borderId="0" applyNumberFormat="0" applyBorder="0" applyAlignment="0" applyProtection="0"/>
    <xf numFmtId="0" fontId="29" fillId="23" borderId="0" applyNumberFormat="0" applyBorder="0" applyAlignment="0" applyProtection="0"/>
    <xf numFmtId="0" fontId="29" fillId="31" borderId="0" applyNumberFormat="0" applyBorder="0" applyAlignment="0" applyProtection="0"/>
    <xf numFmtId="0" fontId="29" fillId="21" borderId="0" applyNumberFormat="0" applyBorder="0" applyAlignment="0" applyProtection="0"/>
    <xf numFmtId="0" fontId="29" fillId="32" borderId="0" applyNumberFormat="0" applyBorder="0" applyAlignment="0" applyProtection="0"/>
    <xf numFmtId="0" fontId="29" fillId="22" borderId="0" applyNumberFormat="0" applyBorder="0" applyAlignment="0" applyProtection="0"/>
    <xf numFmtId="0" fontId="29" fillId="19" borderId="0" applyNumberFormat="0" applyBorder="0" applyAlignment="0" applyProtection="0"/>
    <xf numFmtId="0" fontId="29" fillId="24" borderId="0" applyNumberFormat="0" applyBorder="0" applyAlignment="0" applyProtection="0"/>
    <xf numFmtId="0" fontId="29" fillId="19" borderId="0" applyNumberFormat="0" applyBorder="0" applyAlignment="0" applyProtection="0"/>
    <xf numFmtId="0" fontId="29" fillId="25" borderId="0" applyNumberFormat="0" applyBorder="0" applyAlignment="0" applyProtection="0"/>
    <xf numFmtId="0" fontId="29" fillId="15" borderId="0" applyNumberFormat="0" applyBorder="0" applyAlignment="0" applyProtection="0"/>
    <xf numFmtId="0" fontId="29" fillId="26" borderId="0" applyNumberFormat="0" applyBorder="0" applyAlignment="0" applyProtection="0"/>
    <xf numFmtId="0" fontId="10" fillId="0" borderId="0" applyNumberFormat="0" applyFill="0" applyBorder="0" applyAlignment="0" applyProtection="0"/>
    <xf numFmtId="0" fontId="30" fillId="20" borderId="0" applyNumberFormat="0" applyBorder="0" applyAlignment="0" applyProtection="0"/>
    <xf numFmtId="0" fontId="30" fillId="27" borderId="0" applyNumberFormat="0" applyBorder="0" applyAlignment="0" applyProtection="0"/>
    <xf numFmtId="0" fontId="46" fillId="32" borderId="7" applyNumberFormat="0" applyAlignment="0" applyProtection="0"/>
    <xf numFmtId="0" fontId="31" fillId="28" borderId="7" applyNumberFormat="0" applyAlignment="0" applyProtection="0"/>
    <xf numFmtId="0" fontId="21" fillId="0" borderId="0"/>
    <xf numFmtId="192" fontId="10" fillId="0" borderId="0" applyFont="0" applyFill="0" applyBorder="0" applyAlignment="0" applyProtection="0"/>
    <xf numFmtId="178" fontId="21" fillId="0" borderId="0" applyFont="0" applyFill="0" applyBorder="0" applyAlignment="0" applyProtection="0"/>
    <xf numFmtId="0" fontId="34" fillId="30" borderId="0" applyNumberFormat="0" applyBorder="0" applyAlignment="0" applyProtection="0"/>
    <xf numFmtId="0" fontId="34" fillId="18" borderId="0" applyNumberFormat="0" applyBorder="0" applyAlignment="0" applyProtection="0"/>
    <xf numFmtId="0" fontId="51" fillId="0" borderId="13" applyNumberFormat="0" applyFill="0" applyAlignment="0" applyProtection="0"/>
    <xf numFmtId="0" fontId="35" fillId="0" borderId="0" applyNumberFormat="0" applyFill="0" applyBorder="0" applyAlignment="0" applyProtection="0"/>
    <xf numFmtId="0" fontId="52" fillId="0" borderId="14" applyNumberFormat="0" applyFill="0" applyAlignment="0" applyProtection="0"/>
    <xf numFmtId="0" fontId="36" fillId="0" borderId="0" applyNumberFormat="0" applyFill="0" applyBorder="0" applyAlignment="0" applyProtection="0"/>
    <xf numFmtId="0" fontId="53" fillId="0" borderId="15" applyNumberFormat="0" applyFill="0" applyAlignment="0" applyProtection="0"/>
    <xf numFmtId="0" fontId="37" fillId="0" borderId="9" applyNumberFormat="0" applyFill="0" applyAlignment="0" applyProtection="0"/>
    <xf numFmtId="0" fontId="53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48" fillId="17" borderId="7" applyNumberFormat="0" applyAlignment="0" applyProtection="0"/>
    <xf numFmtId="0" fontId="13" fillId="10" borderId="6">
      <protection locked="0"/>
    </xf>
    <xf numFmtId="0" fontId="47" fillId="0" borderId="12" applyNumberFormat="0" applyFill="0" applyAlignment="0" applyProtection="0"/>
    <xf numFmtId="0" fontId="38" fillId="0" borderId="10" applyNumberFormat="0" applyFill="0" applyAlignment="0" applyProtection="0"/>
    <xf numFmtId="43" fontId="45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49" fillId="19" borderId="0" applyNumberFormat="0" applyBorder="0" applyAlignment="0" applyProtection="0"/>
    <xf numFmtId="0" fontId="1" fillId="0" borderId="0"/>
    <xf numFmtId="0" fontId="11" fillId="0" borderId="0"/>
    <xf numFmtId="0" fontId="10" fillId="0" borderId="0"/>
    <xf numFmtId="0" fontId="39" fillId="32" borderId="4" applyNumberFormat="0" applyAlignment="0" applyProtection="0"/>
    <xf numFmtId="0" fontId="39" fillId="28" borderId="4" applyNumberFormat="0" applyAlignment="0" applyProtection="0"/>
    <xf numFmtId="9" fontId="45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50" fillId="0" borderId="16" applyNumberFormat="0" applyFill="0" applyAlignment="0" applyProtection="0"/>
    <xf numFmtId="0" fontId="48" fillId="17" borderId="7" applyNumberFormat="0" applyAlignment="0" applyProtection="0"/>
  </cellStyleXfs>
  <cellXfs count="193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3" fontId="2" fillId="2" borderId="1" xfId="0" applyNumberFormat="1" applyFont="1" applyFill="1" applyBorder="1" applyAlignment="1">
      <alignment horizontal="center" vertical="center" wrapText="1"/>
    </xf>
    <xf numFmtId="165" fontId="2" fillId="2" borderId="1" xfId="0" applyNumberFormat="1" applyFont="1" applyFill="1" applyBorder="1" applyAlignment="1">
      <alignment horizontal="center" vertical="center" wrapText="1"/>
    </xf>
    <xf numFmtId="10" fontId="2" fillId="2" borderId="1" xfId="2" applyNumberFormat="1" applyFont="1" applyFill="1" applyBorder="1" applyAlignment="1">
      <alignment horizontal="center" vertical="center" wrapText="1"/>
    </xf>
    <xf numFmtId="0" fontId="0" fillId="3" borderId="0" xfId="0" applyFont="1" applyFill="1" applyBorder="1"/>
    <xf numFmtId="0" fontId="0" fillId="0" borderId="0" xfId="0" applyFont="1"/>
    <xf numFmtId="0" fontId="0" fillId="4" borderId="0" xfId="0" applyFont="1" applyFill="1" applyBorder="1" applyAlignment="1">
      <alignment horizontal="left" vertical="center" wrapText="1"/>
    </xf>
    <xf numFmtId="0" fontId="3" fillId="4" borderId="0" xfId="0" applyFont="1" applyFill="1" applyBorder="1" applyAlignment="1">
      <alignment horizontal="center" vertical="center" wrapText="1"/>
    </xf>
    <xf numFmtId="3" fontId="3" fillId="4" borderId="0" xfId="0" applyNumberFormat="1" applyFont="1" applyFill="1" applyBorder="1" applyAlignment="1">
      <alignment horizontal="center" vertical="center" wrapText="1"/>
    </xf>
    <xf numFmtId="165" fontId="3" fillId="4" borderId="0" xfId="0" applyNumberFormat="1" applyFont="1" applyFill="1" applyBorder="1" applyAlignment="1">
      <alignment horizontal="center" vertical="center" wrapText="1"/>
    </xf>
    <xf numFmtId="10" fontId="3" fillId="4" borderId="0" xfId="2" applyNumberFormat="1" applyFont="1" applyFill="1" applyBorder="1" applyAlignment="1">
      <alignment horizontal="center" vertical="center" wrapText="1"/>
    </xf>
    <xf numFmtId="10" fontId="0" fillId="3" borderId="0" xfId="2" applyNumberFormat="1" applyFont="1" applyFill="1" applyAlignment="1">
      <alignment horizontal="center"/>
    </xf>
    <xf numFmtId="0" fontId="4" fillId="3" borderId="0" xfId="0" applyFont="1" applyFill="1" applyBorder="1" applyAlignment="1">
      <alignment horizontal="left" vertical="center" wrapText="1"/>
    </xf>
    <xf numFmtId="0" fontId="3" fillId="3" borderId="0" xfId="0" applyFont="1" applyFill="1" applyBorder="1" applyAlignment="1">
      <alignment horizontal="center" vertical="center" wrapText="1"/>
    </xf>
    <xf numFmtId="3" fontId="3" fillId="3" borderId="0" xfId="0" applyNumberFormat="1" applyFont="1" applyFill="1" applyBorder="1" applyAlignment="1">
      <alignment horizontal="center" vertical="center" wrapText="1"/>
    </xf>
    <xf numFmtId="165" fontId="3" fillId="3" borderId="0" xfId="0" applyNumberFormat="1" applyFont="1" applyFill="1" applyBorder="1" applyAlignment="1">
      <alignment horizontal="center" vertical="center" wrapText="1"/>
    </xf>
    <xf numFmtId="10" fontId="3" fillId="3" borderId="0" xfId="2" applyNumberFormat="1" applyFont="1" applyFill="1" applyBorder="1" applyAlignment="1">
      <alignment horizontal="center" vertical="center" wrapText="1"/>
    </xf>
    <xf numFmtId="10" fontId="0" fillId="3" borderId="0" xfId="3" applyNumberFormat="1" applyFont="1" applyFill="1" applyAlignment="1">
      <alignment horizontal="center"/>
    </xf>
    <xf numFmtId="14" fontId="0" fillId="3" borderId="0" xfId="0" applyNumberFormat="1" applyFont="1" applyFill="1" applyAlignment="1">
      <alignment horizontal="center"/>
    </xf>
    <xf numFmtId="0" fontId="0" fillId="3" borderId="0" xfId="0" applyFont="1" applyFill="1" applyAlignment="1">
      <alignment horizontal="center"/>
    </xf>
    <xf numFmtId="3" fontId="0" fillId="3" borderId="0" xfId="0" applyNumberFormat="1" applyFont="1" applyFill="1"/>
    <xf numFmtId="165" fontId="0" fillId="3" borderId="0" xfId="0" applyNumberFormat="1" applyFont="1" applyFill="1" applyAlignment="1">
      <alignment horizontal="center"/>
    </xf>
    <xf numFmtId="166" fontId="0" fillId="3" borderId="0" xfId="0" applyNumberFormat="1" applyFont="1" applyFill="1"/>
    <xf numFmtId="10" fontId="0" fillId="3" borderId="0" xfId="2" applyNumberFormat="1" applyFont="1" applyFill="1" applyAlignment="1">
      <alignment horizontal="center" vertical="center"/>
    </xf>
    <xf numFmtId="4" fontId="0" fillId="3" borderId="0" xfId="0" applyNumberFormat="1" applyFont="1" applyFill="1" applyAlignment="1">
      <alignment horizontal="center"/>
    </xf>
    <xf numFmtId="10" fontId="0" fillId="3" borderId="0" xfId="2" quotePrefix="1" applyNumberFormat="1" applyFont="1" applyFill="1" applyAlignment="1">
      <alignment horizontal="center"/>
    </xf>
    <xf numFmtId="4" fontId="0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0" fillId="0" borderId="0" xfId="0" applyFont="1" applyFill="1"/>
    <xf numFmtId="4" fontId="0" fillId="3" borderId="0" xfId="0" applyNumberFormat="1" applyFont="1" applyFill="1"/>
    <xf numFmtId="0" fontId="4" fillId="3" borderId="0" xfId="0" applyFont="1" applyFill="1" applyBorder="1"/>
    <xf numFmtId="0" fontId="0" fillId="4" borderId="0" xfId="0" applyFont="1" applyFill="1"/>
    <xf numFmtId="14" fontId="0" fillId="4" borderId="0" xfId="0" applyNumberFormat="1" applyFont="1" applyFill="1"/>
    <xf numFmtId="3" fontId="0" fillId="4" borderId="0" xfId="0" applyNumberFormat="1" applyFont="1" applyFill="1"/>
    <xf numFmtId="165" fontId="0" fillId="4" borderId="0" xfId="0" applyNumberFormat="1" applyFont="1" applyFill="1" applyAlignment="1">
      <alignment horizontal="center"/>
    </xf>
    <xf numFmtId="167" fontId="3" fillId="4" borderId="0" xfId="0" applyNumberFormat="1" applyFont="1" applyFill="1"/>
    <xf numFmtId="0" fontId="3" fillId="4" borderId="0" xfId="0" applyFont="1" applyFill="1" applyAlignment="1">
      <alignment horizontal="center"/>
    </xf>
    <xf numFmtId="4" fontId="3" fillId="4" borderId="0" xfId="0" applyNumberFormat="1" applyFont="1" applyFill="1" applyAlignment="1">
      <alignment horizontal="center" vertical="center"/>
    </xf>
    <xf numFmtId="10" fontId="3" fillId="4" borderId="0" xfId="2" applyNumberFormat="1" applyFont="1" applyFill="1" applyAlignment="1">
      <alignment horizontal="center"/>
    </xf>
    <xf numFmtId="14" fontId="0" fillId="3" borderId="0" xfId="0" applyNumberFormat="1" applyFont="1" applyFill="1"/>
    <xf numFmtId="167" fontId="3" fillId="3" borderId="0" xfId="0" applyNumberFormat="1" applyFont="1" applyFill="1"/>
    <xf numFmtId="0" fontId="3" fillId="3" borderId="0" xfId="0" applyFont="1" applyFill="1" applyAlignment="1">
      <alignment horizontal="center"/>
    </xf>
    <xf numFmtId="4" fontId="3" fillId="3" borderId="0" xfId="0" applyNumberFormat="1" applyFont="1" applyFill="1" applyAlignment="1">
      <alignment horizontal="center" vertical="center"/>
    </xf>
    <xf numFmtId="10" fontId="3" fillId="3" borderId="0" xfId="2" applyNumberFormat="1" applyFont="1" applyFill="1" applyAlignment="1">
      <alignment horizontal="center"/>
    </xf>
    <xf numFmtId="0" fontId="5" fillId="3" borderId="0" xfId="0" applyFont="1" applyFill="1" applyBorder="1"/>
    <xf numFmtId="0" fontId="0" fillId="4" borderId="0" xfId="0" applyFont="1" applyFill="1" applyBorder="1"/>
    <xf numFmtId="167" fontId="0" fillId="4" borderId="0" xfId="0" applyNumberFormat="1" applyFont="1" applyFill="1"/>
    <xf numFmtId="0" fontId="0" fillId="4" borderId="0" xfId="0" applyFont="1" applyFill="1" applyAlignment="1">
      <alignment horizontal="center"/>
    </xf>
    <xf numFmtId="4" fontId="0" fillId="4" borderId="0" xfId="0" applyNumberFormat="1" applyFont="1" applyFill="1" applyAlignment="1">
      <alignment horizontal="center" vertical="center"/>
    </xf>
    <xf numFmtId="10" fontId="0" fillId="4" borderId="0" xfId="2" applyNumberFormat="1" applyFont="1" applyFill="1" applyAlignment="1">
      <alignment horizontal="center"/>
    </xf>
    <xf numFmtId="10" fontId="0" fillId="3" borderId="0" xfId="0" applyNumberFormat="1" applyFont="1" applyFill="1" applyAlignment="1">
      <alignment horizontal="center"/>
    </xf>
    <xf numFmtId="166" fontId="0" fillId="4" borderId="0" xfId="0" applyNumberFormat="1" applyFont="1" applyFill="1"/>
    <xf numFmtId="10" fontId="0" fillId="4" borderId="0" xfId="2" applyNumberFormat="1" applyFont="1" applyFill="1"/>
    <xf numFmtId="0" fontId="4" fillId="3" borderId="0" xfId="0" applyFont="1" applyFill="1"/>
    <xf numFmtId="14" fontId="0" fillId="3" borderId="0" xfId="0" applyNumberFormat="1" applyFont="1" applyFill="1" applyAlignment="1">
      <alignment horizontal="right"/>
    </xf>
    <xf numFmtId="9" fontId="0" fillId="3" borderId="0" xfId="3" applyFont="1" applyFill="1" applyAlignment="1">
      <alignment horizontal="center"/>
    </xf>
    <xf numFmtId="10" fontId="3" fillId="3" borderId="0" xfId="0" applyNumberFormat="1" applyFont="1" applyFill="1" applyAlignment="1">
      <alignment horizontal="center"/>
    </xf>
    <xf numFmtId="0" fontId="2" fillId="2" borderId="0" xfId="0" applyFont="1" applyFill="1" applyBorder="1"/>
    <xf numFmtId="0" fontId="2" fillId="2" borderId="0" xfId="0" applyFont="1" applyFill="1"/>
    <xf numFmtId="0" fontId="2" fillId="2" borderId="0" xfId="0" applyFont="1" applyFill="1" applyAlignment="1">
      <alignment horizontal="center"/>
    </xf>
    <xf numFmtId="4" fontId="2" fillId="2" borderId="0" xfId="0" applyNumberFormat="1" applyFont="1" applyFill="1"/>
    <xf numFmtId="165" fontId="2" fillId="2" borderId="0" xfId="0" applyNumberFormat="1" applyFont="1" applyFill="1" applyAlignment="1">
      <alignment horizontal="center"/>
    </xf>
    <xf numFmtId="168" fontId="2" fillId="2" borderId="0" xfId="0" applyNumberFormat="1" applyFont="1" applyFill="1"/>
    <xf numFmtId="10" fontId="2" fillId="2" borderId="0" xfId="3" applyNumberFormat="1" applyFont="1" applyFill="1" applyAlignment="1">
      <alignment horizontal="center"/>
    </xf>
    <xf numFmtId="4" fontId="2" fillId="2" borderId="0" xfId="0" applyNumberFormat="1" applyFont="1" applyFill="1" applyAlignment="1">
      <alignment horizontal="center" vertical="center"/>
    </xf>
    <xf numFmtId="10" fontId="2" fillId="2" borderId="0" xfId="2" applyNumberFormat="1" applyFont="1" applyFill="1" applyAlignment="1">
      <alignment horizontal="center"/>
    </xf>
    <xf numFmtId="0" fontId="2" fillId="3" borderId="0" xfId="0" applyFont="1" applyFill="1"/>
    <xf numFmtId="4" fontId="0" fillId="3" borderId="0" xfId="0" applyNumberFormat="1" applyFont="1" applyFill="1" applyBorder="1"/>
    <xf numFmtId="0" fontId="0" fillId="3" borderId="0" xfId="0" applyFont="1" applyFill="1" applyAlignment="1">
      <alignment horizontal="center" vertical="center"/>
    </xf>
    <xf numFmtId="3" fontId="0" fillId="0" borderId="0" xfId="0" applyNumberFormat="1" applyFont="1"/>
    <xf numFmtId="165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center" vertical="center"/>
    </xf>
    <xf numFmtId="10" fontId="0" fillId="0" borderId="0" xfId="2" applyNumberFormat="1" applyFont="1" applyAlignment="1">
      <alignment horizontal="center"/>
    </xf>
    <xf numFmtId="164" fontId="0" fillId="0" borderId="0" xfId="1" applyFont="1" applyAlignment="1">
      <alignment horizontal="center"/>
    </xf>
    <xf numFmtId="14" fontId="0" fillId="3" borderId="0" xfId="0" applyNumberFormat="1" applyFont="1" applyFill="1" applyBorder="1"/>
    <xf numFmtId="4" fontId="0" fillId="3" borderId="0" xfId="2" applyNumberFormat="1" applyFont="1" applyFill="1" applyAlignment="1">
      <alignment horizontal="center"/>
    </xf>
    <xf numFmtId="4" fontId="0" fillId="0" borderId="0" xfId="2" applyNumberFormat="1" applyFont="1" applyAlignment="1">
      <alignment horizontal="center"/>
    </xf>
    <xf numFmtId="4" fontId="2" fillId="2" borderId="1" xfId="2" applyNumberFormat="1" applyFont="1" applyFill="1" applyBorder="1" applyAlignment="1">
      <alignment horizontal="center" vertical="center" wrapText="1"/>
    </xf>
    <xf numFmtId="4" fontId="2" fillId="3" borderId="0" xfId="2" applyNumberFormat="1" applyFont="1" applyFill="1" applyAlignment="1">
      <alignment horizontal="center"/>
    </xf>
    <xf numFmtId="3" fontId="0" fillId="3" borderId="0" xfId="3" applyNumberFormat="1" applyFont="1" applyFill="1" applyAlignment="1">
      <alignment horizontal="center"/>
    </xf>
    <xf numFmtId="14" fontId="0" fillId="0" borderId="0" xfId="0" applyNumberFormat="1"/>
    <xf numFmtId="0" fontId="5" fillId="0" borderId="0" xfId="0" applyFont="1" applyFill="1"/>
    <xf numFmtId="14" fontId="5" fillId="0" borderId="0" xfId="0" applyNumberFormat="1" applyFont="1" applyFill="1"/>
    <xf numFmtId="0" fontId="0" fillId="0" borderId="0" xfId="0"/>
    <xf numFmtId="169" fontId="0" fillId="0" borderId="0" xfId="0" applyNumberFormat="1" applyFill="1"/>
    <xf numFmtId="0" fontId="0" fillId="3" borderId="0" xfId="0" applyFont="1" applyFill="1"/>
    <xf numFmtId="3" fontId="0" fillId="5" borderId="0" xfId="0" applyNumberFormat="1" applyFont="1" applyFill="1"/>
    <xf numFmtId="4" fontId="0" fillId="5" borderId="0" xfId="0" applyNumberFormat="1" applyFont="1" applyFill="1"/>
    <xf numFmtId="170" fontId="0" fillId="0" borderId="0" xfId="1" applyNumberFormat="1" applyFont="1"/>
    <xf numFmtId="170" fontId="0" fillId="6" borderId="0" xfId="1" applyNumberFormat="1" applyFont="1" applyFill="1"/>
    <xf numFmtId="170" fontId="0" fillId="0" borderId="0" xfId="0" applyNumberFormat="1"/>
    <xf numFmtId="14" fontId="0" fillId="5" borderId="0" xfId="0" applyNumberFormat="1" applyFont="1" applyFill="1"/>
    <xf numFmtId="0" fontId="0" fillId="4" borderId="0" xfId="0" applyFill="1"/>
    <xf numFmtId="4" fontId="0" fillId="0" borderId="0" xfId="0" applyNumberFormat="1"/>
    <xf numFmtId="0" fontId="6" fillId="0" borderId="0" xfId="0" applyFont="1"/>
    <xf numFmtId="4" fontId="7" fillId="0" borderId="0" xfId="0" applyNumberFormat="1" applyFont="1"/>
    <xf numFmtId="0" fontId="0" fillId="0" borderId="0" xfId="0" applyAlignment="1">
      <alignment horizontal="center"/>
    </xf>
    <xf numFmtId="0" fontId="7" fillId="0" borderId="0" xfId="0" applyFont="1"/>
    <xf numFmtId="10" fontId="0" fillId="3" borderId="0" xfId="0" applyNumberFormat="1" applyFont="1" applyFill="1"/>
    <xf numFmtId="3" fontId="0" fillId="6" borderId="0" xfId="0" applyNumberFormat="1" applyFont="1" applyFill="1"/>
    <xf numFmtId="3" fontId="0" fillId="5" borderId="0" xfId="0" applyNumberFormat="1" applyFont="1" applyFill="1"/>
    <xf numFmtId="0" fontId="0" fillId="0" borderId="0" xfId="0"/>
    <xf numFmtId="10" fontId="0" fillId="0" borderId="0" xfId="3" applyNumberFormat="1" applyFont="1" applyFill="1" applyAlignment="1">
      <alignment horizontal="center"/>
    </xf>
    <xf numFmtId="0" fontId="0" fillId="0" borderId="0" xfId="0" applyFill="1"/>
    <xf numFmtId="14" fontId="0" fillId="0" borderId="0" xfId="0" applyNumberFormat="1" applyFill="1"/>
    <xf numFmtId="0" fontId="0" fillId="0" borderId="0" xfId="0" applyFill="1" applyAlignment="1">
      <alignment horizontal="center"/>
    </xf>
    <xf numFmtId="3" fontId="0" fillId="0" borderId="0" xfId="0" applyNumberFormat="1" applyFill="1"/>
    <xf numFmtId="10" fontId="0" fillId="0" borderId="0" xfId="3" applyNumberFormat="1" applyFont="1" applyFill="1"/>
    <xf numFmtId="4" fontId="0" fillId="0" borderId="0" xfId="0" applyNumberFormat="1" applyFill="1" applyAlignment="1">
      <alignment horizontal="center"/>
    </xf>
    <xf numFmtId="4" fontId="0" fillId="0" borderId="0" xfId="0" applyNumberFormat="1" applyFill="1"/>
    <xf numFmtId="0" fontId="0" fillId="0" borderId="0" xfId="0" applyFill="1" applyBorder="1"/>
    <xf numFmtId="165" fontId="0" fillId="0" borderId="0" xfId="0" applyNumberFormat="1" applyFill="1" applyAlignment="1">
      <alignment horizontal="center"/>
    </xf>
    <xf numFmtId="14" fontId="0" fillId="0" borderId="0" xfId="0" applyNumberFormat="1" applyFill="1" applyAlignment="1">
      <alignment horizontal="center"/>
    </xf>
    <xf numFmtId="4" fontId="0" fillId="0" borderId="0" xfId="0" applyNumberFormat="1" applyFill="1" applyBorder="1"/>
    <xf numFmtId="183" fontId="0" fillId="0" borderId="0" xfId="0" applyNumberFormat="1" applyFill="1" applyAlignment="1">
      <alignment horizontal="center"/>
    </xf>
    <xf numFmtId="0" fontId="42" fillId="0" borderId="0" xfId="0" applyFont="1" applyFill="1"/>
    <xf numFmtId="0" fontId="43" fillId="0" borderId="0" xfId="0" applyFont="1" applyFill="1"/>
    <xf numFmtId="0" fontId="41" fillId="0" borderId="0" xfId="0" applyFont="1" applyFill="1"/>
    <xf numFmtId="0" fontId="3" fillId="0" borderId="0" xfId="0" applyFont="1" applyFill="1" applyBorder="1" applyAlignment="1">
      <alignment horizontal="center"/>
    </xf>
    <xf numFmtId="3" fontId="3" fillId="0" borderId="0" xfId="0" applyNumberFormat="1" applyFont="1" applyFill="1" applyBorder="1" applyAlignment="1">
      <alignment horizontal="center"/>
    </xf>
    <xf numFmtId="165" fontId="3" fillId="0" borderId="0" xfId="0" applyNumberFormat="1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 vertical="center" wrapText="1"/>
    </xf>
    <xf numFmtId="165" fontId="3" fillId="0" borderId="1" xfId="0" applyNumberFormat="1" applyFont="1" applyFill="1" applyBorder="1" applyAlignment="1">
      <alignment horizontal="center" vertical="center" wrapText="1"/>
    </xf>
    <xf numFmtId="10" fontId="0" fillId="0" borderId="0" xfId="3" applyNumberFormat="1" applyFont="1" applyFill="1" applyAlignment="1">
      <alignment horizontal="right"/>
    </xf>
    <xf numFmtId="3" fontId="0" fillId="0" borderId="0" xfId="0" applyNumberFormat="1" applyFill="1" applyAlignment="1">
      <alignment horizontal="center"/>
    </xf>
    <xf numFmtId="0" fontId="0" fillId="0" borderId="0" xfId="0" applyFill="1" applyBorder="1" applyAlignment="1">
      <alignment horizontal="center"/>
    </xf>
    <xf numFmtId="165" fontId="0" fillId="0" borderId="0" xfId="0" applyNumberFormat="1" applyFill="1"/>
    <xf numFmtId="186" fontId="0" fillId="0" borderId="0" xfId="0" applyNumberFormat="1" applyFill="1"/>
    <xf numFmtId="184" fontId="0" fillId="0" borderId="0" xfId="0" applyNumberFormat="1" applyFill="1"/>
    <xf numFmtId="14" fontId="0" fillId="0" borderId="0" xfId="0" applyNumberFormat="1" applyFill="1" applyBorder="1"/>
    <xf numFmtId="188" fontId="0" fillId="0" borderId="0" xfId="0" applyNumberFormat="1" applyFill="1"/>
    <xf numFmtId="184" fontId="0" fillId="0" borderId="0" xfId="0" applyNumberFormat="1" applyFill="1" applyAlignment="1">
      <alignment horizontal="center"/>
    </xf>
    <xf numFmtId="171" fontId="0" fillId="0" borderId="0" xfId="0" applyNumberFormat="1" applyFill="1" applyAlignment="1">
      <alignment horizontal="center"/>
    </xf>
    <xf numFmtId="171" fontId="0" fillId="0" borderId="0" xfId="0" applyNumberFormat="1" applyFill="1"/>
    <xf numFmtId="0" fontId="44" fillId="0" borderId="0" xfId="0" applyFont="1" applyBorder="1"/>
    <xf numFmtId="189" fontId="3" fillId="0" borderId="0" xfId="0" applyNumberFormat="1" applyFont="1" applyFill="1" applyBorder="1" applyAlignment="1">
      <alignment horizontal="center"/>
    </xf>
    <xf numFmtId="16" fontId="0" fillId="0" borderId="0" xfId="0" applyNumberFormat="1" applyFill="1" applyAlignment="1">
      <alignment horizontal="center"/>
    </xf>
    <xf numFmtId="167" fontId="3" fillId="0" borderId="0" xfId="60" applyFont="1" applyFill="1" applyBorder="1" applyAlignment="1">
      <alignment horizontal="center"/>
    </xf>
    <xf numFmtId="167" fontId="3" fillId="0" borderId="0" xfId="0" applyNumberFormat="1" applyFont="1" applyFill="1" applyBorder="1" applyAlignment="1">
      <alignment horizontal="center"/>
    </xf>
    <xf numFmtId="2" fontId="0" fillId="0" borderId="0" xfId="3" applyNumberFormat="1" applyFont="1" applyFill="1"/>
    <xf numFmtId="0" fontId="44" fillId="0" borderId="0" xfId="0" applyFont="1" applyFill="1" applyBorder="1"/>
    <xf numFmtId="14" fontId="42" fillId="0" borderId="0" xfId="0" applyNumberFormat="1" applyFont="1" applyFill="1"/>
    <xf numFmtId="187" fontId="0" fillId="0" borderId="0" xfId="3" applyNumberFormat="1" applyFont="1" applyFill="1" applyAlignment="1">
      <alignment horizontal="center"/>
    </xf>
    <xf numFmtId="185" fontId="0" fillId="0" borderId="0" xfId="0" applyNumberFormat="1" applyFill="1" applyAlignment="1">
      <alignment horizontal="center"/>
    </xf>
    <xf numFmtId="3" fontId="0" fillId="6" borderId="0" xfId="0" applyNumberFormat="1" applyFill="1"/>
    <xf numFmtId="3" fontId="3" fillId="6" borderId="0" xfId="0" applyNumberFormat="1" applyFont="1" applyFill="1" applyBorder="1" applyAlignment="1">
      <alignment horizontal="center"/>
    </xf>
    <xf numFmtId="3" fontId="3" fillId="6" borderId="1" xfId="0" applyNumberFormat="1" applyFont="1" applyFill="1" applyBorder="1" applyAlignment="1">
      <alignment horizontal="center" vertical="center" wrapText="1"/>
    </xf>
    <xf numFmtId="3" fontId="5" fillId="6" borderId="0" xfId="0" applyNumberFormat="1" applyFont="1" applyFill="1"/>
    <xf numFmtId="4" fontId="0" fillId="6" borderId="0" xfId="0" applyNumberFormat="1" applyFill="1"/>
    <xf numFmtId="186" fontId="0" fillId="6" borderId="0" xfId="0" applyNumberFormat="1" applyFill="1" applyBorder="1" applyAlignment="1">
      <alignment horizontal="right"/>
    </xf>
    <xf numFmtId="4" fontId="0" fillId="6" borderId="0" xfId="0" applyNumberFormat="1" applyFill="1" applyBorder="1"/>
    <xf numFmtId="186" fontId="0" fillId="6" borderId="0" xfId="0" applyNumberFormat="1" applyFill="1" applyAlignment="1">
      <alignment horizontal="center"/>
    </xf>
    <xf numFmtId="167" fontId="0" fillId="6" borderId="0" xfId="61" applyFont="1" applyFill="1"/>
    <xf numFmtId="186" fontId="0" fillId="6" borderId="0" xfId="0" applyNumberFormat="1" applyFill="1" applyBorder="1"/>
    <xf numFmtId="165" fontId="0" fillId="6" borderId="0" xfId="0" applyNumberFormat="1" applyFill="1" applyAlignment="1">
      <alignment horizontal="center"/>
    </xf>
    <xf numFmtId="165" fontId="3" fillId="6" borderId="0" xfId="0" applyNumberFormat="1" applyFont="1" applyFill="1" applyBorder="1" applyAlignment="1">
      <alignment horizontal="center"/>
    </xf>
    <xf numFmtId="165" fontId="3" fillId="6" borderId="1" xfId="0" applyNumberFormat="1" applyFont="1" applyFill="1" applyBorder="1" applyAlignment="1">
      <alignment horizontal="center" vertical="center" wrapText="1"/>
    </xf>
    <xf numFmtId="2" fontId="0" fillId="6" borderId="0" xfId="0" applyNumberFormat="1" applyFill="1" applyAlignment="1">
      <alignment horizontal="center"/>
    </xf>
    <xf numFmtId="0" fontId="0" fillId="6" borderId="0" xfId="0" applyFill="1"/>
    <xf numFmtId="10" fontId="0" fillId="6" borderId="0" xfId="3" applyNumberFormat="1" applyFont="1" applyFill="1" applyAlignment="1">
      <alignment horizontal="center"/>
    </xf>
    <xf numFmtId="14" fontId="0" fillId="6" borderId="0" xfId="0" applyNumberFormat="1" applyFill="1" applyAlignment="1">
      <alignment horizontal="center"/>
    </xf>
    <xf numFmtId="0" fontId="0" fillId="6" borderId="0" xfId="0" applyFill="1" applyAlignment="1">
      <alignment horizontal="center"/>
    </xf>
    <xf numFmtId="183" fontId="0" fillId="6" borderId="0" xfId="0" applyNumberFormat="1" applyFill="1" applyAlignment="1">
      <alignment horizontal="center"/>
    </xf>
    <xf numFmtId="10" fontId="0" fillId="6" borderId="0" xfId="3" applyNumberFormat="1" applyFont="1" applyFill="1"/>
    <xf numFmtId="10" fontId="0" fillId="6" borderId="0" xfId="2" applyNumberFormat="1" applyFont="1" applyFill="1" applyAlignment="1">
      <alignment horizontal="center"/>
    </xf>
    <xf numFmtId="14" fontId="0" fillId="6" borderId="0" xfId="0" applyNumberFormat="1" applyFill="1" applyBorder="1"/>
    <xf numFmtId="10" fontId="0" fillId="6" borderId="0" xfId="2" applyNumberFormat="1" applyFont="1" applyFill="1"/>
    <xf numFmtId="0" fontId="0" fillId="6" borderId="0" xfId="0" applyFill="1" applyBorder="1" applyAlignment="1">
      <alignment horizontal="center"/>
    </xf>
    <xf numFmtId="0" fontId="44" fillId="6" borderId="0" xfId="0" applyFont="1" applyFill="1" applyBorder="1"/>
    <xf numFmtId="14" fontId="0" fillId="6" borderId="0" xfId="0" applyNumberFormat="1" applyFill="1"/>
    <xf numFmtId="10" fontId="0" fillId="6" borderId="0" xfId="3" applyNumberFormat="1" applyFont="1" applyFill="1" applyAlignment="1">
      <alignment horizontal="right"/>
    </xf>
    <xf numFmtId="10" fontId="45" fillId="0" borderId="0" xfId="127" applyNumberFormat="1"/>
    <xf numFmtId="10" fontId="7" fillId="0" borderId="0" xfId="0" applyNumberFormat="1" applyFont="1"/>
    <xf numFmtId="0" fontId="45" fillId="0" borderId="0" xfId="127"/>
    <xf numFmtId="0" fontId="6" fillId="0" borderId="0" xfId="127" applyFont="1"/>
    <xf numFmtId="0" fontId="6" fillId="0" borderId="2" xfId="127" applyFont="1" applyBorder="1"/>
    <xf numFmtId="0" fontId="8" fillId="0" borderId="1" xfId="127" applyFont="1" applyBorder="1" applyAlignment="1"/>
    <xf numFmtId="0" fontId="6" fillId="0" borderId="0" xfId="127" applyFont="1" applyAlignment="1">
      <alignment horizontal="center"/>
    </xf>
    <xf numFmtId="0" fontId="8" fillId="0" borderId="3" xfId="127" applyFont="1" applyBorder="1"/>
    <xf numFmtId="4" fontId="7" fillId="0" borderId="0" xfId="127" applyNumberFormat="1" applyFont="1"/>
    <xf numFmtId="4" fontId="9" fillId="0" borderId="1" xfId="127" applyNumberFormat="1" applyFont="1" applyBorder="1" applyAlignment="1"/>
    <xf numFmtId="4" fontId="9" fillId="0" borderId="3" xfId="127" applyNumberFormat="1" applyFont="1" applyBorder="1"/>
    <xf numFmtId="0" fontId="10" fillId="0" borderId="0" xfId="127" applyFont="1" applyAlignment="1">
      <alignment horizontal="center"/>
    </xf>
    <xf numFmtId="0" fontId="45" fillId="0" borderId="0" xfId="127" applyAlignment="1">
      <alignment horizontal="center"/>
    </xf>
    <xf numFmtId="171" fontId="7" fillId="0" borderId="0" xfId="127" applyNumberFormat="1" applyFont="1"/>
    <xf numFmtId="10" fontId="7" fillId="0" borderId="0" xfId="208" applyNumberFormat="1" applyFont="1"/>
    <xf numFmtId="4" fontId="7" fillId="0" borderId="2" xfId="127" applyNumberFormat="1" applyFont="1" applyBorder="1"/>
    <xf numFmtId="0" fontId="10" fillId="0" borderId="2" xfId="127" applyFont="1" applyBorder="1" applyAlignment="1">
      <alignment horizontal="center"/>
    </xf>
    <xf numFmtId="171" fontId="7" fillId="0" borderId="2" xfId="127" applyNumberFormat="1" applyFont="1" applyBorder="1"/>
    <xf numFmtId="10" fontId="7" fillId="0" borderId="2" xfId="208" applyNumberFormat="1" applyFont="1" applyBorder="1"/>
    <xf numFmtId="0" fontId="6" fillId="0" borderId="0" xfId="127" applyFont="1" applyBorder="1"/>
  </cellXfs>
  <cellStyles count="216">
    <cellStyle name="20% - Accent1" xfId="87"/>
    <cellStyle name="20% - Accent1 2" xfId="129"/>
    <cellStyle name="20% - Accent1 3" xfId="128"/>
    <cellStyle name="20% - Accent2" xfId="88"/>
    <cellStyle name="20% - Accent2 2" xfId="131"/>
    <cellStyle name="20% - Accent2 3" xfId="130"/>
    <cellStyle name="20% - Accent3" xfId="89"/>
    <cellStyle name="20% - Accent3 2" xfId="133"/>
    <cellStyle name="20% - Accent3 3" xfId="132"/>
    <cellStyle name="20% - Accent4" xfId="90"/>
    <cellStyle name="20% - Accent4 2" xfId="135"/>
    <cellStyle name="20% - Accent4 3" xfId="134"/>
    <cellStyle name="20% - Accent5" xfId="91"/>
    <cellStyle name="20% - Accent5 2" xfId="137"/>
    <cellStyle name="20% - Accent5 3" xfId="136"/>
    <cellStyle name="20% - Accent6" xfId="92"/>
    <cellStyle name="20% - Accent6 2" xfId="139"/>
    <cellStyle name="20% - Accent6 3" xfId="138"/>
    <cellStyle name="40% - Accent1" xfId="93"/>
    <cellStyle name="40% - Accent1 2" xfId="141"/>
    <cellStyle name="40% - Accent1 3" xfId="140"/>
    <cellStyle name="40% - Accent2" xfId="94"/>
    <cellStyle name="40% - Accent2 2" xfId="143"/>
    <cellStyle name="40% - Accent2 3" xfId="142"/>
    <cellStyle name="40% - Accent3" xfId="95"/>
    <cellStyle name="40% - Accent3 2" xfId="145"/>
    <cellStyle name="40% - Accent3 3" xfId="144"/>
    <cellStyle name="40% - Accent4" xfId="96"/>
    <cellStyle name="40% - Accent4 2" xfId="147"/>
    <cellStyle name="40% - Accent4 3" xfId="146"/>
    <cellStyle name="40% - Accent5" xfId="97"/>
    <cellStyle name="40% - Accent5 2" xfId="149"/>
    <cellStyle name="40% - Accent5 3" xfId="148"/>
    <cellStyle name="40% - Accent6" xfId="98"/>
    <cellStyle name="40% - Accent6 2" xfId="151"/>
    <cellStyle name="40% - Accent6 3" xfId="150"/>
    <cellStyle name="60% - Accent1" xfId="99"/>
    <cellStyle name="60% - Accent1 2" xfId="153"/>
    <cellStyle name="60% - Accent1 3" xfId="152"/>
    <cellStyle name="60% - Accent2" xfId="100"/>
    <cellStyle name="60% - Accent2 2" xfId="155"/>
    <cellStyle name="60% - Accent2 3" xfId="154"/>
    <cellStyle name="60% - Accent3" xfId="101"/>
    <cellStyle name="60% - Accent3 2" xfId="157"/>
    <cellStyle name="60% - Accent3 3" xfId="156"/>
    <cellStyle name="60% - Accent4" xfId="102"/>
    <cellStyle name="60% - Accent4 2" xfId="159"/>
    <cellStyle name="60% - Accent4 3" xfId="158"/>
    <cellStyle name="60% - Accent5" xfId="103"/>
    <cellStyle name="60% - Accent5 2" xfId="161"/>
    <cellStyle name="60% - Accent5 3" xfId="160"/>
    <cellStyle name="60% - Accent6" xfId="104"/>
    <cellStyle name="Accent1" xfId="105"/>
    <cellStyle name="Accent1 2" xfId="163"/>
    <cellStyle name="Accent1 3" xfId="162"/>
    <cellStyle name="Accent2" xfId="106"/>
    <cellStyle name="Accent2 2" xfId="165"/>
    <cellStyle name="Accent2 3" xfId="164"/>
    <cellStyle name="Accent3" xfId="107"/>
    <cellStyle name="Accent3 2" xfId="167"/>
    <cellStyle name="Accent3 3" xfId="166"/>
    <cellStyle name="Accent4" xfId="108"/>
    <cellStyle name="Accent4 2" xfId="169"/>
    <cellStyle name="Accent4 3" xfId="168"/>
    <cellStyle name="Accent5" xfId="109"/>
    <cellStyle name="Accent5 2" xfId="171"/>
    <cellStyle name="Accent5 3" xfId="170"/>
    <cellStyle name="Accent6" xfId="110"/>
    <cellStyle name="Accent6 2" xfId="173"/>
    <cellStyle name="Accent6 3" xfId="172"/>
    <cellStyle name="ANCLAS,REZONES Y SUS PARTES,DE FUNDICION,DE HIERRO O DE ACERO" xfId="174"/>
    <cellStyle name="AutoFormat Options" xfId="28"/>
    <cellStyle name="background" xfId="7"/>
    <cellStyle name="Bad" xfId="111"/>
    <cellStyle name="Bad 2" xfId="176"/>
    <cellStyle name="Bad 3" xfId="175"/>
    <cellStyle name="banner" xfId="8"/>
    <cellStyle name="Cabecera 1" xfId="29"/>
    <cellStyle name="Cabecera 2" xfId="30"/>
    <cellStyle name="calc" xfId="9"/>
    <cellStyle name="calculated" xfId="10"/>
    <cellStyle name="Calculation" xfId="112"/>
    <cellStyle name="Calculation 2" xfId="178"/>
    <cellStyle name="Calculation 3" xfId="177"/>
    <cellStyle name="Cambiar to&amp;do" xfId="31"/>
    <cellStyle name="Cambiar to&amp;do 2" xfId="62"/>
    <cellStyle name="Cambiar to&amp;do 2 2" xfId="83"/>
    <cellStyle name="Cambiar to&amp;do 2 3" xfId="125"/>
    <cellStyle name="Cambiar to&amp;do 3" xfId="63"/>
    <cellStyle name="Cambiar to&amp;do 4" xfId="64"/>
    <cellStyle name="Cambiar to&amp;do 5" xfId="179"/>
    <cellStyle name="Cambiar to&amp;do_Cartera Líderes" xfId="65"/>
    <cellStyle name="Check Cell" xfId="113"/>
    <cellStyle name="Comma" xfId="60"/>
    <cellStyle name="Comma0" xfId="32"/>
    <cellStyle name="Currency" xfId="74"/>
    <cellStyle name="Currency0" xfId="33"/>
    <cellStyle name="data" xfId="12"/>
    <cellStyle name="data 2" xfId="76"/>
    <cellStyle name="date" xfId="13"/>
    <cellStyle name="datetime" xfId="14"/>
    <cellStyle name="Estilo 1" xfId="34"/>
    <cellStyle name="Estilo 1 2" xfId="66"/>
    <cellStyle name="Estilo 2" xfId="67"/>
    <cellStyle name="Euro" xfId="35"/>
    <cellStyle name="Euro 2" xfId="181"/>
    <cellStyle name="Euro 3" xfId="180"/>
    <cellStyle name="Explanatory Text" xfId="114"/>
    <cellStyle name="F2" xfId="36"/>
    <cellStyle name="F3" xfId="37"/>
    <cellStyle name="F4" xfId="38"/>
    <cellStyle name="F5" xfId="39"/>
    <cellStyle name="F6" xfId="40"/>
    <cellStyle name="F7" xfId="41"/>
    <cellStyle name="F8" xfId="42"/>
    <cellStyle name="facha" xfId="43"/>
    <cellStyle name="Fecha" xfId="44"/>
    <cellStyle name="Fijo" xfId="45"/>
    <cellStyle name="Fixed" xfId="46"/>
    <cellStyle name="Good" xfId="115"/>
    <cellStyle name="Good 2" xfId="183"/>
    <cellStyle name="Good 3" xfId="182"/>
    <cellStyle name="Header" xfId="15"/>
    <cellStyle name="Heading 1" xfId="116"/>
    <cellStyle name="Heading 1 2" xfId="185"/>
    <cellStyle name="Heading 1 3" xfId="184"/>
    <cellStyle name="Heading 2" xfId="117"/>
    <cellStyle name="Heading 2 2" xfId="187"/>
    <cellStyle name="Heading 2 3" xfId="186"/>
    <cellStyle name="Heading 3" xfId="118"/>
    <cellStyle name="Heading 3 2" xfId="189"/>
    <cellStyle name="Heading 3 3" xfId="188"/>
    <cellStyle name="Heading 4" xfId="119"/>
    <cellStyle name="Heading 4 2" xfId="191"/>
    <cellStyle name="Heading 4 3" xfId="190"/>
    <cellStyle name="Heading1" xfId="47"/>
    <cellStyle name="Heading2" xfId="48"/>
    <cellStyle name="input" xfId="16"/>
    <cellStyle name="input 2" xfId="77"/>
    <cellStyle name="input 3" xfId="193"/>
    <cellStyle name="Input 4" xfId="192"/>
    <cellStyle name="Input 5" xfId="215"/>
    <cellStyle name="jo[" xfId="49"/>
    <cellStyle name="label" xfId="17"/>
    <cellStyle name="Linked Cell" xfId="120"/>
    <cellStyle name="Linked Cell 2" xfId="195"/>
    <cellStyle name="Linked Cell 3" xfId="194"/>
    <cellStyle name="main_input" xfId="18"/>
    <cellStyle name="Millares" xfId="1" builtinId="3"/>
    <cellStyle name="Millares 2" xfId="5"/>
    <cellStyle name="Millares 2 2" xfId="75"/>
    <cellStyle name="Millares 2 3" xfId="11"/>
    <cellStyle name="Millares 2 4" xfId="197"/>
    <cellStyle name="Millares 3" xfId="4"/>
    <cellStyle name="Millares 3 2" xfId="61"/>
    <cellStyle name="Millares 389" xfId="84"/>
    <cellStyle name="Millares 4" xfId="78"/>
    <cellStyle name="Millares 4 2" xfId="199"/>
    <cellStyle name="Millares 4 3" xfId="198"/>
    <cellStyle name="Millares 5" xfId="80"/>
    <cellStyle name="Millares 5 2" xfId="200"/>
    <cellStyle name="Millares 6" xfId="85"/>
    <cellStyle name="Millares 7" xfId="126"/>
    <cellStyle name="Millares 7 2" xfId="201"/>
    <cellStyle name="Millares 8" xfId="196"/>
    <cellStyle name="Moneda 2" xfId="68"/>
    <cellStyle name="Moneda 3" xfId="79"/>
    <cellStyle name="Monetario" xfId="50"/>
    <cellStyle name="Monetario0" xfId="51"/>
    <cellStyle name="Neutral 2" xfId="202"/>
    <cellStyle name="Next holiday" xfId="19"/>
    <cellStyle name="Normal" xfId="0" builtinId="0"/>
    <cellStyle name="Normal 2" xfId="6"/>
    <cellStyle name="Normal 2 14" xfId="86"/>
    <cellStyle name="Normal 2 2" xfId="59"/>
    <cellStyle name="Normal 2 3" xfId="69"/>
    <cellStyle name="Normal 2 4" xfId="81"/>
    <cellStyle name="Normal 2 5" xfId="82"/>
    <cellStyle name="Normal 2 6" xfId="204"/>
    <cellStyle name="Normal 2 7" xfId="203"/>
    <cellStyle name="Normal 3" xfId="70"/>
    <cellStyle name="Normal 3 2" xfId="205"/>
    <cellStyle name="Normal 4" xfId="71"/>
    <cellStyle name="Normal 4 2" xfId="72"/>
    <cellStyle name="Normal 5" xfId="127"/>
    <cellStyle name="Normal 8 7" xfId="27"/>
    <cellStyle name="Note" xfId="121"/>
    <cellStyle name="Output" xfId="122"/>
    <cellStyle name="Output 2" xfId="207"/>
    <cellStyle name="Output 3" xfId="206"/>
    <cellStyle name="pb_page_heading_LS" xfId="52"/>
    <cellStyle name="Percent" xfId="3"/>
    <cellStyle name="Porcentaje" xfId="2" builtinId="5"/>
    <cellStyle name="Porcentaje 2" xfId="53"/>
    <cellStyle name="Porcentaje 2 2" xfId="73"/>
    <cellStyle name="Porcentaje 3" xfId="58"/>
    <cellStyle name="Porcentaje 3 2" xfId="210"/>
    <cellStyle name="Porcentaje 3 3" xfId="209"/>
    <cellStyle name="Porcentaje 4" xfId="211"/>
    <cellStyle name="Porcentaje 5" xfId="208"/>
    <cellStyle name="Punto" xfId="54"/>
    <cellStyle name="Punto0" xfId="55"/>
    <cellStyle name="Rates" xfId="20"/>
    <cellStyle name="realtime" xfId="21"/>
    <cellStyle name="result" xfId="22"/>
    <cellStyle name="rt" xfId="23"/>
    <cellStyle name="static" xfId="24"/>
    <cellStyle name="test a style" xfId="56"/>
    <cellStyle name="text" xfId="25"/>
    <cellStyle name="Title" xfId="123"/>
    <cellStyle name="Title 2" xfId="213"/>
    <cellStyle name="Title 3" xfId="212"/>
    <cellStyle name="Topheader" xfId="26"/>
    <cellStyle name="Total 2" xfId="214"/>
    <cellStyle name="vaca" xfId="57"/>
    <cellStyle name="Warning Text" xfId="124"/>
  </cellStyles>
  <dxfs count="3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10"/>
  <sheetViews>
    <sheetView tabSelected="1" zoomScale="90" zoomScaleNormal="90" workbookViewId="0"/>
  </sheetViews>
  <sheetFormatPr baseColWidth="10" defaultColWidth="11.42578125" defaultRowHeight="15" outlineLevelCol="1"/>
  <cols>
    <col min="1" max="1" width="39.7109375" style="6" customWidth="1"/>
    <col min="2" max="6" width="15.7109375" style="6" customWidth="1"/>
    <col min="7" max="7" width="15.7109375" style="70" customWidth="1"/>
    <col min="8" max="11" width="15.7109375" style="70" hidden="1" customWidth="1" outlineLevel="1"/>
    <col min="12" max="12" width="15.7109375" style="71" customWidth="1" collapsed="1"/>
    <col min="13" max="13" width="15.7109375" style="71" customWidth="1"/>
    <col min="14" max="14" width="15.7109375" style="6" customWidth="1"/>
    <col min="15" max="16" width="15.7109375" style="72" customWidth="1"/>
    <col min="17" max="17" width="15.7109375" style="73" customWidth="1"/>
    <col min="18" max="18" width="15.7109375" style="74" customWidth="1"/>
    <col min="19" max="19" width="3.140625" style="6" customWidth="1"/>
    <col min="20" max="20" width="21.7109375" style="78" customWidth="1"/>
    <col min="21" max="16384" width="11.42578125" style="6"/>
  </cols>
  <sheetData>
    <row r="1" spans="1:22">
      <c r="R1" s="75"/>
    </row>
    <row r="2" spans="1:22" ht="30">
      <c r="A2" s="1" t="s">
        <v>0</v>
      </c>
      <c r="B2" s="1" t="s">
        <v>180</v>
      </c>
      <c r="C2" s="1" t="s">
        <v>181</v>
      </c>
      <c r="D2" s="1" t="s">
        <v>1</v>
      </c>
      <c r="E2" s="1" t="s">
        <v>2</v>
      </c>
      <c r="F2" s="1" t="s">
        <v>3</v>
      </c>
      <c r="G2" s="2" t="s">
        <v>4</v>
      </c>
      <c r="H2" s="2"/>
      <c r="I2" s="2" t="s">
        <v>103</v>
      </c>
      <c r="J2" s="2" t="s">
        <v>106</v>
      </c>
      <c r="K2" s="2" t="s">
        <v>189</v>
      </c>
      <c r="L2" s="3" t="s">
        <v>5</v>
      </c>
      <c r="M2" s="3" t="s">
        <v>290</v>
      </c>
      <c r="N2" s="1" t="s">
        <v>6</v>
      </c>
      <c r="O2" s="1" t="s">
        <v>108</v>
      </c>
      <c r="P2" s="1" t="s">
        <v>7</v>
      </c>
      <c r="Q2" s="1" t="s">
        <v>8</v>
      </c>
      <c r="R2" s="4" t="s">
        <v>9</v>
      </c>
      <c r="S2" s="5"/>
      <c r="T2" s="79" t="s">
        <v>109</v>
      </c>
    </row>
    <row r="3" spans="1:22">
      <c r="A3" s="7" t="s">
        <v>10</v>
      </c>
      <c r="B3" s="8"/>
      <c r="C3" s="8"/>
      <c r="D3" s="8"/>
      <c r="E3" s="8"/>
      <c r="F3" s="8"/>
      <c r="G3" s="9"/>
      <c r="H3" s="9"/>
      <c r="I3" s="9"/>
      <c r="J3" s="9"/>
      <c r="K3" s="9"/>
      <c r="L3" s="10"/>
      <c r="M3" s="10"/>
      <c r="N3" s="8"/>
      <c r="O3" s="8"/>
      <c r="P3" s="8"/>
      <c r="Q3" s="8"/>
      <c r="R3" s="11"/>
      <c r="S3" s="5"/>
      <c r="T3" s="77"/>
    </row>
    <row r="4" spans="1:22">
      <c r="A4" s="13" t="s">
        <v>11</v>
      </c>
      <c r="B4" s="14"/>
      <c r="C4" s="14"/>
      <c r="D4" s="14"/>
      <c r="E4" s="14"/>
      <c r="F4" s="14"/>
      <c r="G4" s="15"/>
      <c r="H4" s="15"/>
      <c r="I4" s="15"/>
      <c r="J4" s="15"/>
      <c r="K4" s="15"/>
      <c r="L4" s="16"/>
      <c r="M4" s="16"/>
      <c r="N4" s="14"/>
      <c r="O4" s="14"/>
      <c r="P4" s="14"/>
      <c r="Q4" s="14"/>
      <c r="R4" s="17"/>
      <c r="S4" s="5"/>
      <c r="T4" s="77"/>
    </row>
    <row r="5" spans="1:22">
      <c r="A5" s="5" t="s">
        <v>14</v>
      </c>
      <c r="B5" s="18" t="str">
        <f>VLOOKUP(A5,'Identidad de Codigos'!A:C,2,FALSE)</f>
        <v>ARARGE3201A1</v>
      </c>
      <c r="C5" s="81">
        <f>VLOOKUP(A5,'Identidad de Codigos'!A:C,3,FALSE)</f>
        <v>5475</v>
      </c>
      <c r="D5" s="18" t="s">
        <v>15</v>
      </c>
      <c r="E5" s="19">
        <v>43160</v>
      </c>
      <c r="F5" s="20" t="s">
        <v>13</v>
      </c>
      <c r="G5" s="101"/>
      <c r="H5" s="21">
        <f t="shared" ref="H5:H9" si="0">G5-SUM(I5:K5)</f>
        <v>0</v>
      </c>
      <c r="I5" s="88">
        <v>0</v>
      </c>
      <c r="J5" s="88" t="str">
        <f>IF(ISERROR(VLOOKUP(C5,'Pos Tit ACG'!B:D,3,FALSE))=TRUE,"",VLOOKUP(C5,'Pos Tit ACG'!B:D,3,FALSE))</f>
        <v/>
      </c>
      <c r="K5" s="88"/>
      <c r="L5" s="22">
        <f>VLOOKUP(A5,'Precios para Valuar'!$C:$L,5,FALSE)</f>
        <v>106.277</v>
      </c>
      <c r="M5" s="22"/>
      <c r="N5" s="23">
        <f t="shared" ref="N5:N9" si="1">G5*L5/100</f>
        <v>0</v>
      </c>
      <c r="O5" s="26">
        <f>VLOOKUP(A5,'Precios para Valuar'!C:Z,6,FALSE)</f>
        <v>2.75E-2</v>
      </c>
      <c r="P5" s="26">
        <f>O5+Badlar</f>
        <v>0.25525000000000003</v>
      </c>
      <c r="Q5" s="27">
        <f>VLOOKUP(A5,'Precios para Valuar'!C:AC,9,FALSE)</f>
        <v>0</v>
      </c>
      <c r="R5" s="12">
        <f ca="1">N5/$N$102</f>
        <v>0</v>
      </c>
      <c r="S5" s="23"/>
      <c r="T5" s="77" t="s">
        <v>297</v>
      </c>
    </row>
    <row r="6" spans="1:22" s="29" customFormat="1">
      <c r="A6" s="5" t="s">
        <v>16</v>
      </c>
      <c r="B6" s="18" t="str">
        <f>VLOOKUP(A6,'Identidad de Codigos'!A:C,2,FALSE)</f>
        <v>ARARGE03H348</v>
      </c>
      <c r="C6" s="81">
        <f>VLOOKUP(A6,'Identidad de Codigos'!A:C,3,FALSE)</f>
        <v>5454</v>
      </c>
      <c r="D6" s="18" t="s">
        <v>17</v>
      </c>
      <c r="E6" s="19">
        <v>43535</v>
      </c>
      <c r="F6" s="20" t="s">
        <v>13</v>
      </c>
      <c r="G6" s="21">
        <f>SUM(I6:J6)</f>
        <v>176494313</v>
      </c>
      <c r="H6" s="21">
        <f t="shared" si="0"/>
        <v>0</v>
      </c>
      <c r="I6" s="88">
        <v>175742532</v>
      </c>
      <c r="J6" s="88">
        <v>751781</v>
      </c>
      <c r="K6" s="88"/>
      <c r="L6" s="22">
        <f>VLOOKUP(A6,'Precios para Valuar'!$C:$L,5,FALSE)</f>
        <v>108.25</v>
      </c>
      <c r="M6" s="22"/>
      <c r="N6" s="23">
        <f t="shared" si="1"/>
        <v>191055093.82249999</v>
      </c>
      <c r="O6" s="26">
        <f>VLOOKUP(A6,'Precios para Valuar'!C:Z,6,FALSE)</f>
        <v>-3.5999999999999999E-3</v>
      </c>
      <c r="P6" s="26">
        <f>O6+Badlar</f>
        <v>0.22415000000000002</v>
      </c>
      <c r="Q6" s="27">
        <f>VLOOKUP(A6,'Precios para Valuar'!C:AC,9,FALSE)</f>
        <v>0.82199999999999995</v>
      </c>
      <c r="R6" s="12">
        <f ca="1">N6/$N$102</f>
        <v>4.5968942631376068E-2</v>
      </c>
      <c r="S6" s="23"/>
      <c r="T6" s="77" t="str">
        <f>VLOOKUP(A6,'Precios para Valuar'!$C:$T,8,FALSE)</f>
        <v>IAMC</v>
      </c>
      <c r="U6" s="6"/>
      <c r="V6" s="6"/>
    </row>
    <row r="7" spans="1:22">
      <c r="A7" s="5" t="s">
        <v>18</v>
      </c>
      <c r="B7" s="18" t="str">
        <f>VLOOKUP(A7,'Identidad de Codigos'!A:C,2,FALSE)</f>
        <v>ARARGE3201B9</v>
      </c>
      <c r="C7" s="81">
        <f>VLOOKUP(A7,'Identidad de Codigos'!A:C,3,FALSE)</f>
        <v>5476</v>
      </c>
      <c r="D7" s="20" t="s">
        <v>19</v>
      </c>
      <c r="E7" s="19">
        <v>43891</v>
      </c>
      <c r="F7" s="20" t="s">
        <v>13</v>
      </c>
      <c r="G7" s="21">
        <f t="shared" ref="G7:G9" si="2">SUM(I7:J7)</f>
        <v>126000000</v>
      </c>
      <c r="H7" s="21">
        <f t="shared" si="0"/>
        <v>0</v>
      </c>
      <c r="I7" s="88">
        <v>120000000</v>
      </c>
      <c r="J7" s="88">
        <v>6000000</v>
      </c>
      <c r="K7" s="88"/>
      <c r="L7" s="22">
        <f>VLOOKUP(A7,'Precios para Valuar'!$C:$L,5,FALSE)</f>
        <v>107.25</v>
      </c>
      <c r="M7" s="22"/>
      <c r="N7" s="23">
        <f t="shared" si="1"/>
        <v>135135000</v>
      </c>
      <c r="O7" s="26">
        <f>VLOOKUP(A7,'Precios para Valuar'!C:Z,6,FALSE)</f>
        <v>-1.21E-2</v>
      </c>
      <c r="P7" s="26">
        <f>O7+Badlar</f>
        <v>0.21565000000000001</v>
      </c>
      <c r="Q7" s="27">
        <f>VLOOKUP(A7,'Precios para Valuar'!C:AC,9,FALSE)</f>
        <v>1.544</v>
      </c>
      <c r="R7" s="12">
        <f ca="1">N7/$N$102</f>
        <v>3.251424988575434E-2</v>
      </c>
      <c r="S7" s="23"/>
      <c r="T7" s="77" t="str">
        <f>VLOOKUP(A7,'Precios para Valuar'!$C:$T,8,FALSE)</f>
        <v>IAMC</v>
      </c>
      <c r="U7" s="6" t="s">
        <v>298</v>
      </c>
    </row>
    <row r="8" spans="1:22">
      <c r="A8" s="5" t="s">
        <v>21</v>
      </c>
      <c r="B8" s="18" t="str">
        <f>VLOOKUP(A8,'Identidad de Codigos'!A:C,2,FALSE)</f>
        <v>ARARGE3203R1</v>
      </c>
      <c r="C8" s="81">
        <f>VLOOKUP(A8,'Identidad de Codigos'!A:C,3,FALSE)</f>
        <v>5480</v>
      </c>
      <c r="D8" s="20" t="s">
        <v>22</v>
      </c>
      <c r="E8" s="19">
        <v>44837</v>
      </c>
      <c r="F8" s="20" t="s">
        <v>13</v>
      </c>
      <c r="G8" s="21">
        <f t="shared" si="2"/>
        <v>70000000</v>
      </c>
      <c r="H8" s="21">
        <f t="shared" si="0"/>
        <v>0</v>
      </c>
      <c r="I8" s="88">
        <v>70000000</v>
      </c>
      <c r="J8" s="88" t="str">
        <f>IF(ISERROR(VLOOKUP(C8,'Pos Tit ACG'!B:D,3,FALSE))=TRUE,"",VLOOKUP(C8,'Pos Tit ACG'!B:D,3,FALSE))</f>
        <v/>
      </c>
      <c r="K8" s="88"/>
      <c r="L8" s="22">
        <f>VLOOKUP(A8,'Precios para Valuar'!$C:$L,5,FALSE)</f>
        <v>110</v>
      </c>
      <c r="M8" s="22"/>
      <c r="N8" s="23">
        <f t="shared" si="1"/>
        <v>77000000</v>
      </c>
      <c r="O8" s="26">
        <f>VLOOKUP(A8,'Precios para Valuar'!C:Z,6,FALSE)</f>
        <v>-2.5999999999999999E-3</v>
      </c>
      <c r="P8" s="26">
        <f>O8+Badlar</f>
        <v>0.22515000000000002</v>
      </c>
      <c r="Q8" s="27">
        <f>VLOOKUP(A8,'Precios para Valuar'!C:AC,9,FALSE)</f>
        <v>2.4089999999999998</v>
      </c>
      <c r="R8" s="12">
        <f ca="1">N8/$N$102</f>
        <v>1.8526638111540934E-2</v>
      </c>
      <c r="S8" s="23"/>
      <c r="T8" s="77" t="str">
        <f>VLOOKUP(A8,'Precios para Valuar'!$C:$T,8,FALSE)</f>
        <v>IAMC</v>
      </c>
    </row>
    <row r="9" spans="1:22">
      <c r="A9" s="5" t="s">
        <v>23</v>
      </c>
      <c r="B9" s="18" t="str">
        <f>VLOOKUP(A9,'Identidad de Codigos'!A:C,2,FALSE)</f>
        <v>ARARGE03G621</v>
      </c>
      <c r="C9" s="81">
        <f>VLOOKUP(A9,'Identidad de Codigos'!A:C,3,FALSE)</f>
        <v>2571</v>
      </c>
      <c r="D9" s="18" t="s">
        <v>24</v>
      </c>
      <c r="E9" s="19">
        <v>44838</v>
      </c>
      <c r="F9" s="20" t="s">
        <v>13</v>
      </c>
      <c r="G9" s="21">
        <f t="shared" si="2"/>
        <v>50000000</v>
      </c>
      <c r="H9" s="21">
        <f t="shared" si="0"/>
        <v>0</v>
      </c>
      <c r="I9" s="88">
        <v>50000000</v>
      </c>
      <c r="J9" s="88" t="str">
        <f>IF(ISERROR(VLOOKUP(C9,'Pos Tit ACG'!B:D,3,FALSE))=TRUE,"",VLOOKUP(C9,'Pos Tit ACG'!B:D,3,FALSE))</f>
        <v/>
      </c>
      <c r="K9" s="88"/>
      <c r="L9" s="22">
        <f>VLOOKUP(A9,'Precios para Valuar'!$C:$L,5,FALSE)</f>
        <v>174.2</v>
      </c>
      <c r="M9" s="22"/>
      <c r="N9" s="23">
        <f t="shared" si="1"/>
        <v>87100000</v>
      </c>
      <c r="O9" s="26">
        <f>VLOOKUP(A9,'Precios para Valuar'!C:Z,6,FALSE)</f>
        <v>2.3599999999999999E-2</v>
      </c>
      <c r="P9" s="26">
        <f>O9+Badlar</f>
        <v>0.25135000000000002</v>
      </c>
      <c r="Q9" s="27">
        <f>VLOOKUP(A9,'Precios para Valuar'!C:AC,9,FALSE)</f>
        <v>2.0230000000000001</v>
      </c>
      <c r="R9" s="12">
        <f ca="1">N9/$N$102</f>
        <v>2.0956755578119681E-2</v>
      </c>
      <c r="S9" s="23"/>
      <c r="T9" s="77" t="str">
        <f>VLOOKUP(A9,'Precios para Valuar'!$C:$T,8,FALSE)</f>
        <v>IAMC</v>
      </c>
    </row>
    <row r="10" spans="1:22">
      <c r="A10" s="31" t="s">
        <v>25</v>
      </c>
      <c r="B10" s="20"/>
      <c r="C10" s="20"/>
      <c r="D10" s="20"/>
      <c r="E10" s="19"/>
      <c r="F10" s="20"/>
      <c r="G10" s="21"/>
      <c r="H10" s="21"/>
      <c r="I10" s="21"/>
      <c r="J10" s="21"/>
      <c r="K10" s="21"/>
      <c r="L10" s="22"/>
      <c r="M10" s="22"/>
      <c r="N10" s="23"/>
      <c r="O10" s="26"/>
      <c r="P10" s="26"/>
      <c r="Q10" s="27"/>
      <c r="R10" s="12"/>
      <c r="S10" s="30"/>
      <c r="T10" s="77"/>
    </row>
    <row r="11" spans="1:22" s="29" customFormat="1">
      <c r="A11" s="5" t="s">
        <v>27</v>
      </c>
      <c r="B11" s="18" t="str">
        <f>VLOOKUP(A11,'Identidad de Codigos'!A:C,2,FALSE)</f>
        <v>ARARGE3204M0</v>
      </c>
      <c r="C11" s="81">
        <f>VLOOKUP(A11,'Identidad de Codigos'!A:C,3,FALSE)</f>
        <v>5327</v>
      </c>
      <c r="D11" s="18" t="s">
        <v>28</v>
      </c>
      <c r="E11" s="19">
        <v>44003</v>
      </c>
      <c r="F11" s="20" t="s">
        <v>29</v>
      </c>
      <c r="G11" s="21">
        <f>SUM(I11:J11)</f>
        <v>170000000</v>
      </c>
      <c r="H11" s="21">
        <f>G11-SUM(I11:K11)</f>
        <v>0</v>
      </c>
      <c r="I11" s="88">
        <v>170000000</v>
      </c>
      <c r="J11" s="88" t="str">
        <f>IF(ISERROR(VLOOKUP(C11,'Pos Tit ACG'!B:D,3,FALSE))=TRUE,"",VLOOKUP(C11,'Pos Tit ACG'!B:D,3,FALSE))</f>
        <v/>
      </c>
      <c r="K11" s="88"/>
      <c r="L11" s="22">
        <f>VLOOKUP(A11,'Precios para Valuar'!$C:$L,5,FALSE)</f>
        <v>114.5</v>
      </c>
      <c r="M11" s="22"/>
      <c r="N11" s="23">
        <f>G11*L11/100</f>
        <v>194650000</v>
      </c>
      <c r="O11" s="26">
        <f>VLOOKUP(A11,'Precios para Valuar'!C:Z,6,FALSE)</f>
        <v>0.2213</v>
      </c>
      <c r="P11" s="26">
        <f>+O11</f>
        <v>0.2213</v>
      </c>
      <c r="Q11" s="27">
        <f>VLOOKUP(A11,'Precios para Valuar'!C:AC,9,FALSE)</f>
        <v>1.635</v>
      </c>
      <c r="R11" s="12">
        <f ca="1">N11/$N$102</f>
        <v>4.6833897511836919E-2</v>
      </c>
      <c r="S11" s="23"/>
      <c r="T11" s="77" t="str">
        <f>VLOOKUP(A11,'Precios para Valuar'!$C:$T,8,FALSE)</f>
        <v>IAMC</v>
      </c>
      <c r="U11" s="6"/>
      <c r="V11" s="6"/>
    </row>
    <row r="12" spans="1:22">
      <c r="A12" s="31" t="s">
        <v>31</v>
      </c>
      <c r="B12" s="18"/>
      <c r="C12" s="18"/>
      <c r="D12" s="18"/>
      <c r="E12" s="19"/>
      <c r="F12" s="20"/>
      <c r="G12" s="21"/>
      <c r="H12" s="21"/>
      <c r="I12" s="21"/>
      <c r="J12" s="21"/>
      <c r="K12" s="21"/>
      <c r="L12" s="22"/>
      <c r="M12" s="22"/>
      <c r="N12" s="23"/>
      <c r="O12" s="24"/>
      <c r="P12" s="24"/>
      <c r="Q12" s="25"/>
      <c r="R12" s="12"/>
      <c r="S12" s="23"/>
      <c r="T12" s="77"/>
    </row>
    <row r="13" spans="1:22" s="29" customFormat="1">
      <c r="A13" s="5" t="s">
        <v>30</v>
      </c>
      <c r="B13" s="18" t="str">
        <f>VLOOKUP(A13,'Identidad de Codigos'!A:C,2,FALSE)</f>
        <v>ARARGE320283</v>
      </c>
      <c r="C13" s="81">
        <f>VLOOKUP(A13,'Identidad de Codigos'!A:C,3,FALSE)</f>
        <v>5315</v>
      </c>
      <c r="D13" s="18" t="s">
        <v>17</v>
      </c>
      <c r="E13" s="19">
        <v>44399</v>
      </c>
      <c r="F13" s="20" t="s">
        <v>34</v>
      </c>
      <c r="G13" s="21">
        <f>SUM(I13:J13)</f>
        <v>266460000</v>
      </c>
      <c r="H13" s="21">
        <f t="shared" ref="H13" si="3">G13-SUM(I13:K13)</f>
        <v>0</v>
      </c>
      <c r="I13" s="88">
        <v>261600000</v>
      </c>
      <c r="J13" s="88">
        <v>4860000</v>
      </c>
      <c r="K13" s="88"/>
      <c r="L13" s="22">
        <f>VLOOKUP(A13,'Precios para Valuar'!$C:$L,5,FALSE)</f>
        <v>135.75</v>
      </c>
      <c r="M13" s="22"/>
      <c r="N13" s="23">
        <f>G13*L13/100</f>
        <v>361719450</v>
      </c>
      <c r="O13" s="26">
        <f>VLOOKUP(A13,'Precios para Valuar'!C:Z,6,FALSE)</f>
        <v>3.8800000000000001E-2</v>
      </c>
      <c r="P13" s="26">
        <f>+O13+CER</f>
        <v>0.2248</v>
      </c>
      <c r="Q13" s="27">
        <f>VLOOKUP(A13,'Precios para Valuar'!C:AC,9,FALSE)</f>
        <v>3.2029999999999998</v>
      </c>
      <c r="R13" s="12">
        <f ca="1">N13/$N$102</f>
        <v>8.703175776695618E-2</v>
      </c>
      <c r="S13" s="23"/>
      <c r="T13" s="77" t="str">
        <f>VLOOKUP(A13,'Precios para Valuar'!$C:$T,8,FALSE)</f>
        <v>IAMC</v>
      </c>
      <c r="U13" s="6"/>
      <c r="V13" s="6"/>
    </row>
    <row r="14" spans="1:22" s="29" customFormat="1">
      <c r="A14" s="31" t="s">
        <v>35</v>
      </c>
      <c r="B14" s="18"/>
      <c r="C14" s="18"/>
      <c r="D14" s="18"/>
      <c r="E14" s="19"/>
      <c r="F14" s="20"/>
      <c r="G14" s="21"/>
      <c r="H14" s="21"/>
      <c r="I14" s="21"/>
      <c r="J14" s="21"/>
      <c r="K14" s="21"/>
      <c r="L14" s="22"/>
      <c r="M14" s="22"/>
      <c r="N14" s="23"/>
      <c r="O14" s="12"/>
      <c r="P14" s="12"/>
      <c r="Q14" s="27"/>
      <c r="R14" s="12"/>
      <c r="S14" s="28"/>
      <c r="T14" s="77"/>
      <c r="U14" s="6"/>
    </row>
    <row r="15" spans="1:22" s="29" customFormat="1">
      <c r="A15" s="5" t="s">
        <v>36</v>
      </c>
      <c r="B15" s="18" t="str">
        <f>VLOOKUP(A15,'Identidad de Codigos'!A:C,2,FALSE)</f>
        <v>ARARGE320093</v>
      </c>
      <c r="C15" s="81">
        <f>VLOOKUP(A15,'Identidad de Codigos'!A:C,3,FALSE)</f>
        <v>5462</v>
      </c>
      <c r="D15" s="18" t="s">
        <v>37</v>
      </c>
      <c r="E15" s="19">
        <v>43174</v>
      </c>
      <c r="F15" s="20" t="s">
        <v>38</v>
      </c>
      <c r="G15" s="21">
        <f t="shared" ref="G15:G16" si="4">SUM(I15:J15)</f>
        <v>2176398</v>
      </c>
      <c r="H15" s="21">
        <f t="shared" ref="H15" si="5">G15-SUM(I15:K15)</f>
        <v>0</v>
      </c>
      <c r="I15" s="88">
        <v>1766398</v>
      </c>
      <c r="J15" s="88">
        <v>410000</v>
      </c>
      <c r="K15" s="88"/>
      <c r="L15" s="22">
        <f>VLOOKUP(A15,'Precios para Valuar'!$C:$L,5,FALSE)</f>
        <v>2032</v>
      </c>
      <c r="M15" s="22">
        <f>L15/$L$98</f>
        <v>108.96026596600353</v>
      </c>
      <c r="N15" s="23">
        <f>G15*L15/100</f>
        <v>44224407.359999999</v>
      </c>
      <c r="O15" s="26">
        <f>VLOOKUP(A15,'Precios para Valuar'!C:Z,6,FALSE)</f>
        <v>3.5400000000000001E-2</v>
      </c>
      <c r="P15" s="26">
        <f>+O15+Dev</f>
        <v>0.1454</v>
      </c>
      <c r="Q15" s="27">
        <f>VLOOKUP(A15,'Precios para Valuar'!C:AC,9,FALSE)</f>
        <v>0</v>
      </c>
      <c r="R15" s="12">
        <f ca="1">N15/$N$102</f>
        <v>1.0640644037092044E-2</v>
      </c>
      <c r="S15" s="23"/>
      <c r="T15" s="77" t="str">
        <f>VLOOKUP(A15,'Precios para Valuar'!$C:$T,8,FALSE)</f>
        <v>IAMC</v>
      </c>
      <c r="U15" s="6"/>
      <c r="V15" s="6"/>
    </row>
    <row r="16" spans="1:22" s="29" customFormat="1">
      <c r="A16" s="5" t="s">
        <v>39</v>
      </c>
      <c r="B16" s="18" t="str">
        <f>VLOOKUP(A16,'Identidad de Codigos'!A:C,2,FALSE)</f>
        <v>US040114HK99</v>
      </c>
      <c r="C16" s="81">
        <f>VLOOKUP(A16,'Identidad de Codigos'!A:C,3,FALSE)</f>
        <v>92583</v>
      </c>
      <c r="D16" s="18" t="s">
        <v>291</v>
      </c>
      <c r="E16" s="19">
        <v>43174</v>
      </c>
      <c r="F16" s="20" t="s">
        <v>38</v>
      </c>
      <c r="G16" s="21">
        <f t="shared" si="4"/>
        <v>3000000</v>
      </c>
      <c r="H16" s="21">
        <f t="shared" ref="H16" si="6">G16-SUM(I16:K16)</f>
        <v>0</v>
      </c>
      <c r="I16" s="88">
        <v>3000000</v>
      </c>
      <c r="J16" s="88" t="str">
        <f>IF(ISERROR(VLOOKUP(C16,'Pos Tit ACG'!B:D,3,FALSE))=TRUE,"",VLOOKUP(C16,'Pos Tit ACG'!B:D,3,FALSE))</f>
        <v/>
      </c>
      <c r="K16" s="88"/>
      <c r="L16" s="22">
        <f>VLOOKUP(A16,'Precios para Valuar'!$C:$L,5,FALSE)</f>
        <v>2060</v>
      </c>
      <c r="M16" s="22">
        <f>L16/$L$98</f>
        <v>110.46168695372405</v>
      </c>
      <c r="N16" s="23">
        <f>G16*L16/100</f>
        <v>61800000</v>
      </c>
      <c r="O16" s="26">
        <f>VLOOKUP(A16,'Precios para Valuar'!C:Z,6,FALSE)</f>
        <v>5.1200000000000002E-2</v>
      </c>
      <c r="P16" s="26">
        <f>+O16+Dev</f>
        <v>0.16120000000000001</v>
      </c>
      <c r="Q16" s="27">
        <f>VLOOKUP(A16,'Precios para Valuar'!C:AC,9,FALSE)</f>
        <v>3.456</v>
      </c>
      <c r="R16" s="12">
        <f ca="1">N16/$N$102</f>
        <v>1.4869431627184801E-2</v>
      </c>
      <c r="S16" s="23"/>
      <c r="T16" s="77" t="str">
        <f>VLOOKUP(A16,'Precios para Valuar'!$C:$T,8,FALSE)</f>
        <v>IAMC</v>
      </c>
      <c r="U16" s="6"/>
      <c r="V16" s="6"/>
    </row>
    <row r="17" spans="1:22" s="29" customFormat="1">
      <c r="A17" s="32" t="s">
        <v>102</v>
      </c>
      <c r="B17" s="32"/>
      <c r="C17" s="32"/>
      <c r="D17" s="32"/>
      <c r="E17" s="33"/>
      <c r="F17" s="32"/>
      <c r="G17" s="34"/>
      <c r="H17" s="34"/>
      <c r="I17" s="34"/>
      <c r="J17" s="34"/>
      <c r="K17" s="34"/>
      <c r="L17" s="35"/>
      <c r="M17" s="35"/>
      <c r="N17" s="36"/>
      <c r="O17" s="37"/>
      <c r="P17" s="37"/>
      <c r="Q17" s="38"/>
      <c r="R17" s="39"/>
      <c r="S17" s="28"/>
      <c r="T17" s="77"/>
      <c r="U17" s="6"/>
    </row>
    <row r="18" spans="1:22">
      <c r="A18" s="13" t="s">
        <v>104</v>
      </c>
      <c r="B18" s="28"/>
      <c r="C18" s="28"/>
      <c r="D18" s="28"/>
      <c r="E18" s="40"/>
      <c r="F18" s="28"/>
      <c r="G18" s="21"/>
      <c r="H18" s="21"/>
      <c r="I18" s="21"/>
      <c r="J18" s="21"/>
      <c r="K18" s="21"/>
      <c r="L18" s="22"/>
      <c r="M18" s="22"/>
      <c r="N18" s="41"/>
      <c r="O18" s="42"/>
      <c r="P18" s="42"/>
      <c r="Q18" s="43"/>
      <c r="R18" s="44"/>
      <c r="S18" s="28"/>
      <c r="T18" s="77"/>
    </row>
    <row r="19" spans="1:22" s="29" customFormat="1">
      <c r="A19" s="45" t="s">
        <v>192</v>
      </c>
      <c r="B19" s="18"/>
      <c r="C19" s="81">
        <f>VLOOKUP(A19,'Identidad de Codigos'!A:C,3,FALSE)</f>
        <v>46824</v>
      </c>
      <c r="D19" s="18" t="s">
        <v>105</v>
      </c>
      <c r="E19" s="40">
        <v>43208</v>
      </c>
      <c r="F19" s="20" t="s">
        <v>85</v>
      </c>
      <c r="G19" s="21">
        <f t="shared" ref="G19:G22" si="7">SUM(I19:J19)</f>
        <v>150000000</v>
      </c>
      <c r="H19" s="21"/>
      <c r="I19" s="88">
        <v>150000000</v>
      </c>
      <c r="J19" s="88" t="str">
        <f>IF(ISERROR(VLOOKUP(C19,'Pos Tit ACG'!B:D,3,FALSE))=TRUE,"",VLOOKUP(C19,'Pos Tit ACG'!B:D,3,FALSE))</f>
        <v/>
      </c>
      <c r="K19" s="88"/>
      <c r="L19" s="22">
        <f>VLOOKUP(A19,'Precios para Valuar'!$C:$L,5,FALSE)</f>
        <v>96.570999999999998</v>
      </c>
      <c r="M19" s="22"/>
      <c r="N19" s="23">
        <f t="shared" ref="N19:N22" si="8">G19*L19/100</f>
        <v>144856500</v>
      </c>
      <c r="O19" s="26">
        <f>VLOOKUP(A19,'Precios para Valuar'!C:Z,6,FALSE)</f>
        <v>0.26450000000000001</v>
      </c>
      <c r="P19" s="26">
        <f>+O19</f>
        <v>0.26450000000000001</v>
      </c>
      <c r="Q19" s="27">
        <f>VLOOKUP(A19,'Precios para Valuar'!C:AC,9,FALSE)</f>
        <v>0.106</v>
      </c>
      <c r="R19" s="12">
        <f ca="1">N19/$N$102</f>
        <v>3.4853298098758825E-2</v>
      </c>
      <c r="S19" s="23"/>
      <c r="T19" s="77" t="str">
        <f>VLOOKUP(A19,'Precios para Valuar'!$C:$T,8,FALSE)</f>
        <v>MAE</v>
      </c>
      <c r="U19" s="6"/>
      <c r="V19" s="6"/>
    </row>
    <row r="20" spans="1:22" s="29" customFormat="1">
      <c r="A20" s="45" t="s">
        <v>193</v>
      </c>
      <c r="B20" s="18"/>
      <c r="C20" s="81">
        <f>VLOOKUP(A20,'Identidad de Codigos'!A:C,3,FALSE)</f>
        <v>46825</v>
      </c>
      <c r="D20" s="18" t="s">
        <v>105</v>
      </c>
      <c r="E20" s="76">
        <v>43236</v>
      </c>
      <c r="F20" s="20" t="s">
        <v>85</v>
      </c>
      <c r="G20" s="21">
        <f t="shared" si="7"/>
        <v>579600000</v>
      </c>
      <c r="H20" s="21"/>
      <c r="I20" s="88">
        <v>579600000</v>
      </c>
      <c r="J20" s="88"/>
      <c r="K20" s="88"/>
      <c r="L20" s="22">
        <f>VLOOKUP(A20,'Precios para Valuar'!$C:$L,5,FALSE)</f>
        <v>94.753</v>
      </c>
      <c r="M20" s="22"/>
      <c r="N20" s="23">
        <f t="shared" si="8"/>
        <v>549188388</v>
      </c>
      <c r="O20" s="26">
        <f>VLOOKUP(A20,'Precios para Valuar'!C:Z,6,FALSE)</f>
        <v>0.26250000000000001</v>
      </c>
      <c r="P20" s="26">
        <f t="shared" ref="P20:P22" si="9">+O20</f>
        <v>0.26250000000000001</v>
      </c>
      <c r="Q20" s="27">
        <f>VLOOKUP(A20,'Precios para Valuar'!C:AC,9,FALSE)</f>
        <v>0.16700000000000001</v>
      </c>
      <c r="R20" s="12">
        <f ca="1">N20/$N$102</f>
        <v>0.13213785090307181</v>
      </c>
      <c r="S20" s="23"/>
      <c r="T20" s="77" t="str">
        <f>VLOOKUP(A20,'Precios para Valuar'!$C:$T,8,FALSE)</f>
        <v>MAE</v>
      </c>
      <c r="U20" s="6"/>
      <c r="V20" s="6"/>
    </row>
    <row r="21" spans="1:22" s="29" customFormat="1">
      <c r="A21" s="45" t="s">
        <v>194</v>
      </c>
      <c r="B21" s="18"/>
      <c r="C21" s="81">
        <f>VLOOKUP(A21,'Identidad de Codigos'!A:C,3,FALSE)</f>
        <v>46827</v>
      </c>
      <c r="D21" s="18" t="s">
        <v>105</v>
      </c>
      <c r="E21" s="76">
        <v>43272</v>
      </c>
      <c r="F21" s="20" t="s">
        <v>85</v>
      </c>
      <c r="G21" s="21">
        <f t="shared" si="7"/>
        <v>220000000</v>
      </c>
      <c r="H21" s="21"/>
      <c r="I21" s="88">
        <v>220000000</v>
      </c>
      <c r="J21" s="88" t="str">
        <f>IF(ISERROR(VLOOKUP(C21,'Pos Tit ACG'!B:D,3,FALSE))=TRUE,"",VLOOKUP(C21,'Pos Tit ACG'!B:D,3,FALSE))</f>
        <v/>
      </c>
      <c r="K21" s="88"/>
      <c r="L21" s="22">
        <f>VLOOKUP(A21,'Precios para Valuar'!$C:$L,5,FALSE)</f>
        <v>92.602999999999994</v>
      </c>
      <c r="M21" s="22"/>
      <c r="N21" s="23">
        <f t="shared" si="8"/>
        <v>203726600</v>
      </c>
      <c r="O21" s="26">
        <f>VLOOKUP(A21,'Precios para Valuar'!C:Z,6,FALSE)</f>
        <v>0.25800000000000001</v>
      </c>
      <c r="P21" s="26">
        <f t="shared" si="9"/>
        <v>0.25800000000000001</v>
      </c>
      <c r="Q21" s="27">
        <f>VLOOKUP(A21,'Precios para Valuar'!C:AC,9,FALSE)</f>
        <v>0.246</v>
      </c>
      <c r="R21" s="12">
        <f ca="1">N21/$N$102</f>
        <v>4.9017779115515005E-2</v>
      </c>
      <c r="S21" s="23"/>
      <c r="T21" s="77" t="str">
        <f>VLOOKUP(A21,'Precios para Valuar'!$C:$T,8,FALSE)</f>
        <v>MAE</v>
      </c>
      <c r="U21" s="6"/>
      <c r="V21" s="6"/>
    </row>
    <row r="22" spans="1:22" s="29" customFormat="1">
      <c r="A22" s="45" t="s">
        <v>195</v>
      </c>
      <c r="B22" s="18"/>
      <c r="C22" s="81">
        <f>VLOOKUP(A22,'Identidad de Codigos'!A:C,3,FALSE)</f>
        <v>46828</v>
      </c>
      <c r="D22" s="18" t="s">
        <v>105</v>
      </c>
      <c r="E22" s="76">
        <v>43299</v>
      </c>
      <c r="F22" s="20" t="s">
        <v>85</v>
      </c>
      <c r="G22" s="21">
        <f t="shared" si="7"/>
        <v>210000000</v>
      </c>
      <c r="H22" s="21"/>
      <c r="I22" s="88">
        <v>210000000</v>
      </c>
      <c r="J22" s="88" t="str">
        <f>IF(ISERROR(VLOOKUP(C22,'Pos Tit ACG'!B:D,3,FALSE))=TRUE,"",VLOOKUP(C22,'Pos Tit ACG'!B:D,3,FALSE))</f>
        <v/>
      </c>
      <c r="K22" s="88"/>
      <c r="L22" s="22">
        <f>VLOOKUP(A22,'Precios para Valuar'!$C:$L,5,FALSE)</f>
        <v>90.932000000000002</v>
      </c>
      <c r="M22" s="22"/>
      <c r="N22" s="23">
        <f t="shared" si="8"/>
        <v>190957200</v>
      </c>
      <c r="O22" s="26">
        <f>VLOOKUP(A22,'Precios para Valuar'!C:Z,6,FALSE)</f>
        <v>0.26</v>
      </c>
      <c r="P22" s="26">
        <f t="shared" si="9"/>
        <v>0.26</v>
      </c>
      <c r="Q22" s="27">
        <f>VLOOKUP(A22,'Precios para Valuar'!C:AC,9,FALSE)</f>
        <v>0.30399999999999999</v>
      </c>
      <c r="R22" s="12">
        <f ca="1">N22/$N$102</f>
        <v>4.5945388820690186E-2</v>
      </c>
      <c r="S22" s="23"/>
      <c r="T22" s="77" t="str">
        <f>VLOOKUP(A22,'Precios para Valuar'!$C:$T,8,FALSE)</f>
        <v>devengado</v>
      </c>
      <c r="U22" s="6"/>
      <c r="V22" s="6"/>
    </row>
    <row r="23" spans="1:22" s="29" customFormat="1">
      <c r="A23" s="32" t="s">
        <v>41</v>
      </c>
      <c r="B23" s="32"/>
      <c r="C23" s="32"/>
      <c r="D23" s="32"/>
      <c r="E23" s="33"/>
      <c r="F23" s="32"/>
      <c r="G23" s="34"/>
      <c r="H23" s="34"/>
      <c r="I23" s="34"/>
      <c r="J23" s="34"/>
      <c r="K23" s="34"/>
      <c r="L23" s="35"/>
      <c r="M23" s="35"/>
      <c r="N23" s="36"/>
      <c r="O23" s="37"/>
      <c r="P23" s="37"/>
      <c r="Q23" s="38"/>
      <c r="R23" s="39"/>
      <c r="S23" s="28"/>
      <c r="T23" s="77"/>
      <c r="U23" s="6"/>
    </row>
    <row r="24" spans="1:22">
      <c r="A24" s="13" t="s">
        <v>11</v>
      </c>
      <c r="B24" s="28"/>
      <c r="C24" s="28"/>
      <c r="D24" s="28"/>
      <c r="E24" s="40"/>
      <c r="F24" s="28"/>
      <c r="G24" s="21"/>
      <c r="H24" s="21"/>
      <c r="I24" s="21"/>
      <c r="J24" s="21"/>
      <c r="K24" s="21"/>
      <c r="L24" s="22"/>
      <c r="M24" s="22"/>
      <c r="N24" s="41"/>
      <c r="O24" s="42"/>
      <c r="P24" s="42"/>
      <c r="Q24" s="43"/>
      <c r="R24" s="44"/>
      <c r="S24" s="28"/>
      <c r="T24" s="77"/>
    </row>
    <row r="25" spans="1:22" s="29" customFormat="1">
      <c r="A25" s="45" t="s">
        <v>43</v>
      </c>
      <c r="B25" s="18" t="str">
        <f>VLOOKUP(A25,'Identidad de Codigos'!A:C,2,FALSE)</f>
        <v>ARBHIP5600O4</v>
      </c>
      <c r="C25" s="81">
        <f>VLOOKUP(A25,'Identidad de Codigos'!A:C,3,FALSE)</f>
        <v>52259</v>
      </c>
      <c r="D25" s="18" t="s">
        <v>44</v>
      </c>
      <c r="E25" s="40">
        <v>43881</v>
      </c>
      <c r="F25" s="20" t="s">
        <v>13</v>
      </c>
      <c r="G25" s="21">
        <f t="shared" ref="G25:G47" si="10">SUM(I25:J25)</f>
        <v>60000000</v>
      </c>
      <c r="H25" s="21">
        <f t="shared" ref="H25:H46" si="11">G25-SUM(I25:K25)</f>
        <v>0</v>
      </c>
      <c r="I25" s="88">
        <v>51500000</v>
      </c>
      <c r="J25" s="88">
        <v>8500000</v>
      </c>
      <c r="K25" s="88"/>
      <c r="L25" s="22">
        <f>VLOOKUP(A25,'Precios para Valuar'!$C:$L,5,FALSE)</f>
        <v>99.007000000000005</v>
      </c>
      <c r="M25" s="22"/>
      <c r="N25" s="23">
        <f t="shared" ref="N25:N46" si="12">+G25*L25/100</f>
        <v>59404200</v>
      </c>
      <c r="O25" s="26">
        <f>VLOOKUP(A25,'Precios para Valuar'!C:Z,6,FALSE)</f>
        <v>4.3200000000000002E-2</v>
      </c>
      <c r="P25" s="26">
        <f t="shared" ref="P25:P47" si="13">+O25+Badlar</f>
        <v>0.27095000000000002</v>
      </c>
      <c r="Q25" s="27">
        <f>VLOOKUP(A25,'Precios para Valuar'!C:AC,9,FALSE)</f>
        <v>1.49</v>
      </c>
      <c r="R25" s="12">
        <f ca="1">N25/$N$102</f>
        <v>1.4292988515657143E-2</v>
      </c>
      <c r="S25" s="23"/>
      <c r="T25" s="77" t="str">
        <f>VLOOKUP(A25,'Precios para Valuar'!$C:$T,8,FALSE)</f>
        <v>devengado</v>
      </c>
      <c r="U25" s="6"/>
      <c r="V25" s="6"/>
    </row>
    <row r="26" spans="1:22" s="29" customFormat="1">
      <c r="A26" s="45" t="s">
        <v>354</v>
      </c>
      <c r="B26" s="18" t="str">
        <f>VLOOKUP(A26,'Identidad de Codigos'!A:C,2,FALSE)</f>
        <v>ARBHIP5600W7</v>
      </c>
      <c r="C26" s="81">
        <f>VLOOKUP(A26,'Identidad de Codigos'!A:C,3,FALSE)</f>
        <v>11111</v>
      </c>
      <c r="D26" s="18" t="s">
        <v>356</v>
      </c>
      <c r="E26" s="40">
        <v>43875</v>
      </c>
      <c r="F26" s="20" t="s">
        <v>13</v>
      </c>
      <c r="G26" s="21">
        <f>SUM(I26:J26)</f>
        <v>19000000</v>
      </c>
      <c r="H26" s="21">
        <f>G26-SUM(I26:K26)</f>
        <v>0</v>
      </c>
      <c r="I26" s="102">
        <v>15000000</v>
      </c>
      <c r="J26" s="102">
        <v>4000000</v>
      </c>
      <c r="K26" s="102"/>
      <c r="L26" s="22">
        <f>VLOOKUP(A26,'Precios para Valuar'!$C:$L,5,FALSE)</f>
        <v>101.111</v>
      </c>
      <c r="M26" s="22"/>
      <c r="N26" s="23">
        <f>+G26*L26/100</f>
        <v>19211090</v>
      </c>
      <c r="O26" s="26">
        <f>VLOOKUP(A26,'Precios para Valuar'!C:Z,6,FALSE)</f>
        <v>3.5999999999999997E-2</v>
      </c>
      <c r="P26" s="26">
        <f>+O26+Badlar</f>
        <v>0.26374999999999998</v>
      </c>
      <c r="Q26" s="27">
        <f>VLOOKUP(A26,'Precios para Valuar'!C:AC,9,FALSE)</f>
        <v>1.4670000000000001</v>
      </c>
      <c r="R26" s="12">
        <f ca="1">N26/$N$102</f>
        <v>4.6222975604966613E-3</v>
      </c>
      <c r="S26" s="23"/>
      <c r="T26" s="77" t="str">
        <f>VLOOKUP(A26,'Precios para Valuar'!$C:$T,8,FALSE)</f>
        <v>VT</v>
      </c>
      <c r="U26" s="6"/>
      <c r="V26" s="6"/>
    </row>
    <row r="27" spans="1:22" s="29" customFormat="1">
      <c r="A27" s="45" t="s">
        <v>46</v>
      </c>
      <c r="B27" s="18" t="str">
        <f>VLOOKUP(A27,'Identidad de Codigos'!A:C,2,FALSE)</f>
        <v>ARBRIO5600D9</v>
      </c>
      <c r="C27" s="81">
        <f>VLOOKUP(A27,'Identidad de Codigos'!A:C,3,FALSE)</f>
        <v>52261</v>
      </c>
      <c r="D27" s="18" t="s">
        <v>47</v>
      </c>
      <c r="E27" s="76">
        <v>43885</v>
      </c>
      <c r="F27" s="20" t="s">
        <v>13</v>
      </c>
      <c r="G27" s="21">
        <f t="shared" si="10"/>
        <v>60000000</v>
      </c>
      <c r="H27" s="21">
        <f t="shared" si="11"/>
        <v>0</v>
      </c>
      <c r="I27" s="102">
        <v>50000000</v>
      </c>
      <c r="J27" s="88">
        <v>10000000</v>
      </c>
      <c r="K27" s="88"/>
      <c r="L27" s="22">
        <f>VLOOKUP(A27,'Precios para Valuar'!$C:$L,5,FALSE)</f>
        <v>100.529</v>
      </c>
      <c r="M27" s="22"/>
      <c r="N27" s="23">
        <f t="shared" si="12"/>
        <v>60317400</v>
      </c>
      <c r="O27" s="26">
        <f>VLOOKUP(A27,'Precios para Valuar'!C:Z,6,FALSE)</f>
        <v>2.7699999999999999E-2</v>
      </c>
      <c r="P27" s="26">
        <f t="shared" si="13"/>
        <v>0.25545000000000001</v>
      </c>
      <c r="Q27" s="27">
        <f>VLOOKUP(A27,'Precios para Valuar'!C:AC,9,FALSE)</f>
        <v>1.5029999999999999</v>
      </c>
      <c r="R27" s="12">
        <f ca="1">N27/$N$102</f>
        <v>1.4512709631546222E-2</v>
      </c>
      <c r="S27" s="23"/>
      <c r="T27" s="77" t="str">
        <f>VLOOKUP(A27,'Precios para Valuar'!$C:$T,8,FALSE)</f>
        <v>VT</v>
      </c>
      <c r="U27" s="6"/>
      <c r="V27" s="6"/>
    </row>
    <row r="28" spans="1:22" s="29" customFormat="1">
      <c r="A28" s="45" t="s">
        <v>42</v>
      </c>
      <c r="B28" s="18" t="str">
        <f>VLOOKUP(A28,'Identidad de Codigos'!A:C,2,FALSE)</f>
        <v>ARBRIO5600F4</v>
      </c>
      <c r="C28" s="81">
        <f>VLOOKUP(A28,'Identidad de Codigos'!A:C,3,FALSE)</f>
        <v>52320</v>
      </c>
      <c r="D28" s="18" t="s">
        <v>49</v>
      </c>
      <c r="E28" s="76">
        <v>43922</v>
      </c>
      <c r="F28" s="20" t="s">
        <v>13</v>
      </c>
      <c r="G28" s="21">
        <f t="shared" si="10"/>
        <v>80000000</v>
      </c>
      <c r="H28" s="21">
        <f t="shared" si="11"/>
        <v>0</v>
      </c>
      <c r="I28" s="102">
        <v>80000000</v>
      </c>
      <c r="J28" s="88"/>
      <c r="K28" s="88"/>
      <c r="L28" s="22">
        <f>VLOOKUP(A28,'Precios para Valuar'!$C:$L,5,FALSE)</f>
        <v>104.25700000000001</v>
      </c>
      <c r="M28" s="22"/>
      <c r="N28" s="23">
        <f t="shared" si="12"/>
        <v>83405600</v>
      </c>
      <c r="O28" s="26">
        <f>VLOOKUP(A28,'Precios para Valuar'!C:Z,6,FALSE)</f>
        <v>2.47E-2</v>
      </c>
      <c r="P28" s="26">
        <f t="shared" si="13"/>
        <v>0.25245000000000001</v>
      </c>
      <c r="Q28" s="27">
        <f>VLOOKUP(A28,'Precios para Valuar'!C:AC,9,FALSE)</f>
        <v>1.494</v>
      </c>
      <c r="R28" s="12">
        <f ca="1">N28/$N$102</f>
        <v>2.0067861917869332E-2</v>
      </c>
      <c r="S28" s="23"/>
      <c r="T28" s="77" t="str">
        <f>VLOOKUP(A28,'Precios para Valuar'!$C:$T,8,FALSE)</f>
        <v>VT</v>
      </c>
      <c r="U28" s="6"/>
      <c r="V28" s="6"/>
    </row>
    <row r="29" spans="1:22" s="29" customFormat="1">
      <c r="A29" s="45" t="s">
        <v>50</v>
      </c>
      <c r="B29" s="18" t="str">
        <f>VLOOKUP(A29,'Identidad de Codigos'!A:C,2,FALSE)</f>
        <v>ARITAU560074</v>
      </c>
      <c r="C29" s="81">
        <f>VLOOKUP(A29,'Identidad de Codigos'!A:C,3,FALSE)</f>
        <v>51630</v>
      </c>
      <c r="D29" s="18" t="s">
        <v>51</v>
      </c>
      <c r="E29" s="40">
        <v>43659</v>
      </c>
      <c r="F29" s="20" t="s">
        <v>13</v>
      </c>
      <c r="G29" s="21">
        <f t="shared" si="10"/>
        <v>20888888</v>
      </c>
      <c r="H29" s="21">
        <f t="shared" si="11"/>
        <v>0</v>
      </c>
      <c r="I29" s="102">
        <v>15888888</v>
      </c>
      <c r="J29" s="88">
        <v>5000000</v>
      </c>
      <c r="K29" s="88"/>
      <c r="L29" s="22">
        <f>VLOOKUP(A29,'Precios para Valuar'!$C:$L,5,FALSE)</f>
        <v>103.82599999999999</v>
      </c>
      <c r="M29" s="22"/>
      <c r="N29" s="23">
        <f t="shared" si="12"/>
        <v>21688096.854879998</v>
      </c>
      <c r="O29" s="26">
        <f>VLOOKUP(A29,'Precios para Valuar'!C:Z,6,FALSE)</f>
        <v>2.87E-2</v>
      </c>
      <c r="P29" s="26">
        <f t="shared" si="13"/>
        <v>0.25645000000000001</v>
      </c>
      <c r="Q29" s="27">
        <f>VLOOKUP(A29,'Precios para Valuar'!C:AC,9,FALSE)</f>
        <v>0.74</v>
      </c>
      <c r="R29" s="12">
        <f ca="1">N29/$N$102</f>
        <v>5.2182795033559846E-3</v>
      </c>
      <c r="S29" s="23"/>
      <c r="T29" s="77" t="str">
        <f>VLOOKUP(A29,'Precios para Valuar'!$C:$T,8,FALSE)</f>
        <v>devengado</v>
      </c>
      <c r="U29" s="6"/>
      <c r="V29" s="6"/>
    </row>
    <row r="30" spans="1:22" s="29" customFormat="1">
      <c r="A30" s="45" t="s">
        <v>52</v>
      </c>
      <c r="B30" s="18" t="str">
        <f>VLOOKUP(A30,'Identidad de Codigos'!A:C,2,FALSE)</f>
        <v>ARFRAN560094</v>
      </c>
      <c r="C30" s="81">
        <f>VLOOKUP(A30,'Identidad de Codigos'!A:C,3,FALSE)</f>
        <v>51730</v>
      </c>
      <c r="D30" s="18" t="s">
        <v>53</v>
      </c>
      <c r="E30" s="40">
        <v>43685</v>
      </c>
      <c r="F30" s="20" t="s">
        <v>13</v>
      </c>
      <c r="G30" s="21">
        <f t="shared" si="10"/>
        <v>11546000</v>
      </c>
      <c r="H30" s="21">
        <f t="shared" si="11"/>
        <v>0</v>
      </c>
      <c r="I30" s="102">
        <v>11546000</v>
      </c>
      <c r="J30" s="88"/>
      <c r="K30" s="88"/>
      <c r="L30" s="22">
        <f>VLOOKUP(A30,'Precios para Valuar'!$C:$L,5,FALSE)</f>
        <v>101.16</v>
      </c>
      <c r="M30" s="22"/>
      <c r="N30" s="23">
        <f t="shared" si="12"/>
        <v>11679933.6</v>
      </c>
      <c r="O30" s="26">
        <f>VLOOKUP(A30,'Precios para Valuar'!C:Z,6,FALSE)</f>
        <v>3.5400000000000001E-2</v>
      </c>
      <c r="P30" s="26">
        <f t="shared" si="13"/>
        <v>0.26315</v>
      </c>
      <c r="Q30" s="27">
        <f>VLOOKUP(A30,'Precios para Valuar'!C:AC,9,FALSE)</f>
        <v>1.1599999999999999</v>
      </c>
      <c r="R30" s="12">
        <f ca="1">N30/$N$102</f>
        <v>2.8102584801821752E-3</v>
      </c>
      <c r="S30" s="23"/>
      <c r="T30" s="77" t="str">
        <f>VLOOKUP(A30,'Precios para Valuar'!$C:$T,8,FALSE)</f>
        <v>devengado</v>
      </c>
      <c r="U30" s="6"/>
      <c r="V30" s="6"/>
    </row>
    <row r="31" spans="1:22" s="29" customFormat="1">
      <c r="A31" s="45" t="s">
        <v>191</v>
      </c>
      <c r="B31" s="18" t="str">
        <f>VLOOKUP(A31,'Identidad de Codigos'!A:C,2,FALSE)</f>
        <v>ARFICR560057</v>
      </c>
      <c r="C31" s="81">
        <f>VLOOKUP(A31,'Identidad de Codigos'!A:C,3,FALSE)</f>
        <v>51734</v>
      </c>
      <c r="D31" s="18" t="s">
        <v>54</v>
      </c>
      <c r="E31" s="40">
        <v>43322</v>
      </c>
      <c r="F31" s="20" t="s">
        <v>13</v>
      </c>
      <c r="G31" s="21">
        <f t="shared" si="10"/>
        <v>8000000</v>
      </c>
      <c r="H31" s="21">
        <f t="shared" si="11"/>
        <v>0</v>
      </c>
      <c r="I31" s="88">
        <v>8000000</v>
      </c>
      <c r="J31" s="88"/>
      <c r="K31" s="88"/>
      <c r="L31" s="22">
        <f>VLOOKUP(A31,'Precios para Valuar'!$C:$L,5,FALSE)</f>
        <v>67.554000000000002</v>
      </c>
      <c r="M31" s="22"/>
      <c r="N31" s="23">
        <f t="shared" si="12"/>
        <v>5404320</v>
      </c>
      <c r="O31" s="26">
        <f>VLOOKUP(A31,'Precios para Valuar'!C:Z,6,FALSE)</f>
        <v>2.93E-2</v>
      </c>
      <c r="P31" s="26">
        <f t="shared" si="13"/>
        <v>0.25705</v>
      </c>
      <c r="Q31" s="27">
        <f>VLOOKUP(A31,'Precios para Valuar'!C:AC,9,FALSE)</f>
        <v>0.433</v>
      </c>
      <c r="R31" s="12">
        <f ca="1">N31/$N$102</f>
        <v>1.3003101412852325E-3</v>
      </c>
      <c r="S31" s="23"/>
      <c r="T31" s="77" t="str">
        <f>VLOOKUP(A31,'Precios para Valuar'!$C:$T,8,FALSE)</f>
        <v>devengado</v>
      </c>
      <c r="U31" s="6"/>
      <c r="V31" s="6"/>
    </row>
    <row r="32" spans="1:22" s="29" customFormat="1">
      <c r="A32" s="28" t="s">
        <v>55</v>
      </c>
      <c r="B32" s="18" t="str">
        <f>VLOOKUP(A32,'Identidad de Codigos'!A:C,2,FALSE)</f>
        <v>ARGPAT5600A4</v>
      </c>
      <c r="C32" s="81">
        <f>VLOOKUP(A32,'Identidad de Codigos'!A:C,3,FALSE)</f>
        <v>52167</v>
      </c>
      <c r="D32" s="18" t="s">
        <v>56</v>
      </c>
      <c r="E32" s="76">
        <v>43489</v>
      </c>
      <c r="F32" s="20" t="s">
        <v>13</v>
      </c>
      <c r="G32" s="21">
        <f t="shared" si="10"/>
        <v>5285714</v>
      </c>
      <c r="H32" s="21">
        <f t="shared" si="11"/>
        <v>0</v>
      </c>
      <c r="I32" s="102">
        <v>5285714</v>
      </c>
      <c r="J32" s="88"/>
      <c r="K32" s="88"/>
      <c r="L32" s="22">
        <f>VLOOKUP(A32,'Precios para Valuar'!$C:$L,5,FALSE)</f>
        <v>102.679</v>
      </c>
      <c r="M32" s="22"/>
      <c r="N32" s="23">
        <f t="shared" si="12"/>
        <v>5427318.2780600004</v>
      </c>
      <c r="O32" s="26">
        <f>VLOOKUP(A32,'Precios para Valuar'!C:Z,6,FALSE)</f>
        <v>3.44E-2</v>
      </c>
      <c r="P32" s="26">
        <f t="shared" si="13"/>
        <v>0.26214999999999999</v>
      </c>
      <c r="Q32" s="27">
        <f>VLOOKUP(A32,'Precios para Valuar'!C:AC,9,FALSE)</f>
        <v>0.75</v>
      </c>
      <c r="R32" s="12">
        <f ca="1">N32/$N$102</f>
        <v>1.3058436578411573E-3</v>
      </c>
      <c r="S32" s="23"/>
      <c r="T32" s="77" t="str">
        <f>VLOOKUP(A32,'Precios para Valuar'!$C:$T,8,FALSE)</f>
        <v>VT</v>
      </c>
      <c r="U32" s="6"/>
      <c r="V32" s="6"/>
    </row>
    <row r="33" spans="1:22" s="29" customFormat="1">
      <c r="A33" s="28" t="s">
        <v>57</v>
      </c>
      <c r="B33" s="18" t="str">
        <f>VLOOKUP(A33,'Identidad de Codigos'!A:C,2,FALSE)</f>
        <v>ARGPAT560065</v>
      </c>
      <c r="C33" s="81">
        <f>VLOOKUP(A33,'Identidad de Codigos'!A:C,3,FALSE)</f>
        <v>51579</v>
      </c>
      <c r="D33" s="18" t="s">
        <v>58</v>
      </c>
      <c r="E33" s="40">
        <v>43630</v>
      </c>
      <c r="F33" s="20" t="s">
        <v>13</v>
      </c>
      <c r="G33" s="21">
        <f t="shared" si="10"/>
        <v>15000000</v>
      </c>
      <c r="H33" s="21">
        <f t="shared" si="11"/>
        <v>0</v>
      </c>
      <c r="I33" s="102">
        <v>15000000</v>
      </c>
      <c r="J33" s="88"/>
      <c r="K33" s="88"/>
      <c r="L33" s="22">
        <f>VLOOKUP(A33,'Precios para Valuar'!$C:$L,5,FALSE)</f>
        <v>105.235</v>
      </c>
      <c r="M33" s="22"/>
      <c r="N33" s="23">
        <f t="shared" si="12"/>
        <v>15785250</v>
      </c>
      <c r="O33" s="26">
        <f>VLOOKUP(A33,'Precios para Valuar'!C:Z,6,FALSE)</f>
        <v>3.8800000000000001E-2</v>
      </c>
      <c r="P33" s="26">
        <f t="shared" si="13"/>
        <v>0.26655000000000001</v>
      </c>
      <c r="Q33" s="27">
        <f>VLOOKUP(A33,'Precios para Valuar'!C:AC,9,FALSE)</f>
        <v>0.98699999999999999</v>
      </c>
      <c r="R33" s="12">
        <f ca="1">N33/$N$102</f>
        <v>3.7980209642883315E-3</v>
      </c>
      <c r="S33" s="23"/>
      <c r="T33" s="77" t="str">
        <f>VLOOKUP(A33,'Precios para Valuar'!$C:$T,8,FALSE)</f>
        <v>devengado</v>
      </c>
      <c r="U33" s="6"/>
      <c r="V33" s="6"/>
    </row>
    <row r="34" spans="1:22" s="29" customFormat="1">
      <c r="A34" s="87" t="s">
        <v>59</v>
      </c>
      <c r="B34" s="18" t="str">
        <f>VLOOKUP(A34,'Identidad de Codigos'!A:C,2,FALSE)</f>
        <v>ARGPAT5600E6</v>
      </c>
      <c r="C34" s="81">
        <f>VLOOKUP(A34,'Identidad de Codigos'!A:C,3,FALSE)</f>
        <v>52584</v>
      </c>
      <c r="D34" s="18" t="s">
        <v>60</v>
      </c>
      <c r="E34" s="40">
        <v>43630</v>
      </c>
      <c r="F34" s="20" t="s">
        <v>13</v>
      </c>
      <c r="G34" s="21">
        <f t="shared" si="10"/>
        <v>24666666</v>
      </c>
      <c r="H34" s="21">
        <f t="shared" ref="H34" si="14">G34-SUM(I34:K34)</f>
        <v>0</v>
      </c>
      <c r="I34" s="102">
        <v>24666666</v>
      </c>
      <c r="J34" s="88"/>
      <c r="K34" s="88"/>
      <c r="L34" s="22">
        <f>VLOOKUP(A34,'Precios para Valuar'!$C:$L,5,FALSE)</f>
        <v>104.73</v>
      </c>
      <c r="M34" s="22"/>
      <c r="N34" s="23">
        <f t="shared" ref="N34" si="15">+G34*L34/100</f>
        <v>25833399.301800001</v>
      </c>
      <c r="O34" s="26">
        <f>VLOOKUP(A34,'Precios para Valuar'!C:Z,6,FALSE)</f>
        <v>3.9699999999999999E-2</v>
      </c>
      <c r="P34" s="26">
        <f t="shared" si="13"/>
        <v>0.26745000000000002</v>
      </c>
      <c r="Q34" s="27">
        <f>VLOOKUP(A34,'Precios para Valuar'!C:AC,9,FALSE)</f>
        <v>1.591</v>
      </c>
      <c r="R34" s="12">
        <f ca="1">N34/$N$102</f>
        <v>6.2156628578621149E-3</v>
      </c>
      <c r="S34" s="23"/>
      <c r="T34" s="77" t="str">
        <f>VLOOKUP(A34,'Precios para Valuar'!$C:$T,8,FALSE)</f>
        <v>VT</v>
      </c>
      <c r="U34" s="6"/>
      <c r="V34" s="6"/>
    </row>
    <row r="35" spans="1:22" s="29" customFormat="1">
      <c r="A35" s="28" t="s">
        <v>223</v>
      </c>
      <c r="B35" s="18" t="str">
        <f>VLOOKUP(A35,'Identidad de Codigos'!A:C,2,FALSE)</f>
        <v>ARGPAT5600H9</v>
      </c>
      <c r="C35" s="81">
        <f>VLOOKUP(A35,'Identidad de Codigos'!A:C,3,FALSE)</f>
        <v>52897</v>
      </c>
      <c r="D35" s="18" t="s">
        <v>60</v>
      </c>
      <c r="E35" s="40">
        <v>43630</v>
      </c>
      <c r="F35" s="20" t="s">
        <v>13</v>
      </c>
      <c r="G35" s="21">
        <f t="shared" si="10"/>
        <v>10000000</v>
      </c>
      <c r="H35" s="21">
        <f t="shared" si="11"/>
        <v>0</v>
      </c>
      <c r="I35" s="88">
        <v>10000000</v>
      </c>
      <c r="J35" s="88"/>
      <c r="K35" s="88"/>
      <c r="L35" s="22">
        <f>VLOOKUP(A35,'Precios para Valuar'!$C:$L,5,FALSE)</f>
        <v>104.078</v>
      </c>
      <c r="M35" s="22"/>
      <c r="N35" s="23">
        <f t="shared" si="12"/>
        <v>10407800</v>
      </c>
      <c r="O35" s="26">
        <f>VLOOKUP(A35,'Precios para Valuar'!C:Z,6,FALSE)</f>
        <v>4.1700000000000001E-2</v>
      </c>
      <c r="P35" s="26">
        <f t="shared" si="13"/>
        <v>0.26945000000000002</v>
      </c>
      <c r="Q35" s="27">
        <f>VLOOKUP(A35,'Precios para Valuar'!C:AC,9,FALSE)</f>
        <v>1.7330000000000001</v>
      </c>
      <c r="R35" s="12">
        <f ca="1">N35/$N$102</f>
        <v>2.5041758978869575E-3</v>
      </c>
      <c r="S35" s="23"/>
      <c r="T35" s="77" t="str">
        <f>VLOOKUP(A35,'Precios para Valuar'!$C:$T,8,FALSE)</f>
        <v>VT</v>
      </c>
      <c r="U35" s="6"/>
      <c r="V35" s="6"/>
    </row>
    <row r="36" spans="1:22" s="29" customFormat="1">
      <c r="A36" s="45" t="s">
        <v>201</v>
      </c>
      <c r="B36" s="18" t="str">
        <f>VLOOKUP(A36,'Identidad de Codigos'!A:C,2,FALSE)</f>
        <v>ARJDCC560022</v>
      </c>
      <c r="C36" s="81">
        <f>VLOOKUP(A36,'Identidad de Codigos'!A:C,3,FALSE)</f>
        <v>51350</v>
      </c>
      <c r="D36" s="18" t="s">
        <v>62</v>
      </c>
      <c r="E36" s="40">
        <v>43189</v>
      </c>
      <c r="F36" s="20" t="s">
        <v>13</v>
      </c>
      <c r="G36" s="21">
        <f t="shared" si="10"/>
        <v>5084982</v>
      </c>
      <c r="H36" s="21">
        <f t="shared" si="11"/>
        <v>0</v>
      </c>
      <c r="I36" s="88">
        <v>5084982</v>
      </c>
      <c r="J36" s="88"/>
      <c r="K36" s="88"/>
      <c r="L36" s="22">
        <f>VLOOKUP(A36,'Precios para Valuar'!$C:$L,5,FALSE)</f>
        <v>104.563</v>
      </c>
      <c r="M36" s="22"/>
      <c r="N36" s="23">
        <f t="shared" si="12"/>
        <v>5317009.7286599996</v>
      </c>
      <c r="O36" s="26">
        <f>VLOOKUP(A36,'Precios para Valuar'!C:Z,6,FALSE)</f>
        <v>4.2000000000000003E-2</v>
      </c>
      <c r="P36" s="26">
        <f t="shared" si="13"/>
        <v>0.26974999999999999</v>
      </c>
      <c r="Q36" s="27">
        <f>VLOOKUP(A36,'Precios para Valuar'!C:AC,9,FALSE)</f>
        <v>7.5999999999999998E-2</v>
      </c>
      <c r="R36" s="12">
        <f ca="1">N36/$N$102</f>
        <v>1.2793027932263151E-3</v>
      </c>
      <c r="S36" s="23"/>
      <c r="T36" s="77" t="str">
        <f>VLOOKUP(A36,'Precios para Valuar'!$C:$T,8,FALSE)</f>
        <v>VT</v>
      </c>
      <c r="U36" s="6"/>
      <c r="V36" s="6"/>
    </row>
    <row r="37" spans="1:22" s="29" customFormat="1">
      <c r="A37" s="28" t="s">
        <v>63</v>
      </c>
      <c r="B37" s="18" t="str">
        <f>VLOOKUP(A37,'Identidad de Codigos'!A:C,2,FALSE)</f>
        <v>ARTACU5600D7</v>
      </c>
      <c r="C37" s="81">
        <f>VLOOKUP(A37,'Identidad de Codigos'!A:C,3,FALSE)</f>
        <v>51685</v>
      </c>
      <c r="D37" s="18" t="s">
        <v>64</v>
      </c>
      <c r="E37" s="40">
        <v>44039</v>
      </c>
      <c r="F37" s="20" t="s">
        <v>13</v>
      </c>
      <c r="G37" s="21">
        <f t="shared" si="10"/>
        <v>28000000</v>
      </c>
      <c r="H37" s="21">
        <f t="shared" si="11"/>
        <v>0</v>
      </c>
      <c r="I37" s="102">
        <v>21900000</v>
      </c>
      <c r="J37" s="88">
        <v>6100000</v>
      </c>
      <c r="K37" s="88"/>
      <c r="L37" s="22">
        <f>VLOOKUP(A37,'Precios para Valuar'!$C:$L,5,FALSE)</f>
        <v>102.35299999999999</v>
      </c>
      <c r="M37" s="22"/>
      <c r="N37" s="23">
        <f t="shared" si="12"/>
        <v>28658840</v>
      </c>
      <c r="O37" s="26">
        <f>VLOOKUP(A37,'Precios para Valuar'!C:Z,6,FALSE)</f>
        <v>4.02E-2</v>
      </c>
      <c r="P37" s="26">
        <f t="shared" si="13"/>
        <v>0.26795000000000002</v>
      </c>
      <c r="Q37" s="27">
        <f>VLOOKUP(A37,'Precios para Valuar'!C:AC,9,FALSE)</f>
        <v>1.7</v>
      </c>
      <c r="R37" s="12">
        <f ca="1">N37/$N$102</f>
        <v>6.8954799659292701E-3</v>
      </c>
      <c r="S37" s="23"/>
      <c r="T37" s="77" t="str">
        <f>VLOOKUP(A37,'Precios para Valuar'!$C:$T,8,FALSE)</f>
        <v>devengado</v>
      </c>
      <c r="U37" s="6"/>
      <c r="V37" s="6"/>
    </row>
    <row r="38" spans="1:22" s="29" customFormat="1">
      <c r="A38" s="28" t="s">
        <v>66</v>
      </c>
      <c r="B38" s="18" t="str">
        <f>VLOOKUP(A38,'Identidad de Codigos'!A:C,2,FALSE)</f>
        <v>ARTANA5600C8</v>
      </c>
      <c r="C38" s="81">
        <f>VLOOKUP(A38,'Identidad de Codigos'!A:C,3,FALSE)</f>
        <v>51856</v>
      </c>
      <c r="D38" s="18" t="s">
        <v>67</v>
      </c>
      <c r="E38" s="40">
        <v>44102</v>
      </c>
      <c r="F38" s="20" t="s">
        <v>13</v>
      </c>
      <c r="G38" s="21">
        <f t="shared" si="10"/>
        <v>46463333</v>
      </c>
      <c r="H38" s="21">
        <f t="shared" si="11"/>
        <v>0</v>
      </c>
      <c r="I38" s="102">
        <v>46463333</v>
      </c>
      <c r="J38" s="88"/>
      <c r="K38" s="88"/>
      <c r="L38" s="22">
        <f>VLOOKUP(A38,'Precios para Valuar'!$C:$L,5,FALSE)</f>
        <v>104.736</v>
      </c>
      <c r="M38" s="22"/>
      <c r="N38" s="23">
        <f t="shared" si="12"/>
        <v>48663836.450880006</v>
      </c>
      <c r="O38" s="26">
        <f>VLOOKUP(A38,'Precios para Valuar'!C:Z,6,FALSE)</f>
        <v>3.9899999999999998E-2</v>
      </c>
      <c r="P38" s="26">
        <f t="shared" si="13"/>
        <v>0.26765</v>
      </c>
      <c r="Q38" s="27">
        <f>VLOOKUP(A38,'Precios para Valuar'!C:AC,9,FALSE)</f>
        <v>1.7050000000000001</v>
      </c>
      <c r="R38" s="12">
        <f ca="1">N38/$N$102</f>
        <v>1.1708795935645045E-2</v>
      </c>
      <c r="S38" s="23"/>
      <c r="T38" s="77" t="str">
        <f>VLOOKUP(A38,'Precios para Valuar'!$C:$T,8,FALSE)</f>
        <v>devengado</v>
      </c>
      <c r="U38" s="6"/>
      <c r="V38" s="6"/>
    </row>
    <row r="39" spans="1:22" s="29" customFormat="1">
      <c r="A39" s="28" t="s">
        <v>190</v>
      </c>
      <c r="B39" s="18" t="str">
        <f>VLOOKUP(A39,'Identidad de Codigos'!A:C,2,FALSE)</f>
        <v>ARROMB5600A7</v>
      </c>
      <c r="C39" s="81">
        <f>VLOOKUP(A39,'Identidad de Codigos'!A:C,3,FALSE)</f>
        <v>51938</v>
      </c>
      <c r="D39" s="18" t="s">
        <v>68</v>
      </c>
      <c r="E39" s="40">
        <v>43766</v>
      </c>
      <c r="F39" s="20" t="s">
        <v>13</v>
      </c>
      <c r="G39" s="21">
        <f t="shared" si="10"/>
        <v>26277777</v>
      </c>
      <c r="H39" s="21">
        <f t="shared" si="11"/>
        <v>0</v>
      </c>
      <c r="I39" s="88">
        <v>26277777</v>
      </c>
      <c r="J39" s="88"/>
      <c r="K39" s="88"/>
      <c r="L39" s="22">
        <f>VLOOKUP(A39,'Precios para Valuar'!$C:$L,5,FALSE)</f>
        <v>102.372</v>
      </c>
      <c r="M39" s="22"/>
      <c r="N39" s="23">
        <f>+G39*L39/100</f>
        <v>26901085.870440003</v>
      </c>
      <c r="O39" s="26">
        <f>VLOOKUP(A39,'Precios para Valuar'!C:Z,6,FALSE)</f>
        <v>3.9899999999999998E-2</v>
      </c>
      <c r="P39" s="26">
        <f t="shared" si="13"/>
        <v>0.26765</v>
      </c>
      <c r="Q39" s="27">
        <f>VLOOKUP(A39,'Precios para Valuar'!C:AC,9,FALSE)</f>
        <v>1.1240000000000001</v>
      </c>
      <c r="R39" s="12">
        <f ca="1">N39/$N$102</f>
        <v>6.4725543211575209E-3</v>
      </c>
      <c r="S39" s="23"/>
      <c r="T39" s="77" t="str">
        <f>VLOOKUP(A39,'Precios para Valuar'!$C:$T,8,FALSE)</f>
        <v>devengado</v>
      </c>
      <c r="U39" s="6"/>
      <c r="V39" s="6"/>
    </row>
    <row r="40" spans="1:22" s="29" customFormat="1">
      <c r="A40" s="28" t="s">
        <v>69</v>
      </c>
      <c r="B40" s="18" t="str">
        <f>VLOOKUP(A40,'Identidad de Codigos'!A:C,2,FALSE)</f>
        <v>ARROMB5600B5</v>
      </c>
      <c r="C40" s="81">
        <f>VLOOKUP(A40,'Identidad de Codigos'!A:C,3,FALSE)</f>
        <v>52186</v>
      </c>
      <c r="D40" s="18" t="s">
        <v>70</v>
      </c>
      <c r="E40" s="76">
        <v>43495</v>
      </c>
      <c r="F40" s="20" t="s">
        <v>13</v>
      </c>
      <c r="G40" s="21">
        <f t="shared" si="10"/>
        <v>4900000</v>
      </c>
      <c r="H40" s="21">
        <f t="shared" si="11"/>
        <v>0</v>
      </c>
      <c r="I40" s="102">
        <v>4900000</v>
      </c>
      <c r="J40" s="88"/>
      <c r="K40" s="88"/>
      <c r="L40" s="22">
        <f>VLOOKUP(A40,'Precios para Valuar'!$C:$L,5,FALSE)</f>
        <v>102.26</v>
      </c>
      <c r="M40" s="22"/>
      <c r="N40" s="23">
        <f>+G40*L40/100</f>
        <v>5010740</v>
      </c>
      <c r="O40" s="26">
        <f>VLOOKUP(A40,'Precios para Valuar'!C:Z,6,FALSE)</f>
        <v>3.1E-2</v>
      </c>
      <c r="P40" s="26">
        <f t="shared" si="13"/>
        <v>0.25875000000000004</v>
      </c>
      <c r="Q40" s="27">
        <f>VLOOKUP(A40,'Precios para Valuar'!C:AC,9,FALSE)</f>
        <v>0.67</v>
      </c>
      <c r="R40" s="12">
        <f ca="1">N40/$N$102</f>
        <v>1.2056125539093847E-3</v>
      </c>
      <c r="S40" s="23"/>
      <c r="T40" s="77" t="str">
        <f>VLOOKUP(A40,'Precios para Valuar'!$C:$T,8,FALSE)</f>
        <v>devengado</v>
      </c>
      <c r="U40" s="6"/>
      <c r="V40" s="6"/>
    </row>
    <row r="41" spans="1:22" s="29" customFormat="1">
      <c r="A41" s="28" t="s">
        <v>72</v>
      </c>
      <c r="B41" s="18" t="str">
        <f>VLOOKUP(A41,'Identidad de Codigos'!A:C,2,FALSE)</f>
        <v>ARROMB560069</v>
      </c>
      <c r="C41" s="81">
        <f>VLOOKUP(A41,'Identidad de Codigos'!A:C,3,FALSE)</f>
        <v>51769</v>
      </c>
      <c r="D41" s="18" t="s">
        <v>70</v>
      </c>
      <c r="E41" s="40">
        <v>43696</v>
      </c>
      <c r="F41" s="20" t="s">
        <v>13</v>
      </c>
      <c r="G41" s="21">
        <f t="shared" si="10"/>
        <v>10821428</v>
      </c>
      <c r="H41" s="21">
        <f t="shared" si="11"/>
        <v>0</v>
      </c>
      <c r="I41" s="102">
        <v>10821428</v>
      </c>
      <c r="J41" s="88"/>
      <c r="K41" s="88"/>
      <c r="L41" s="22">
        <f>VLOOKUP(A41,'Precios para Valuar'!$C:$L,5,FALSE)</f>
        <v>100.754</v>
      </c>
      <c r="M41" s="22"/>
      <c r="N41" s="23">
        <f>+G41*L41/100</f>
        <v>10903021.567120001</v>
      </c>
      <c r="O41" s="26">
        <f>VLOOKUP(A41,'Precios para Valuar'!C:Z,6,FALSE)</f>
        <v>3.2399999999999998E-2</v>
      </c>
      <c r="P41" s="26">
        <f t="shared" si="13"/>
        <v>0.26014999999999999</v>
      </c>
      <c r="Q41" s="27">
        <f>VLOOKUP(A41,'Precios para Valuar'!C:AC,9,FALSE)</f>
        <v>1</v>
      </c>
      <c r="R41" s="12">
        <f ca="1">N41/$N$102</f>
        <v>2.6233290246280281E-3</v>
      </c>
      <c r="S41" s="23"/>
      <c r="T41" s="77" t="str">
        <f>VLOOKUP(A41,'Precios para Valuar'!$C:$T,8,FALSE)</f>
        <v>VT</v>
      </c>
      <c r="U41" s="6"/>
      <c r="V41" s="6"/>
    </row>
    <row r="42" spans="1:22" s="29" customFormat="1">
      <c r="A42" s="28" t="s">
        <v>202</v>
      </c>
      <c r="B42" s="18" t="str">
        <f>VLOOKUP(A42,'Identidad de Codigos'!A:C,2,FALSE)</f>
        <v>ARARCS560050</v>
      </c>
      <c r="C42" s="81">
        <f>VLOOKUP(A42,'Identidad de Codigos'!A:C,3,FALSE)</f>
        <v>52407</v>
      </c>
      <c r="D42" s="18" t="s">
        <v>74</v>
      </c>
      <c r="E42" s="76">
        <v>44319</v>
      </c>
      <c r="F42" s="20" t="s">
        <v>13</v>
      </c>
      <c r="G42" s="21">
        <f t="shared" si="10"/>
        <v>89000000</v>
      </c>
      <c r="H42" s="21">
        <f t="shared" si="11"/>
        <v>0</v>
      </c>
      <c r="I42" s="88">
        <v>82000000</v>
      </c>
      <c r="J42" s="88">
        <v>7000000</v>
      </c>
      <c r="K42" s="88"/>
      <c r="L42" s="22">
        <f>VLOOKUP(A42,'Precios para Valuar'!$C:$L,5,FALSE)</f>
        <v>101.845</v>
      </c>
      <c r="M42" s="22"/>
      <c r="N42" s="23">
        <f t="shared" si="12"/>
        <v>90642050</v>
      </c>
      <c r="O42" s="26">
        <f>VLOOKUP(A42,'Precios para Valuar'!C:Z,6,FALSE)</f>
        <v>2.9899999999999999E-2</v>
      </c>
      <c r="P42" s="26">
        <f t="shared" si="13"/>
        <v>0.25764999999999999</v>
      </c>
      <c r="Q42" s="27">
        <f>VLOOKUP(A42,'Precios para Valuar'!C:AC,9,FALSE)</f>
        <v>2.069</v>
      </c>
      <c r="R42" s="12">
        <f ca="1">N42/$N$102</f>
        <v>2.1808992961535052E-2</v>
      </c>
      <c r="S42" s="23"/>
      <c r="T42" s="77" t="str">
        <f>VLOOKUP(A42,'Precios para Valuar'!$C:$T,8,FALSE)</f>
        <v>VT</v>
      </c>
      <c r="U42" s="6"/>
      <c r="V42" s="6"/>
    </row>
    <row r="43" spans="1:22" s="29" customFormat="1">
      <c r="A43" s="28" t="s">
        <v>75</v>
      </c>
      <c r="B43" s="18" t="str">
        <f>VLOOKUP(A43,'Identidad de Codigos'!A:C,2,FALSE)</f>
        <v>ARTACU5600F2</v>
      </c>
      <c r="C43" s="81">
        <f>VLOOKUP(A43,'Identidad de Codigos'!A:C,3,FALSE)</f>
        <v>51916</v>
      </c>
      <c r="D43" s="18" t="s">
        <v>76</v>
      </c>
      <c r="E43" s="76">
        <v>44130</v>
      </c>
      <c r="F43" s="20" t="s">
        <v>13</v>
      </c>
      <c r="G43" s="21">
        <f t="shared" si="10"/>
        <v>35023666</v>
      </c>
      <c r="H43" s="21">
        <f t="shared" si="11"/>
        <v>0</v>
      </c>
      <c r="I43" s="102">
        <v>35023666</v>
      </c>
      <c r="J43" s="88"/>
      <c r="K43" s="88"/>
      <c r="L43" s="22">
        <f>VLOOKUP(A43,'Precios para Valuar'!$C:$L,5,FALSE)</f>
        <v>103.58799999999999</v>
      </c>
      <c r="M43" s="22"/>
      <c r="N43" s="23">
        <f t="shared" si="12"/>
        <v>36280315.136079997</v>
      </c>
      <c r="O43" s="26">
        <f>VLOOKUP(A43,'Precios para Valuar'!C:Z,6,FALSE)</f>
        <v>3.5000000000000003E-2</v>
      </c>
      <c r="P43" s="26">
        <f t="shared" si="13"/>
        <v>0.26275000000000004</v>
      </c>
      <c r="Q43" s="27">
        <f>VLOOKUP(A43,'Precios para Valuar'!C:AC,9,FALSE)</f>
        <v>1.8169999999999999</v>
      </c>
      <c r="R43" s="12">
        <f ca="1">N43/$N$102</f>
        <v>8.7292502480365592E-3</v>
      </c>
      <c r="S43" s="23"/>
      <c r="T43" s="77" t="str">
        <f>VLOOKUP(A43,'Precios para Valuar'!$C:$T,8,FALSE)</f>
        <v>devengado</v>
      </c>
      <c r="U43" s="6"/>
      <c r="V43" s="6"/>
    </row>
    <row r="44" spans="1:22" s="29" customFormat="1">
      <c r="A44" s="28" t="s">
        <v>71</v>
      </c>
      <c r="B44" s="18" t="str">
        <f>VLOOKUP(A44,'Identidad de Codigos'!A:C,2,FALSE)</f>
        <v>ARTELM560034</v>
      </c>
      <c r="C44" s="81">
        <f>VLOOKUP(A44,'Identidad de Codigos'!A:C,3,FALSE)</f>
        <v>51988</v>
      </c>
      <c r="D44" s="18" t="s">
        <v>77</v>
      </c>
      <c r="E44" s="76">
        <v>43236</v>
      </c>
      <c r="F44" s="20" t="s">
        <v>13</v>
      </c>
      <c r="G44" s="21">
        <f t="shared" si="10"/>
        <v>39160000</v>
      </c>
      <c r="H44" s="21">
        <f t="shared" si="11"/>
        <v>0</v>
      </c>
      <c r="I44" s="102">
        <v>36000000</v>
      </c>
      <c r="J44" s="88">
        <v>3160000</v>
      </c>
      <c r="K44" s="88"/>
      <c r="L44" s="22">
        <f>VLOOKUP(A44,'Precios para Valuar'!$C:$L,5,FALSE)</f>
        <v>100.096</v>
      </c>
      <c r="M44" s="22"/>
      <c r="N44" s="23">
        <f t="shared" si="12"/>
        <v>39197593.600000001</v>
      </c>
      <c r="O44" s="26">
        <f>VLOOKUP(A44,'Precios para Valuar'!C:Z,6,FALSE)</f>
        <v>7.3999999999999996E-2</v>
      </c>
      <c r="P44" s="26">
        <f t="shared" si="13"/>
        <v>0.30175000000000002</v>
      </c>
      <c r="Q44" s="27">
        <f>VLOOKUP(A44,'Precios para Valuar'!C:AC,9,FALSE)</f>
        <v>0.191</v>
      </c>
      <c r="R44" s="12">
        <f ca="1">N44/$N$102</f>
        <v>9.4311640450708192E-3</v>
      </c>
      <c r="S44" s="23"/>
      <c r="T44" s="77" t="str">
        <f>VLOOKUP(A44,'Precios para Valuar'!$C:$T,8,FALSE)</f>
        <v>devengado</v>
      </c>
      <c r="U44" s="6"/>
      <c r="V44" s="6"/>
    </row>
    <row r="45" spans="1:22" s="29" customFormat="1">
      <c r="A45" s="45" t="s">
        <v>203</v>
      </c>
      <c r="B45" s="18" t="str">
        <f>VLOOKUP(A45,'Identidad de Codigos'!A:C,2,FALSE)</f>
        <v>ARTCFA5600A4</v>
      </c>
      <c r="C45" s="81">
        <f>VLOOKUP(A45,'Identidad de Codigos'!A:C,3,FALSE)</f>
        <v>51296</v>
      </c>
      <c r="D45" s="18" t="s">
        <v>79</v>
      </c>
      <c r="E45" s="40">
        <v>43159</v>
      </c>
      <c r="F45" s="20" t="s">
        <v>13</v>
      </c>
      <c r="G45" s="21">
        <f t="shared" si="10"/>
        <v>4800000</v>
      </c>
      <c r="H45" s="21">
        <f t="shared" si="11"/>
        <v>0</v>
      </c>
      <c r="I45" s="88">
        <v>4800000</v>
      </c>
      <c r="J45" s="88"/>
      <c r="K45" s="88"/>
      <c r="L45" s="22">
        <f>VLOOKUP(A45,'Precios para Valuar'!$C:$L,5,FALSE)</f>
        <v>35.558999999999997</v>
      </c>
      <c r="M45" s="22"/>
      <c r="N45" s="23">
        <f t="shared" si="12"/>
        <v>1706832</v>
      </c>
      <c r="O45" s="26">
        <f>VLOOKUP(A45,'Precios para Valuar'!C:Z,6,FALSE)</f>
        <v>3.9E-2</v>
      </c>
      <c r="P45" s="26">
        <f t="shared" si="13"/>
        <v>0.26674999999999999</v>
      </c>
      <c r="Q45" s="27">
        <f>VLOOKUP(A45,'Precios para Valuar'!C:AC,9,FALSE)</f>
        <v>0</v>
      </c>
      <c r="R45" s="12">
        <f ca="1">N45/$N$102</f>
        <v>4.1067349066490434E-4</v>
      </c>
      <c r="S45" s="23"/>
      <c r="T45" s="77" t="s">
        <v>299</v>
      </c>
      <c r="U45" s="6"/>
      <c r="V45" s="6"/>
    </row>
    <row r="46" spans="1:22" s="29" customFormat="1">
      <c r="A46" s="45" t="s">
        <v>80</v>
      </c>
      <c r="B46" s="18" t="str">
        <f>VLOOKUP(A46,'Identidad de Codigos'!A:C,2,FALSE)</f>
        <v>ARTCFA5600E6</v>
      </c>
      <c r="C46" s="81">
        <f>VLOOKUP(A46,'Identidad de Codigos'!A:C,3,FALSE)</f>
        <v>51863</v>
      </c>
      <c r="D46" s="18" t="s">
        <v>81</v>
      </c>
      <c r="E46" s="40">
        <v>43371</v>
      </c>
      <c r="F46" s="20" t="s">
        <v>13</v>
      </c>
      <c r="G46" s="21">
        <f t="shared" si="10"/>
        <v>8500000</v>
      </c>
      <c r="H46" s="21">
        <f t="shared" si="11"/>
        <v>0</v>
      </c>
      <c r="I46" s="102">
        <v>8500000</v>
      </c>
      <c r="J46" s="88"/>
      <c r="K46" s="88"/>
      <c r="L46" s="22">
        <f>VLOOKUP(A46,'Precios para Valuar'!$C:$L,5,FALSE)</f>
        <v>104.288</v>
      </c>
      <c r="M46" s="22"/>
      <c r="N46" s="23">
        <f t="shared" si="12"/>
        <v>8864480</v>
      </c>
      <c r="O46" s="26">
        <f>VLOOKUP(A46,'Precios para Valuar'!C:Z,6,FALSE)</f>
        <v>3.6499999999999998E-2</v>
      </c>
      <c r="P46" s="26">
        <f t="shared" si="13"/>
        <v>0.26424999999999998</v>
      </c>
      <c r="Q46" s="27">
        <f>VLOOKUP(A46,'Precios para Valuar'!C:AC,9,FALSE)</f>
        <v>0.26900000000000002</v>
      </c>
      <c r="R46" s="12">
        <f ca="1">N46/$N$102</f>
        <v>2.1328443247661346E-3</v>
      </c>
      <c r="S46" s="23"/>
      <c r="T46" s="77" t="str">
        <f>VLOOKUP(A46,'Precios para Valuar'!$C:$T,8,FALSE)</f>
        <v>devengado</v>
      </c>
      <c r="U46" s="6"/>
      <c r="V46" s="6"/>
    </row>
    <row r="47" spans="1:22" s="29" customFormat="1">
      <c r="A47" s="45" t="s">
        <v>224</v>
      </c>
      <c r="B47" s="18" t="str">
        <f>VLOOKUP(A47,'Identidad de Codigos'!A:C,2,FALSE)</f>
        <v>ARROBE560051</v>
      </c>
      <c r="C47" s="81">
        <f>VLOOKUP(A47,'Identidad de Codigos'!A:C,3,FALSE)</f>
        <v>53068</v>
      </c>
      <c r="D47" s="18" t="s">
        <v>353</v>
      </c>
      <c r="E47" s="40">
        <v>43189</v>
      </c>
      <c r="F47" s="20" t="s">
        <v>350</v>
      </c>
      <c r="G47" s="21">
        <f t="shared" si="10"/>
        <v>50000000</v>
      </c>
      <c r="H47" s="21">
        <f t="shared" ref="H47" si="16">G47-SUM(I47:K47)</f>
        <v>0</v>
      </c>
      <c r="I47" s="88">
        <v>50000000</v>
      </c>
      <c r="J47" s="88"/>
      <c r="K47" s="88"/>
      <c r="L47" s="22">
        <f>VLOOKUP(A47,'Precios para Valuar'!$C:$L,5,FALSE)</f>
        <v>105.755</v>
      </c>
      <c r="M47" s="22"/>
      <c r="N47" s="23">
        <f t="shared" ref="N47" si="17">+G47*L47/100</f>
        <v>52877500</v>
      </c>
      <c r="O47" s="26">
        <f>VLOOKUP(A47,'Precios para Valuar'!C:Z,6,FALSE)</f>
        <v>3.9199999999999999E-2</v>
      </c>
      <c r="P47" s="26">
        <f t="shared" si="13"/>
        <v>0.26695000000000002</v>
      </c>
      <c r="Q47" s="27">
        <f>VLOOKUP(A47,'Precios para Valuar'!C:AC,9,FALSE)</f>
        <v>1.825</v>
      </c>
      <c r="R47" s="12">
        <f ca="1">N47/$N$102</f>
        <v>1.2722627360298775E-2</v>
      </c>
      <c r="S47" s="23"/>
      <c r="T47" s="77" t="str">
        <f>VLOOKUP(A47,'Precios para Valuar'!$C:$T,8,FALSE)</f>
        <v>devengado</v>
      </c>
      <c r="U47" s="6"/>
      <c r="V47" s="6"/>
    </row>
    <row r="48" spans="1:22" s="29" customFormat="1">
      <c r="A48" s="45" t="s">
        <v>348</v>
      </c>
      <c r="B48" s="18" t="str">
        <f>VLOOKUP(A48,'Identidad de Codigos'!A:C,2,FALSE)</f>
        <v>ARPSAF560083</v>
      </c>
      <c r="C48" s="81">
        <f>VLOOKUP(A48,'Identidad de Codigos'!A:C,3,FALSE)</f>
        <v>11111</v>
      </c>
      <c r="D48" s="18" t="s">
        <v>352</v>
      </c>
      <c r="E48" s="40">
        <v>43862</v>
      </c>
      <c r="F48" s="20" t="s">
        <v>350</v>
      </c>
      <c r="G48" s="21">
        <f t="shared" ref="G48" si="18">SUM(I48:J48)</f>
        <v>18700000</v>
      </c>
      <c r="H48" s="21">
        <f t="shared" ref="H48" si="19">G48-SUM(I48:K48)</f>
        <v>0</v>
      </c>
      <c r="I48" s="102">
        <v>15000000</v>
      </c>
      <c r="J48" s="102">
        <v>3700000</v>
      </c>
      <c r="K48" s="102"/>
      <c r="L48" s="22">
        <f>VLOOKUP(A48,'Precios para Valuar'!$C:$L,5,FALSE)</f>
        <v>102.083</v>
      </c>
      <c r="M48" s="22"/>
      <c r="N48" s="23">
        <f t="shared" ref="N48" si="20">+G48*L48/100</f>
        <v>19089521</v>
      </c>
      <c r="O48" s="26">
        <f>VLOOKUP(A48,'Precios para Valuar'!C:Z,6,FALSE)</f>
        <v>2.75E-2</v>
      </c>
      <c r="P48" s="26">
        <f t="shared" ref="P48" si="21">+O48+Badlar</f>
        <v>0.25525000000000003</v>
      </c>
      <c r="Q48" s="27">
        <f>VLOOKUP(A48,'Precios para Valuar'!C:AC,9,FALSE)</f>
        <v>1.2849999999999999</v>
      </c>
      <c r="R48" s="12">
        <f ca="1">N48/$N$102</f>
        <v>4.5930473673981946E-3</v>
      </c>
      <c r="S48" s="23"/>
      <c r="T48" s="77" t="str">
        <f>VLOOKUP(A48,'Precios para Valuar'!$C:$T,8,FALSE)</f>
        <v>VT</v>
      </c>
      <c r="U48" s="6"/>
      <c r="V48" s="6"/>
    </row>
    <row r="49" spans="1:22" s="29" customFormat="1">
      <c r="A49" s="45" t="s">
        <v>220</v>
      </c>
      <c r="B49" s="18" t="str">
        <f>VLOOKUP(A49,'Identidad de Codigos'!A:C,2,FALSE)</f>
        <v>CESVI0000001</v>
      </c>
      <c r="C49" s="81">
        <f>VLOOKUP(A49,'Identidad de Codigos'!A:C,3,FALSE)</f>
        <v>99924</v>
      </c>
      <c r="D49" s="18"/>
      <c r="E49" s="40"/>
      <c r="F49" s="20"/>
      <c r="G49" s="101"/>
      <c r="H49" s="21">
        <f t="shared" ref="H49:H50" si="22">G49-SUM(I49:K49)</f>
        <v>0</v>
      </c>
      <c r="I49" s="88">
        <v>0</v>
      </c>
      <c r="J49" s="88"/>
      <c r="K49" s="88"/>
      <c r="L49" s="22">
        <v>0</v>
      </c>
      <c r="M49" s="22"/>
      <c r="N49" s="23">
        <f t="shared" ref="N49:N50" si="23">+G49*L49/100</f>
        <v>0</v>
      </c>
      <c r="O49" s="26">
        <v>0</v>
      </c>
      <c r="P49" s="26">
        <v>0</v>
      </c>
      <c r="Q49" s="27">
        <v>0</v>
      </c>
      <c r="R49" s="12">
        <f ca="1">N49/$N$102</f>
        <v>0</v>
      </c>
      <c r="S49" s="23"/>
      <c r="T49" s="77"/>
      <c r="U49" s="6"/>
      <c r="V49" s="6"/>
    </row>
    <row r="50" spans="1:22" s="29" customFormat="1">
      <c r="A50" s="45" t="s">
        <v>222</v>
      </c>
      <c r="B50" s="18" t="str">
        <f>VLOOKUP(A50,'Identidad de Codigos'!A:C,2,FALSE)</f>
        <v>SSN570000001</v>
      </c>
      <c r="C50" s="81">
        <f>VLOOKUP(A50,'Identidad de Codigos'!A:C,3,FALSE)</f>
        <v>89545</v>
      </c>
      <c r="D50" s="18"/>
      <c r="E50" s="40"/>
      <c r="F50" s="20"/>
      <c r="G50" s="101"/>
      <c r="H50" s="21">
        <f t="shared" si="22"/>
        <v>0</v>
      </c>
      <c r="I50" s="88">
        <v>0</v>
      </c>
      <c r="J50" s="88"/>
      <c r="K50" s="88"/>
      <c r="L50" s="22">
        <v>0</v>
      </c>
      <c r="M50" s="22"/>
      <c r="N50" s="23">
        <f t="shared" si="23"/>
        <v>0</v>
      </c>
      <c r="O50" s="26">
        <v>0</v>
      </c>
      <c r="P50" s="26">
        <v>0</v>
      </c>
      <c r="Q50" s="27">
        <v>0</v>
      </c>
      <c r="R50" s="12">
        <f ca="1">N50/$N$102</f>
        <v>0</v>
      </c>
      <c r="S50" s="23"/>
      <c r="T50" s="77"/>
      <c r="U50" s="6"/>
      <c r="V50" s="6"/>
    </row>
    <row r="51" spans="1:22" s="29" customFormat="1">
      <c r="A51" s="31" t="s">
        <v>31</v>
      </c>
      <c r="B51" s="18"/>
      <c r="C51" s="18"/>
      <c r="D51" s="18"/>
      <c r="E51" s="40"/>
      <c r="F51" s="20"/>
      <c r="G51" s="21"/>
      <c r="H51" s="21"/>
      <c r="I51" s="88"/>
      <c r="J51" s="88"/>
      <c r="K51" s="88"/>
      <c r="L51" s="22"/>
      <c r="M51" s="22"/>
      <c r="N51" s="23"/>
      <c r="O51" s="26"/>
      <c r="P51" s="26"/>
      <c r="Q51" s="27"/>
      <c r="R51" s="12"/>
      <c r="S51" s="23"/>
      <c r="T51" s="77"/>
      <c r="U51" s="6"/>
    </row>
    <row r="52" spans="1:22" s="29" customFormat="1">
      <c r="A52" s="45" t="s">
        <v>48</v>
      </c>
      <c r="B52" s="18" t="str">
        <f>VLOOKUP(A52,'Identidad de Codigos'!A:C,2,FALSE)</f>
        <v>ARBHIP5600P1</v>
      </c>
      <c r="C52" s="81">
        <f>VLOOKUP(A52,'Identidad de Codigos'!A:C,3,FALSE)</f>
        <v>52435</v>
      </c>
      <c r="D52" s="18" t="s">
        <v>83</v>
      </c>
      <c r="E52" s="40">
        <v>43959</v>
      </c>
      <c r="F52" s="20" t="s">
        <v>34</v>
      </c>
      <c r="G52" s="21">
        <v>3700000</v>
      </c>
      <c r="H52" s="21">
        <f>G52-SUM(I52:K52)</f>
        <v>423500</v>
      </c>
      <c r="I52" s="102">
        <v>3276500</v>
      </c>
      <c r="J52" s="102"/>
      <c r="K52" s="102"/>
      <c r="L52" s="22">
        <f>VLOOKUP(A52,'Precios para Valuar'!$C:$L,5,FALSE)</f>
        <v>2087.5360000000001</v>
      </c>
      <c r="M52" s="22"/>
      <c r="N52" s="23">
        <f>G52*L52/100</f>
        <v>77238832</v>
      </c>
      <c r="O52" s="26">
        <f>VLOOKUP(A52,'Precios para Valuar'!C:Z,6,FALSE)</f>
        <v>5.28E-2</v>
      </c>
      <c r="P52" s="26"/>
      <c r="Q52" s="27">
        <f>VLOOKUP(A52,'Precios para Valuar'!C:AC,9,FALSE)</f>
        <v>2.0310000000000001</v>
      </c>
      <c r="R52" s="12">
        <f ca="1">N52/$N$102</f>
        <v>1.8584102449637759E-2</v>
      </c>
      <c r="S52" s="23"/>
      <c r="T52" s="77" t="str">
        <f>VLOOKUP(A52,'Precios para Valuar'!$C:$T,8,FALSE)</f>
        <v>devengado</v>
      </c>
      <c r="U52" s="6"/>
      <c r="V52" s="6"/>
    </row>
    <row r="53" spans="1:22" s="29" customFormat="1">
      <c r="A53" s="45" t="s">
        <v>359</v>
      </c>
      <c r="B53" s="18" t="str">
        <f>VLOOKUP(A53,'Identidad de Codigos'!A:C,2,FALSE)</f>
        <v>ARBBOS560053</v>
      </c>
      <c r="C53" s="81">
        <f>VLOOKUP(A53,'Identidad de Codigos'!A:C,3,FALSE)</f>
        <v>11111</v>
      </c>
      <c r="D53" s="18" t="s">
        <v>83</v>
      </c>
      <c r="E53" s="40">
        <v>43959</v>
      </c>
      <c r="F53" s="20" t="s">
        <v>34</v>
      </c>
      <c r="G53" s="21">
        <v>3700000</v>
      </c>
      <c r="H53" s="21">
        <f>G53-SUM(I53:K53)</f>
        <v>2429205</v>
      </c>
      <c r="I53" s="88">
        <v>1155268</v>
      </c>
      <c r="J53" s="88">
        <v>115527</v>
      </c>
      <c r="K53" s="88"/>
      <c r="L53" s="22">
        <f>VLOOKUP(A53,'Precios para Valuar'!$C:$L,5,FALSE)</f>
        <v>2204.0279999999998</v>
      </c>
      <c r="M53" s="22"/>
      <c r="N53" s="23">
        <f>G53*L53/100</f>
        <v>81549035.999999985</v>
      </c>
      <c r="O53" s="26">
        <f>VLOOKUP(A53,'Precios para Valuar'!C:Z,6,FALSE)</f>
        <v>4.3700000000000003E-2</v>
      </c>
      <c r="P53" s="26"/>
      <c r="Q53" s="27">
        <f>VLOOKUP(A53,'Precios para Valuar'!C:AC,9,FALSE)</f>
        <v>1.837</v>
      </c>
      <c r="R53" s="12">
        <f ca="1">N53/$N$102</f>
        <v>1.962116205606524E-2</v>
      </c>
      <c r="S53" s="23"/>
      <c r="T53" s="77" t="str">
        <f>VLOOKUP(A53,'Precios para Valuar'!$C:$T,8,FALSE)</f>
        <v>VT</v>
      </c>
      <c r="U53" s="6"/>
      <c r="V53" s="6"/>
    </row>
    <row r="54" spans="1:22" s="29" customFormat="1">
      <c r="A54" s="46" t="s">
        <v>84</v>
      </c>
      <c r="B54" s="32"/>
      <c r="C54" s="32"/>
      <c r="D54" s="32"/>
      <c r="E54" s="33"/>
      <c r="F54" s="32"/>
      <c r="G54" s="34"/>
      <c r="H54" s="34"/>
      <c r="I54" s="34"/>
      <c r="J54" s="34"/>
      <c r="K54" s="34"/>
      <c r="L54" s="35"/>
      <c r="M54" s="35"/>
      <c r="N54" s="47"/>
      <c r="O54" s="48"/>
      <c r="P54" s="48"/>
      <c r="Q54" s="49"/>
      <c r="R54" s="50"/>
      <c r="S54" s="23"/>
      <c r="T54" s="77"/>
      <c r="U54" s="6"/>
    </row>
    <row r="55" spans="1:22" s="29" customFormat="1">
      <c r="A55" s="45" t="str">
        <f>+'Pos PF Sura'!C1</f>
        <v>BANCO DE GALICIA Y BS AS</v>
      </c>
      <c r="B55" s="18"/>
      <c r="C55" s="18"/>
      <c r="D55" s="18">
        <f>+'Pos PF Sura'!I1/100</f>
        <v>0.21</v>
      </c>
      <c r="E55" s="40">
        <f>+'Pos PF Sura'!E1</f>
        <v>43179</v>
      </c>
      <c r="F55" s="20" t="s">
        <v>85</v>
      </c>
      <c r="G55" s="21">
        <v>23300000</v>
      </c>
      <c r="H55" s="21"/>
      <c r="I55" s="93">
        <v>42816</v>
      </c>
      <c r="J55" s="88"/>
      <c r="K55" s="88"/>
      <c r="L55" s="22"/>
      <c r="M55" s="22"/>
      <c r="N55" s="23">
        <f>G55*(1+D55/365*("28/02/2018"-I55))</f>
        <v>27898079.452054795</v>
      </c>
      <c r="O55" s="51">
        <f>+D55</f>
        <v>0.21</v>
      </c>
      <c r="P55" s="51">
        <f>+O55</f>
        <v>0.21</v>
      </c>
      <c r="Q55" s="27">
        <f>((E55-"29/12/2017")/365)/(1+O55)</f>
        <v>0.18340314728857693</v>
      </c>
      <c r="R55" s="12">
        <f t="shared" ref="R55:R64" ca="1" si="24">N55/$N$102</f>
        <v>6.7124366495485118E-3</v>
      </c>
      <c r="S55" s="23"/>
      <c r="T55" s="77" t="s">
        <v>296</v>
      </c>
      <c r="U55" s="6"/>
    </row>
    <row r="56" spans="1:22" s="29" customFormat="1">
      <c r="A56" s="45" t="str">
        <f>+'Pos PF Sura'!C2</f>
        <v>BANCO ITAU ARGENTINA SA</v>
      </c>
      <c r="B56" s="18"/>
      <c r="C56" s="18"/>
      <c r="D56" s="18">
        <f>+'Pos PF Sura'!I2/100</f>
        <v>0.21249999999999999</v>
      </c>
      <c r="E56" s="40">
        <f>+'Pos PF Sura'!E2</f>
        <v>43181</v>
      </c>
      <c r="F56" s="20" t="s">
        <v>85</v>
      </c>
      <c r="G56" s="21">
        <v>65000000</v>
      </c>
      <c r="H56" s="21"/>
      <c r="I56" s="93">
        <v>42821</v>
      </c>
      <c r="J56" s="88"/>
      <c r="K56" s="88"/>
      <c r="L56" s="22"/>
      <c r="M56" s="22"/>
      <c r="N56" s="23">
        <f t="shared" ref="N56:N64" si="25">G56*(1+D56/365*("28/02/2018"-I56))</f>
        <v>77790753.424657539</v>
      </c>
      <c r="O56" s="51">
        <f t="shared" ref="O56:O64" si="26">+D56</f>
        <v>0.21249999999999999</v>
      </c>
      <c r="P56" s="51">
        <f t="shared" ref="P56:P64" si="27">+O56</f>
        <v>0.21249999999999999</v>
      </c>
      <c r="Q56" s="27">
        <f t="shared" ref="Q56:Q64" si="28">((E56-"29/12/2017")/365)/(1+O56)</f>
        <v>0.18754413218471969</v>
      </c>
      <c r="R56" s="12">
        <f t="shared" ca="1" si="24"/>
        <v>1.8716897884710957E-2</v>
      </c>
      <c r="S56" s="23"/>
      <c r="T56" s="77" t="s">
        <v>296</v>
      </c>
      <c r="U56" s="6"/>
    </row>
    <row r="57" spans="1:22" s="29" customFormat="1">
      <c r="A57" s="45" t="str">
        <f>+'Pos PF Sura'!C3</f>
        <v>BBVA BANCO FRANCES SA</v>
      </c>
      <c r="B57" s="18"/>
      <c r="C57" s="18"/>
      <c r="D57" s="18">
        <f>+'Pos PF Sura'!I3/100</f>
        <v>0.21</v>
      </c>
      <c r="E57" s="40">
        <f>+'Pos PF Sura'!E3</f>
        <v>43181</v>
      </c>
      <c r="F57" s="20" t="s">
        <v>85</v>
      </c>
      <c r="G57" s="21">
        <v>50000000</v>
      </c>
      <c r="H57" s="21"/>
      <c r="I57" s="93">
        <v>42821</v>
      </c>
      <c r="J57" s="88"/>
      <c r="K57" s="88"/>
      <c r="L57" s="22"/>
      <c r="M57" s="22"/>
      <c r="N57" s="23">
        <f t="shared" si="25"/>
        <v>59723287.671232872</v>
      </c>
      <c r="O57" s="51">
        <f t="shared" si="26"/>
        <v>0.21</v>
      </c>
      <c r="P57" s="51">
        <f t="shared" si="27"/>
        <v>0.21</v>
      </c>
      <c r="Q57" s="27">
        <f t="shared" si="28"/>
        <v>0.1879316200611344</v>
      </c>
      <c r="R57" s="12">
        <f t="shared" ca="1" si="24"/>
        <v>1.4369762824888126E-2</v>
      </c>
      <c r="S57" s="23"/>
      <c r="T57" s="77" t="s">
        <v>296</v>
      </c>
      <c r="U57" s="6"/>
    </row>
    <row r="58" spans="1:22" s="29" customFormat="1">
      <c r="A58" s="45" t="str">
        <f>+'Pos PF Sura'!C4</f>
        <v>BCO.PATAGONIA SA</v>
      </c>
      <c r="B58" s="18"/>
      <c r="C58" s="18"/>
      <c r="D58" s="18">
        <f>+'Pos PF Sura'!I4/100</f>
        <v>0.20600000000000002</v>
      </c>
      <c r="E58" s="40">
        <f>+'Pos PF Sura'!E4</f>
        <v>43181</v>
      </c>
      <c r="F58" s="20" t="s">
        <v>85</v>
      </c>
      <c r="G58" s="21">
        <v>15700000</v>
      </c>
      <c r="H58" s="21"/>
      <c r="I58" s="93">
        <v>42824</v>
      </c>
      <c r="J58" s="88"/>
      <c r="K58" s="88"/>
      <c r="L58" s="22"/>
      <c r="M58" s="22"/>
      <c r="N58" s="23">
        <f t="shared" si="25"/>
        <v>18668375.342465755</v>
      </c>
      <c r="O58" s="51">
        <f t="shared" si="26"/>
        <v>0.20600000000000002</v>
      </c>
      <c r="P58" s="51">
        <f t="shared" si="27"/>
        <v>0.20600000000000002</v>
      </c>
      <c r="Q58" s="27">
        <f t="shared" si="28"/>
        <v>0.18855494218405691</v>
      </c>
      <c r="R58" s="12">
        <f t="shared" ca="1" si="24"/>
        <v>4.4917173259776243E-3</v>
      </c>
      <c r="S58" s="23"/>
      <c r="T58" s="77" t="s">
        <v>296</v>
      </c>
      <c r="U58" s="6"/>
    </row>
    <row r="59" spans="1:22" s="29" customFormat="1">
      <c r="A59" s="45" t="str">
        <f>+'Pos PF Sura'!C5</f>
        <v>BCO.PATAGONIA SA</v>
      </c>
      <c r="B59" s="18"/>
      <c r="C59" s="18"/>
      <c r="D59" s="18">
        <f>+'Pos PF Sura'!I5/100</f>
        <v>0.2225</v>
      </c>
      <c r="E59" s="40">
        <f>+'Pos PF Sura'!E5</f>
        <v>43230</v>
      </c>
      <c r="F59" s="20" t="s">
        <v>85</v>
      </c>
      <c r="G59" s="21">
        <v>8333000</v>
      </c>
      <c r="H59" s="21"/>
      <c r="I59" s="93">
        <v>42872</v>
      </c>
      <c r="J59" s="88"/>
      <c r="K59" s="88"/>
      <c r="L59" s="22"/>
      <c r="M59" s="22"/>
      <c r="N59" s="23">
        <f t="shared" si="25"/>
        <v>9790875.4726027399</v>
      </c>
      <c r="O59" s="51">
        <f t="shared" si="26"/>
        <v>0.2225</v>
      </c>
      <c r="P59" s="51">
        <f t="shared" si="27"/>
        <v>0.2225</v>
      </c>
      <c r="Q59" s="27">
        <f t="shared" si="28"/>
        <v>0.29582317841835454</v>
      </c>
      <c r="R59" s="12">
        <f t="shared" ca="1" si="24"/>
        <v>2.3557403464425099E-3</v>
      </c>
      <c r="S59" s="23"/>
      <c r="T59" s="77" t="s">
        <v>296</v>
      </c>
      <c r="U59" s="6"/>
    </row>
    <row r="60" spans="1:22" s="29" customFormat="1">
      <c r="A60" s="45" t="str">
        <f>+'Pos PF Sura'!C6</f>
        <v>BCO.PATAGONIA SA</v>
      </c>
      <c r="B60" s="18"/>
      <c r="C60" s="18"/>
      <c r="D60" s="18">
        <f>+'Pos PF Sura'!I6/100</f>
        <v>0.26800000000000002</v>
      </c>
      <c r="E60" s="40">
        <f>+'Pos PF Sura'!E6</f>
        <v>43234</v>
      </c>
      <c r="F60" s="20" t="s">
        <v>85</v>
      </c>
      <c r="G60" s="21">
        <v>60973000</v>
      </c>
      <c r="H60" s="21"/>
      <c r="I60" s="93">
        <v>43054</v>
      </c>
      <c r="J60" s="88"/>
      <c r="K60" s="88"/>
      <c r="L60" s="22"/>
      <c r="M60" s="22"/>
      <c r="N60" s="23">
        <f t="shared" si="25"/>
        <v>65673767.726027399</v>
      </c>
      <c r="O60" s="51">
        <f t="shared" si="26"/>
        <v>0.26800000000000002</v>
      </c>
      <c r="P60" s="51">
        <f t="shared" si="27"/>
        <v>0.26800000000000002</v>
      </c>
      <c r="Q60" s="27">
        <f t="shared" si="28"/>
        <v>0.29385074110885445</v>
      </c>
      <c r="R60" s="12">
        <f t="shared" ca="1" si="24"/>
        <v>1.5801482182876705E-2</v>
      </c>
      <c r="S60" s="28"/>
      <c r="T60" s="77" t="s">
        <v>296</v>
      </c>
      <c r="U60" s="6"/>
    </row>
    <row r="61" spans="1:22" s="29" customFormat="1">
      <c r="A61" s="45" t="str">
        <f>+'Pos PF Sura'!C7</f>
        <v>BBVA BANCO FRANCES SA</v>
      </c>
      <c r="B61" s="18"/>
      <c r="C61" s="18"/>
      <c r="D61" s="18">
        <f>+'Pos PF Sura'!I7/100</f>
        <v>0.27</v>
      </c>
      <c r="E61" s="40">
        <f>+'Pos PF Sura'!E7</f>
        <v>43416</v>
      </c>
      <c r="F61" s="20" t="s">
        <v>85</v>
      </c>
      <c r="G61" s="21">
        <v>40000000</v>
      </c>
      <c r="H61" s="21"/>
      <c r="I61" s="93">
        <v>43055</v>
      </c>
      <c r="J61" s="88"/>
      <c r="K61" s="88"/>
      <c r="L61" s="22"/>
      <c r="M61" s="22"/>
      <c r="N61" s="23">
        <f t="shared" si="25"/>
        <v>43077260.273972601</v>
      </c>
      <c r="O61" s="51">
        <f t="shared" si="26"/>
        <v>0.27</v>
      </c>
      <c r="P61" s="51">
        <f t="shared" si="27"/>
        <v>0.27</v>
      </c>
      <c r="Q61" s="27">
        <f t="shared" si="28"/>
        <v>0.6860101391435659</v>
      </c>
      <c r="R61" s="12">
        <f t="shared" ca="1" si="24"/>
        <v>1.0364633921201936E-2</v>
      </c>
      <c r="S61" s="28"/>
      <c r="T61" s="77" t="s">
        <v>296</v>
      </c>
      <c r="U61" s="6"/>
    </row>
    <row r="62" spans="1:22" s="29" customFormat="1">
      <c r="A62" s="45" t="str">
        <f>+'Pos PF Sura'!C8</f>
        <v>BBVA BANCO FRANCES SA</v>
      </c>
      <c r="B62" s="18"/>
      <c r="C62" s="18"/>
      <c r="D62" s="18">
        <f>+'Pos PF Sura'!I8/100</f>
        <v>0.27</v>
      </c>
      <c r="E62" s="40">
        <f>+'Pos PF Sura'!E8</f>
        <v>43416</v>
      </c>
      <c r="F62" s="20" t="s">
        <v>85</v>
      </c>
      <c r="G62" s="21">
        <v>40000000</v>
      </c>
      <c r="H62" s="21"/>
      <c r="I62" s="93">
        <v>43055</v>
      </c>
      <c r="J62" s="88"/>
      <c r="K62" s="88"/>
      <c r="L62" s="22"/>
      <c r="M62" s="22"/>
      <c r="N62" s="23">
        <f t="shared" si="25"/>
        <v>43077260.273972601</v>
      </c>
      <c r="O62" s="51">
        <f t="shared" si="26"/>
        <v>0.27</v>
      </c>
      <c r="P62" s="51">
        <f t="shared" si="27"/>
        <v>0.27</v>
      </c>
      <c r="Q62" s="27">
        <f t="shared" si="28"/>
        <v>0.6860101391435659</v>
      </c>
      <c r="R62" s="12">
        <f t="shared" ca="1" si="24"/>
        <v>1.0364633921201936E-2</v>
      </c>
      <c r="S62" s="28"/>
      <c r="T62" s="77" t="s">
        <v>296</v>
      </c>
      <c r="U62" s="6"/>
    </row>
    <row r="63" spans="1:22" s="29" customFormat="1">
      <c r="A63" s="45" t="str">
        <f>+'Pos PF Sura'!C9</f>
        <v>BCO.PATAGONIA SA</v>
      </c>
      <c r="B63" s="18"/>
      <c r="C63" s="18"/>
      <c r="D63" s="18">
        <f>+'Pos PF Sura'!I9/100</f>
        <v>0.26899999999999996</v>
      </c>
      <c r="E63" s="40">
        <f>+'Pos PF Sura'!E9</f>
        <v>43432</v>
      </c>
      <c r="F63" s="20" t="s">
        <v>85</v>
      </c>
      <c r="G63" s="21">
        <v>13880000</v>
      </c>
      <c r="H63" s="21"/>
      <c r="I63" s="93">
        <v>43067</v>
      </c>
      <c r="J63" s="88"/>
      <c r="K63" s="88"/>
      <c r="L63" s="22"/>
      <c r="M63" s="22"/>
      <c r="N63" s="23">
        <f t="shared" si="25"/>
        <v>14821102.027397262</v>
      </c>
      <c r="O63" s="51">
        <f t="shared" si="26"/>
        <v>0.26899999999999996</v>
      </c>
      <c r="P63" s="51">
        <f t="shared" si="27"/>
        <v>0.26899999999999996</v>
      </c>
      <c r="Q63" s="27">
        <f t="shared" si="28"/>
        <v>0.72109416323931053</v>
      </c>
      <c r="R63" s="12">
        <f t="shared" ca="1" si="24"/>
        <v>3.5660414763092822E-3</v>
      </c>
      <c r="S63" s="28"/>
      <c r="T63" s="77" t="s">
        <v>296</v>
      </c>
      <c r="U63" s="6"/>
    </row>
    <row r="64" spans="1:22" s="29" customFormat="1">
      <c r="A64" s="45" t="str">
        <f>+'Pos PF Sura'!C10</f>
        <v>STANDARD BANK ARGENTINA SA</v>
      </c>
      <c r="B64" s="18"/>
      <c r="C64" s="18"/>
      <c r="D64" s="18">
        <v>0.23</v>
      </c>
      <c r="E64" s="40">
        <v>43180</v>
      </c>
      <c r="F64" s="20" t="s">
        <v>85</v>
      </c>
      <c r="G64" s="21">
        <v>10673138.4</v>
      </c>
      <c r="H64" s="21"/>
      <c r="I64" s="93">
        <v>43145</v>
      </c>
      <c r="J64" s="88"/>
      <c r="K64" s="88"/>
      <c r="L64" s="22"/>
      <c r="M64" s="22"/>
      <c r="N64" s="23">
        <f t="shared" si="25"/>
        <v>10767295.949720548</v>
      </c>
      <c r="O64" s="51">
        <f t="shared" si="26"/>
        <v>0.23</v>
      </c>
      <c r="P64" s="51">
        <f t="shared" si="27"/>
        <v>0.23</v>
      </c>
      <c r="Q64" s="27">
        <f t="shared" si="28"/>
        <v>0.18264840182648401</v>
      </c>
      <c r="R64" s="12">
        <f t="shared" ca="1" si="24"/>
        <v>2.5906726688354944E-3</v>
      </c>
      <c r="S64" s="28"/>
      <c r="T64" s="77" t="s">
        <v>296</v>
      </c>
      <c r="U64" s="6"/>
    </row>
    <row r="65" spans="1:21" s="29" customFormat="1">
      <c r="A65" s="45" t="s">
        <v>294</v>
      </c>
      <c r="B65" s="18"/>
      <c r="C65" s="18"/>
      <c r="D65" s="18">
        <v>0.27</v>
      </c>
      <c r="E65" s="40">
        <v>43479</v>
      </c>
      <c r="F65" s="20" t="s">
        <v>85</v>
      </c>
      <c r="G65" s="21">
        <v>16100000</v>
      </c>
      <c r="H65" s="21"/>
      <c r="I65" s="93">
        <v>43118</v>
      </c>
      <c r="J65" s="88"/>
      <c r="K65" s="88"/>
      <c r="L65" s="22"/>
      <c r="M65" s="22"/>
      <c r="N65" s="23">
        <f t="shared" ref="N65:N66" si="29">G65*(1+D65/365*("28/02/2018"-I65))</f>
        <v>16588293.150684932</v>
      </c>
      <c r="O65" s="51">
        <f t="shared" ref="O65:O66" si="30">+D65</f>
        <v>0.27</v>
      </c>
      <c r="P65" s="51">
        <f t="shared" ref="P65:P66" si="31">+O65</f>
        <v>0.27</v>
      </c>
      <c r="Q65" s="27">
        <f t="shared" ref="Q65:Q66" si="32">((E65-"29/12/2017")/365)/(1+O65)</f>
        <v>0.82191780821917815</v>
      </c>
      <c r="R65" s="12">
        <f t="shared" ref="R65:R66" ca="1" si="33">N65/$N$102</f>
        <v>3.991237715466142E-3</v>
      </c>
      <c r="S65" s="87"/>
      <c r="T65" s="77" t="s">
        <v>296</v>
      </c>
      <c r="U65" s="6"/>
    </row>
    <row r="66" spans="1:21" s="29" customFormat="1">
      <c r="A66" s="45" t="s">
        <v>294</v>
      </c>
      <c r="B66" s="18"/>
      <c r="C66" s="18"/>
      <c r="D66" s="18">
        <v>0.26800000000000002</v>
      </c>
      <c r="E66" s="40">
        <v>43486</v>
      </c>
      <c r="F66" s="20" t="s">
        <v>85</v>
      </c>
      <c r="G66" s="21">
        <v>22000000</v>
      </c>
      <c r="H66" s="21"/>
      <c r="I66" s="93">
        <v>43126</v>
      </c>
      <c r="J66" s="88"/>
      <c r="K66" s="88"/>
      <c r="L66" s="22"/>
      <c r="M66" s="22"/>
      <c r="N66" s="23">
        <f t="shared" si="29"/>
        <v>22533063.01369863</v>
      </c>
      <c r="O66" s="51">
        <f t="shared" si="30"/>
        <v>0.26800000000000002</v>
      </c>
      <c r="P66" s="51">
        <f t="shared" si="31"/>
        <v>0.26800000000000002</v>
      </c>
      <c r="Q66" s="27">
        <f t="shared" si="32"/>
        <v>0.83833887904584936</v>
      </c>
      <c r="R66" s="12">
        <f t="shared" ca="1" si="33"/>
        <v>5.4215831688226293E-3</v>
      </c>
      <c r="S66" s="87"/>
      <c r="T66" s="77" t="s">
        <v>296</v>
      </c>
      <c r="U66" s="6"/>
    </row>
    <row r="67" spans="1:21" s="29" customFormat="1">
      <c r="A67" s="45" t="s">
        <v>293</v>
      </c>
      <c r="B67" s="18"/>
      <c r="C67" s="18"/>
      <c r="D67" s="18">
        <v>0.27250000000000002</v>
      </c>
      <c r="E67" s="40">
        <v>43475</v>
      </c>
      <c r="F67" s="20" t="s">
        <v>85</v>
      </c>
      <c r="G67" s="21">
        <v>40710721.549999997</v>
      </c>
      <c r="H67" s="21"/>
      <c r="I67" s="93">
        <v>43115</v>
      </c>
      <c r="J67" s="88"/>
      <c r="K67" s="88"/>
      <c r="L67" s="22"/>
      <c r="M67" s="22"/>
      <c r="N67" s="23">
        <f t="shared" ref="N67:N70" si="34">G67*(1+D67/365*("28/02/2018"-I67))</f>
        <v>42048040.868861645</v>
      </c>
      <c r="O67" s="51">
        <f t="shared" ref="O67:O70" si="35">+D67</f>
        <v>0.27250000000000002</v>
      </c>
      <c r="P67" s="51">
        <f t="shared" ref="P67:P70" si="36">+O67</f>
        <v>0.27250000000000002</v>
      </c>
      <c r="Q67" s="27">
        <f t="shared" ref="Q67:Q70" si="37">((E67-"29/12/2017")/365)/(1+O67)</f>
        <v>0.8116909330677935</v>
      </c>
      <c r="R67" s="12">
        <f t="shared" ref="R67:R70" ca="1" si="38">N67/$N$102</f>
        <v>1.0116997876320557E-2</v>
      </c>
      <c r="S67" s="87"/>
      <c r="T67" s="77" t="s">
        <v>106</v>
      </c>
      <c r="U67" s="6"/>
    </row>
    <row r="68" spans="1:21" s="29" customFormat="1">
      <c r="A68" s="45" t="s">
        <v>292</v>
      </c>
      <c r="B68" s="18"/>
      <c r="C68" s="18"/>
      <c r="D68" s="18">
        <v>0.27750000000000002</v>
      </c>
      <c r="E68" s="40">
        <v>43461</v>
      </c>
      <c r="F68" s="20" t="s">
        <v>85</v>
      </c>
      <c r="G68" s="21">
        <v>2700000</v>
      </c>
      <c r="H68" s="21"/>
      <c r="I68" s="93">
        <v>43096</v>
      </c>
      <c r="J68" s="88"/>
      <c r="K68" s="88"/>
      <c r="L68" s="22"/>
      <c r="M68" s="22"/>
      <c r="N68" s="23">
        <f t="shared" si="34"/>
        <v>2829322.6027397262</v>
      </c>
      <c r="O68" s="51">
        <f t="shared" si="35"/>
        <v>0.27750000000000002</v>
      </c>
      <c r="P68" s="51">
        <f t="shared" si="36"/>
        <v>0.27750000000000002</v>
      </c>
      <c r="Q68" s="27">
        <f t="shared" si="37"/>
        <v>0.77848966571053269</v>
      </c>
      <c r="R68" s="12">
        <f t="shared" ca="1" si="38"/>
        <v>6.8075111638651951E-4</v>
      </c>
      <c r="S68" s="87"/>
      <c r="T68" s="77" t="s">
        <v>106</v>
      </c>
      <c r="U68" s="6"/>
    </row>
    <row r="69" spans="1:21" s="29" customFormat="1">
      <c r="A69" s="45" t="s">
        <v>292</v>
      </c>
      <c r="B69" s="18"/>
      <c r="C69" s="18"/>
      <c r="D69" s="18">
        <v>0.27750000000000002</v>
      </c>
      <c r="E69" s="40">
        <v>43451</v>
      </c>
      <c r="F69" s="20" t="s">
        <v>85</v>
      </c>
      <c r="G69" s="21">
        <v>5000000</v>
      </c>
      <c r="H69" s="21"/>
      <c r="I69" s="93">
        <v>43089</v>
      </c>
      <c r="J69" s="88"/>
      <c r="K69" s="88"/>
      <c r="L69" s="22"/>
      <c r="M69" s="22"/>
      <c r="N69" s="23">
        <f t="shared" si="34"/>
        <v>5266095.8904109588</v>
      </c>
      <c r="O69" s="51">
        <f t="shared" si="35"/>
        <v>0.27750000000000002</v>
      </c>
      <c r="P69" s="51">
        <f t="shared" si="36"/>
        <v>0.27750000000000002</v>
      </c>
      <c r="Q69" s="27">
        <f t="shared" si="37"/>
        <v>0.75704366940996703</v>
      </c>
      <c r="R69" s="12">
        <f t="shared" ca="1" si="38"/>
        <v>1.2670526340560618E-3</v>
      </c>
      <c r="S69" s="87"/>
      <c r="T69" s="77" t="s">
        <v>106</v>
      </c>
      <c r="U69" s="6"/>
    </row>
    <row r="70" spans="1:21" s="29" customFormat="1">
      <c r="A70" s="45" t="s">
        <v>32</v>
      </c>
      <c r="B70" s="18"/>
      <c r="C70" s="18"/>
      <c r="D70" s="18">
        <v>0.26900000000000002</v>
      </c>
      <c r="E70" s="40">
        <v>43431</v>
      </c>
      <c r="F70" s="20" t="s">
        <v>85</v>
      </c>
      <c r="G70" s="21">
        <v>5000000</v>
      </c>
      <c r="H70" s="21"/>
      <c r="I70" s="93">
        <v>43066</v>
      </c>
      <c r="J70" s="88"/>
      <c r="K70" s="88"/>
      <c r="L70" s="22"/>
      <c r="M70" s="22"/>
      <c r="N70" s="23">
        <f t="shared" si="34"/>
        <v>5342698.6301369863</v>
      </c>
      <c r="O70" s="51">
        <f t="shared" si="35"/>
        <v>0.26900000000000002</v>
      </c>
      <c r="P70" s="51">
        <f t="shared" si="36"/>
        <v>0.26900000000000002</v>
      </c>
      <c r="Q70" s="27">
        <f t="shared" si="37"/>
        <v>0.71893519867871358</v>
      </c>
      <c r="R70" s="12">
        <f t="shared" ca="1" si="38"/>
        <v>1.2854836890853693E-3</v>
      </c>
      <c r="S70" s="87"/>
      <c r="T70" s="77" t="s">
        <v>106</v>
      </c>
      <c r="U70" s="6"/>
    </row>
    <row r="71" spans="1:21" s="29" customFormat="1">
      <c r="A71" s="32" t="s">
        <v>87</v>
      </c>
      <c r="B71" s="48"/>
      <c r="C71" s="48"/>
      <c r="D71" s="48"/>
      <c r="E71" s="33"/>
      <c r="F71" s="48"/>
      <c r="G71" s="34"/>
      <c r="H71" s="34"/>
      <c r="I71" s="34"/>
      <c r="J71" s="34"/>
      <c r="K71" s="34"/>
      <c r="L71" s="35"/>
      <c r="M71" s="35"/>
      <c r="N71" s="52"/>
      <c r="O71" s="48"/>
      <c r="P71" s="48"/>
      <c r="Q71" s="49"/>
      <c r="R71" s="53"/>
      <c r="S71" s="28"/>
      <c r="T71" s="77"/>
      <c r="U71" s="6"/>
    </row>
    <row r="72" spans="1:21" s="29" customFormat="1">
      <c r="A72" s="28" t="s">
        <v>78</v>
      </c>
      <c r="B72" s="20"/>
      <c r="C72" s="20"/>
      <c r="D72" s="20"/>
      <c r="E72" s="40"/>
      <c r="F72" s="20" t="s">
        <v>85</v>
      </c>
      <c r="G72" s="21">
        <f t="shared" ref="G72:G78" si="39">SUM(I72:J72)</f>
        <v>36323201</v>
      </c>
      <c r="H72" s="21"/>
      <c r="I72" s="88">
        <v>31623854</v>
      </c>
      <c r="J72" s="88">
        <v>4699347</v>
      </c>
      <c r="K72" s="88"/>
      <c r="L72" s="22">
        <f ca="1">OFFSET(FCI!$A$1,11-1,MATCH(A72,FCI!$1:$1,0)-1)</f>
        <v>7.757924</v>
      </c>
      <c r="M72" s="22"/>
      <c r="N72" s="23">
        <f t="shared" ref="N72:N78" ca="1" si="40">+G72*L72</f>
        <v>281792632.79472399</v>
      </c>
      <c r="O72" s="12"/>
      <c r="P72" s="12"/>
      <c r="Q72" s="27"/>
      <c r="R72" s="12">
        <f t="shared" ref="R72:R78" ca="1" si="41">N72/$N$102</f>
        <v>6.7800910782937568E-2</v>
      </c>
      <c r="S72" s="28"/>
      <c r="T72" s="77"/>
      <c r="U72" s="6"/>
    </row>
    <row r="73" spans="1:21" s="29" customFormat="1">
      <c r="A73" s="28" t="s">
        <v>45</v>
      </c>
      <c r="B73" s="20"/>
      <c r="C73" s="20"/>
      <c r="D73" s="20"/>
      <c r="E73" s="40"/>
      <c r="F73" s="20" t="s">
        <v>38</v>
      </c>
      <c r="G73" s="21">
        <f t="shared" si="39"/>
        <v>368660</v>
      </c>
      <c r="H73" s="21"/>
      <c r="I73" s="88">
        <v>365586</v>
      </c>
      <c r="J73" s="88">
        <v>3074</v>
      </c>
      <c r="K73" s="88"/>
      <c r="L73" s="22">
        <f ca="1">OFFSET(FCI!$A$1,11-1,MATCH(A73,FCI!$1:$1,0)-1)</f>
        <v>1.038875</v>
      </c>
      <c r="M73" s="22">
        <f ca="1">L73/$L$98</f>
        <v>5.5706740307791297E-2</v>
      </c>
      <c r="N73" s="23">
        <f t="shared" ca="1" si="40"/>
        <v>382991.65749999997</v>
      </c>
      <c r="O73" s="12"/>
      <c r="P73" s="12"/>
      <c r="Q73" s="27"/>
      <c r="R73" s="12">
        <f t="shared" ca="1" si="41"/>
        <v>9.2149971925217298E-5</v>
      </c>
      <c r="S73" s="30"/>
      <c r="T73" s="77"/>
      <c r="U73" s="6"/>
    </row>
    <row r="74" spans="1:21">
      <c r="A74" s="28" t="s">
        <v>26</v>
      </c>
      <c r="B74" s="20"/>
      <c r="C74" s="20"/>
      <c r="D74" s="20"/>
      <c r="E74" s="40"/>
      <c r="F74" s="20" t="s">
        <v>85</v>
      </c>
      <c r="G74" s="21">
        <f t="shared" si="39"/>
        <v>0</v>
      </c>
      <c r="H74" s="21"/>
      <c r="I74" s="88"/>
      <c r="J74" s="88"/>
      <c r="K74" s="88"/>
      <c r="L74" s="22">
        <f ca="1">OFFSET(FCI!$A$1,11-1,MATCH(A74,FCI!$1:$1,0)-1)</f>
        <v>6.9696470000000001</v>
      </c>
      <c r="M74" s="22"/>
      <c r="N74" s="23">
        <f t="shared" ca="1" si="40"/>
        <v>0</v>
      </c>
      <c r="O74" s="12"/>
      <c r="P74" s="12"/>
      <c r="Q74" s="27"/>
      <c r="R74" s="12">
        <f t="shared" ca="1" si="41"/>
        <v>0</v>
      </c>
      <c r="S74" s="30"/>
      <c r="T74" s="77"/>
    </row>
    <row r="75" spans="1:21" s="29" customFormat="1">
      <c r="A75" s="28" t="s">
        <v>88</v>
      </c>
      <c r="B75" s="20"/>
      <c r="C75" s="20"/>
      <c r="D75" s="20"/>
      <c r="E75" s="40"/>
      <c r="F75" s="20" t="s">
        <v>85</v>
      </c>
      <c r="G75" s="21">
        <f t="shared" si="39"/>
        <v>71574.51999999999</v>
      </c>
      <c r="H75" s="21"/>
      <c r="I75" s="88">
        <v>37223</v>
      </c>
      <c r="J75" s="88">
        <v>34351.519999999997</v>
      </c>
      <c r="K75" s="88"/>
      <c r="L75" s="22">
        <f ca="1">OFFSET(FCI!$A$1,11-1,MATCH(A75,FCI!$1:$1,0)-1)</f>
        <v>6.8114249999999998</v>
      </c>
      <c r="M75" s="22"/>
      <c r="N75" s="23">
        <f t="shared" ca="1" si="40"/>
        <v>487524.4748909999</v>
      </c>
      <c r="O75" s="12"/>
      <c r="P75" s="12"/>
      <c r="Q75" s="27"/>
      <c r="R75" s="12">
        <f t="shared" ca="1" si="41"/>
        <v>1.1730116255616338E-4</v>
      </c>
      <c r="S75" s="30"/>
      <c r="T75" s="77"/>
      <c r="U75" s="6"/>
    </row>
    <row r="76" spans="1:21" s="29" customFormat="1">
      <c r="A76" s="28" t="s">
        <v>89</v>
      </c>
      <c r="B76" s="20"/>
      <c r="C76" s="20"/>
      <c r="D76" s="20"/>
      <c r="E76" s="40"/>
      <c r="F76" s="20" t="s">
        <v>85</v>
      </c>
      <c r="G76" s="21">
        <f t="shared" si="39"/>
        <v>3223</v>
      </c>
      <c r="H76" s="21"/>
      <c r="I76" s="88">
        <v>3223</v>
      </c>
      <c r="J76" s="88"/>
      <c r="K76" s="88"/>
      <c r="L76" s="22">
        <f ca="1">OFFSET(FCI!$A$1,11-1,MATCH(A76,FCI!$1:$1,0)-1)</f>
        <v>4.1829499999999999</v>
      </c>
      <c r="M76" s="22"/>
      <c r="N76" s="23">
        <f t="shared" ca="1" si="40"/>
        <v>13481.647849999999</v>
      </c>
      <c r="O76" s="12"/>
      <c r="P76" s="12"/>
      <c r="Q76" s="27"/>
      <c r="R76" s="12">
        <f t="shared" ca="1" si="41"/>
        <v>3.2437611800543363E-6</v>
      </c>
      <c r="S76" s="30"/>
      <c r="T76" s="77"/>
      <c r="U76" s="6"/>
    </row>
    <row r="77" spans="1:21" s="29" customFormat="1">
      <c r="A77" s="28" t="s">
        <v>40</v>
      </c>
      <c r="B77" s="20"/>
      <c r="C77" s="20"/>
      <c r="D77" s="20"/>
      <c r="E77" s="40"/>
      <c r="F77" s="20" t="s">
        <v>85</v>
      </c>
      <c r="G77" s="21">
        <f t="shared" si="39"/>
        <v>14237208.119999999</v>
      </c>
      <c r="H77" s="21"/>
      <c r="I77" s="88">
        <v>13425677.119999999</v>
      </c>
      <c r="J77" s="88">
        <v>811531</v>
      </c>
      <c r="K77" s="88"/>
      <c r="L77" s="22">
        <f ca="1">OFFSET(FCI!$A$1,11-1,MATCH(A77,FCI!$1:$1,0)-1)</f>
        <v>6.1210170000000002</v>
      </c>
      <c r="M77" s="22"/>
      <c r="N77" s="23">
        <f t="shared" ca="1" si="40"/>
        <v>87146192.935058042</v>
      </c>
      <c r="O77" s="12"/>
      <c r="P77" s="12"/>
      <c r="Q77" s="27"/>
      <c r="R77" s="12">
        <f t="shared" ca="1" si="41"/>
        <v>2.0967869861121372E-2</v>
      </c>
      <c r="S77" s="30"/>
      <c r="T77" s="77"/>
      <c r="U77" s="6"/>
    </row>
    <row r="78" spans="1:21">
      <c r="A78" s="28" t="s">
        <v>90</v>
      </c>
      <c r="B78" s="20"/>
      <c r="C78" s="20"/>
      <c r="D78" s="20"/>
      <c r="E78" s="40"/>
      <c r="F78" s="20" t="s">
        <v>85</v>
      </c>
      <c r="G78" s="21">
        <f t="shared" si="39"/>
        <v>7826</v>
      </c>
      <c r="H78" s="21"/>
      <c r="I78" s="88">
        <v>7826</v>
      </c>
      <c r="J78" s="88"/>
      <c r="K78" s="88"/>
      <c r="L78" s="22">
        <f ca="1">OFFSET(FCI!$A$1,11-1,MATCH(A78,FCI!$1:$1,0)-1)</f>
        <v>4.1061709999999998</v>
      </c>
      <c r="M78" s="22"/>
      <c r="N78" s="23">
        <f t="shared" ca="1" si="40"/>
        <v>32134.894246</v>
      </c>
      <c r="O78" s="12"/>
      <c r="P78" s="12"/>
      <c r="Q78" s="27"/>
      <c r="R78" s="12">
        <f t="shared" ca="1" si="41"/>
        <v>7.7318383954322221E-6</v>
      </c>
      <c r="S78" s="21"/>
      <c r="T78" s="77"/>
    </row>
    <row r="79" spans="1:21">
      <c r="A79" s="32" t="s">
        <v>91</v>
      </c>
      <c r="B79" s="32"/>
      <c r="C79" s="32"/>
      <c r="D79" s="32"/>
      <c r="E79" s="33"/>
      <c r="F79" s="32"/>
      <c r="G79" s="34"/>
      <c r="H79" s="34"/>
      <c r="I79" s="34"/>
      <c r="J79" s="34"/>
      <c r="K79" s="34"/>
      <c r="L79" s="35"/>
      <c r="M79" s="35"/>
      <c r="N79" s="34"/>
      <c r="O79" s="37"/>
      <c r="P79" s="37"/>
      <c r="Q79" s="38"/>
      <c r="R79" s="53"/>
      <c r="S79" s="30"/>
      <c r="T79" s="77"/>
    </row>
    <row r="80" spans="1:21">
      <c r="A80" s="54" t="s">
        <v>87</v>
      </c>
      <c r="B80" s="20"/>
      <c r="C80" s="20"/>
      <c r="D80" s="20"/>
      <c r="E80" s="40"/>
      <c r="F80" s="20"/>
      <c r="G80" s="21"/>
      <c r="H80" s="21"/>
      <c r="I80" s="21"/>
      <c r="J80" s="21"/>
      <c r="K80" s="21"/>
      <c r="L80" s="22"/>
      <c r="M80" s="22"/>
      <c r="N80" s="23"/>
      <c r="O80" s="12"/>
      <c r="P80" s="12"/>
      <c r="Q80" s="27"/>
      <c r="R80" s="12"/>
      <c r="S80" s="30"/>
      <c r="T80" s="77"/>
    </row>
    <row r="81" spans="1:20">
      <c r="A81" s="28" t="s">
        <v>92</v>
      </c>
      <c r="B81" s="20"/>
      <c r="C81" s="20"/>
      <c r="D81" s="20"/>
      <c r="E81" s="40"/>
      <c r="F81" s="20" t="s">
        <v>13</v>
      </c>
      <c r="G81" s="21">
        <f t="shared" ref="G81:G82" si="42">SUM(I81:J81)</f>
        <v>7599584</v>
      </c>
      <c r="H81" s="21"/>
      <c r="I81" s="88">
        <v>7523358</v>
      </c>
      <c r="J81" s="88">
        <v>76226</v>
      </c>
      <c r="K81" s="88"/>
      <c r="L81" s="22">
        <f ca="1">OFFSET(FCI!$A$1,11-1,MATCH(A81,FCI!$1:$1,0)-1)</f>
        <v>0.66378999999999999</v>
      </c>
      <c r="M81" s="22"/>
      <c r="N81" s="23">
        <f ca="1">+G81*L81</f>
        <v>5044527.8633599998</v>
      </c>
      <c r="O81" s="12"/>
      <c r="P81" s="12"/>
      <c r="Q81" s="27"/>
      <c r="R81" s="12">
        <f ca="1">N81/$N$102</f>
        <v>1.2137421060786433E-3</v>
      </c>
      <c r="S81" s="30"/>
      <c r="T81" s="77"/>
    </row>
    <row r="82" spans="1:20">
      <c r="A82" s="28" t="s">
        <v>65</v>
      </c>
      <c r="B82" s="18"/>
      <c r="C82" s="18"/>
      <c r="D82" s="18"/>
      <c r="E82" s="19"/>
      <c r="F82" s="20" t="s">
        <v>13</v>
      </c>
      <c r="G82" s="21">
        <f t="shared" si="42"/>
        <v>19203.010000000002</v>
      </c>
      <c r="H82" s="21"/>
      <c r="I82" s="88">
        <v>1163.56</v>
      </c>
      <c r="J82" s="88">
        <v>18039.45</v>
      </c>
      <c r="K82" s="88"/>
      <c r="L82" s="22">
        <f ca="1">OFFSET(FCI!$A$1,11-1,MATCH(A82,FCI!$1:$1,0)-1)</f>
        <v>3.4169890000000001</v>
      </c>
      <c r="M82" s="22"/>
      <c r="N82" s="23">
        <f ca="1">+G82*L82</f>
        <v>65616.473936890005</v>
      </c>
      <c r="O82" s="12"/>
      <c r="P82" s="12"/>
      <c r="Q82" s="27"/>
      <c r="R82" s="12">
        <f ca="1">N82/$N$102</f>
        <v>1.5787696971222323E-5</v>
      </c>
      <c r="S82" s="30"/>
      <c r="T82" s="77"/>
    </row>
    <row r="83" spans="1:20">
      <c r="A83" s="54" t="s">
        <v>94</v>
      </c>
      <c r="B83" s="18"/>
      <c r="C83" s="18"/>
      <c r="D83" s="18"/>
      <c r="E83" s="19"/>
      <c r="F83" s="20"/>
      <c r="G83" s="21"/>
      <c r="H83" s="21"/>
      <c r="I83" s="21"/>
      <c r="J83" s="21"/>
      <c r="K83" s="21"/>
      <c r="L83" s="22"/>
      <c r="M83" s="22"/>
      <c r="N83" s="23"/>
      <c r="O83" s="12"/>
      <c r="P83" s="12"/>
      <c r="Q83" s="27"/>
      <c r="R83" s="12"/>
      <c r="S83" s="30"/>
      <c r="T83" s="77"/>
    </row>
    <row r="84" spans="1:20">
      <c r="A84" s="28" t="s">
        <v>95</v>
      </c>
      <c r="B84" s="18" t="str">
        <f>VLOOKUP(A84,'Identidad de Codigos'!A:C,2,FALSE)</f>
        <v>ARIPSA050207</v>
      </c>
      <c r="C84" s="81">
        <f>VLOOKUP(A84,'Identidad de Codigos'!A:C,3,FALSE)</f>
        <v>38678</v>
      </c>
      <c r="D84" s="18">
        <v>3.7400000000000003E-2</v>
      </c>
      <c r="E84" s="55"/>
      <c r="F84" s="20" t="s">
        <v>13</v>
      </c>
      <c r="G84" s="21">
        <f t="shared" ref="G84:G89" si="43">SUM(I84:J84)</f>
        <v>19000000</v>
      </c>
      <c r="H84" s="21">
        <f t="shared" ref="H84:H89" si="44">G84-SUM(I84:K84)</f>
        <v>0</v>
      </c>
      <c r="I84" s="102">
        <v>19000000</v>
      </c>
      <c r="J84" s="88"/>
      <c r="K84" s="88"/>
      <c r="L84" s="22">
        <v>0</v>
      </c>
      <c r="M84" s="22"/>
      <c r="N84" s="23">
        <f t="shared" ref="N84:N89" si="45">+G84*L84/100</f>
        <v>0</v>
      </c>
      <c r="O84" s="12"/>
      <c r="P84" s="12"/>
      <c r="Q84" s="27"/>
      <c r="R84" s="12">
        <f t="shared" ref="R84:R89" ca="1" si="46">N84/$N$102</f>
        <v>0</v>
      </c>
      <c r="S84" s="30"/>
      <c r="T84" s="77"/>
    </row>
    <row r="85" spans="1:20">
      <c r="A85" s="28" t="s">
        <v>96</v>
      </c>
      <c r="B85" s="18" t="str">
        <f>VLOOKUP(A85,'Identidad de Codigos'!A:C,2,FALSE)</f>
        <v>ARIPSA050215</v>
      </c>
      <c r="C85" s="81">
        <f>VLOOKUP(A85,'Identidad de Codigos'!A:C,3,FALSE)</f>
        <v>38679</v>
      </c>
      <c r="D85" s="18">
        <v>0.03</v>
      </c>
      <c r="E85" s="55"/>
      <c r="F85" s="20" t="s">
        <v>13</v>
      </c>
      <c r="G85" s="21">
        <f t="shared" si="43"/>
        <v>3700000</v>
      </c>
      <c r="H85" s="21">
        <f t="shared" si="44"/>
        <v>0</v>
      </c>
      <c r="I85" s="102">
        <v>3700000</v>
      </c>
      <c r="J85" s="88"/>
      <c r="K85" s="88"/>
      <c r="L85" s="22">
        <v>0</v>
      </c>
      <c r="M85" s="22"/>
      <c r="N85" s="23">
        <f t="shared" si="45"/>
        <v>0</v>
      </c>
      <c r="O85" s="12"/>
      <c r="P85" s="12"/>
      <c r="Q85" s="27"/>
      <c r="R85" s="12">
        <f t="shared" ca="1" si="46"/>
        <v>0</v>
      </c>
      <c r="S85" s="30"/>
      <c r="T85" s="77"/>
    </row>
    <row r="86" spans="1:20">
      <c r="A86" s="28" t="s">
        <v>200</v>
      </c>
      <c r="B86" s="18" t="str">
        <f>VLOOKUP(A86,'Identidad de Codigos'!A:C,2,FALSE)</f>
        <v>ARYPFS560010</v>
      </c>
      <c r="C86" s="81">
        <f>VLOOKUP(A86,'Identidad de Codigos'!A:C,3,FALSE)</f>
        <v>50108</v>
      </c>
      <c r="D86" s="18">
        <v>4.7399999999999998E-2</v>
      </c>
      <c r="E86" s="55">
        <v>43871</v>
      </c>
      <c r="F86" s="20" t="s">
        <v>13</v>
      </c>
      <c r="G86" s="21">
        <f t="shared" si="43"/>
        <v>29755000</v>
      </c>
      <c r="H86" s="21">
        <f t="shared" si="44"/>
        <v>0</v>
      </c>
      <c r="I86" s="88">
        <v>29755000</v>
      </c>
      <c r="J86" s="88"/>
      <c r="K86" s="88"/>
      <c r="L86" s="22">
        <f>VLOOKUP(A86,'Precios para Valuar'!$C:$L,5,FALSE)</f>
        <v>101.35599999999999</v>
      </c>
      <c r="M86" s="22"/>
      <c r="N86" s="23">
        <f t="shared" si="45"/>
        <v>30158477.800000001</v>
      </c>
      <c r="O86" s="26">
        <f>VLOOKUP(A86,'Precios para Valuar'!C:Z,6,FALSE)</f>
        <v>3.8800000000000001E-2</v>
      </c>
      <c r="P86" s="26">
        <f>+O86+Badlar</f>
        <v>0.26655000000000001</v>
      </c>
      <c r="Q86" s="27">
        <f>VLOOKUP(A86,'Precios para Valuar'!C:AC,9,FALSE)</f>
        <v>1.5349999999999999</v>
      </c>
      <c r="R86" s="12">
        <f t="shared" ca="1" si="46"/>
        <v>7.2563013531888468E-3</v>
      </c>
      <c r="S86" s="23"/>
      <c r="T86" s="77" t="str">
        <f>VLOOKUP(A86,'Precios para Valuar'!$C:$T,8,FALSE)</f>
        <v>devengado</v>
      </c>
    </row>
    <row r="87" spans="1:20">
      <c r="A87" s="28" t="s">
        <v>198</v>
      </c>
      <c r="B87" s="18" t="str">
        <f>VLOOKUP(A87,'Identidad de Codigos'!A:C,2,FALSE)</f>
        <v>ARPANE560055</v>
      </c>
      <c r="C87" s="81">
        <f>VLOOKUP(A87,'Identidad de Codigos'!A:C,3,FALSE)</f>
        <v>51035</v>
      </c>
      <c r="D87" s="18" t="s">
        <v>97</v>
      </c>
      <c r="E87" s="55">
        <v>44155</v>
      </c>
      <c r="F87" s="20" t="s">
        <v>13</v>
      </c>
      <c r="G87" s="21">
        <f t="shared" si="43"/>
        <v>7344309</v>
      </c>
      <c r="H87" s="21">
        <f t="shared" si="44"/>
        <v>0</v>
      </c>
      <c r="I87" s="88">
        <v>7344309</v>
      </c>
      <c r="J87" s="88"/>
      <c r="K87" s="88"/>
      <c r="L87" s="22">
        <f>VLOOKUP(A87,'Precios para Valuar'!$C:$L,5,FALSE)</f>
        <v>93.634</v>
      </c>
      <c r="M87" s="22"/>
      <c r="N87" s="23">
        <f t="shared" si="45"/>
        <v>6876770.2890600003</v>
      </c>
      <c r="O87" s="26">
        <f>VLOOKUP(A87,'Precios para Valuar'!C:Z,6,FALSE)</f>
        <v>3.6600000000000001E-2</v>
      </c>
      <c r="P87" s="26">
        <f>+O87+Badlar</f>
        <v>0.26435000000000003</v>
      </c>
      <c r="Q87" s="27">
        <f>VLOOKUP(A87,'Precios para Valuar'!C:AC,9,FALSE)</f>
        <v>1.97</v>
      </c>
      <c r="R87" s="12">
        <f t="shared" ca="1" si="46"/>
        <v>1.6545900587222255E-3</v>
      </c>
      <c r="S87" s="23"/>
      <c r="T87" s="77" t="str">
        <f>VLOOKUP(A87,'Precios para Valuar'!$C:$T,8,FALSE)</f>
        <v>devengado</v>
      </c>
    </row>
    <row r="88" spans="1:20">
      <c r="A88" s="28" t="s">
        <v>199</v>
      </c>
      <c r="B88" s="18" t="str">
        <f>VLOOKUP(A88,'Identidad de Codigos'!A:C,2,FALSE)</f>
        <v>ARPANE560063</v>
      </c>
      <c r="C88" s="81">
        <f>VLOOKUP(A88,'Identidad de Codigos'!A:C,3,FALSE)</f>
        <v>51097</v>
      </c>
      <c r="D88" s="18" t="s">
        <v>97</v>
      </c>
      <c r="E88" s="55">
        <v>44175</v>
      </c>
      <c r="F88" s="20" t="s">
        <v>13</v>
      </c>
      <c r="G88" s="21">
        <f t="shared" si="43"/>
        <v>13859545</v>
      </c>
      <c r="H88" s="21">
        <f t="shared" si="44"/>
        <v>0</v>
      </c>
      <c r="I88" s="88">
        <v>13763244</v>
      </c>
      <c r="J88" s="88">
        <v>96301</v>
      </c>
      <c r="K88" s="88"/>
      <c r="L88" s="22">
        <f>VLOOKUP(A88,'Precios para Valuar'!$C:$L,5,FALSE)</f>
        <v>97.727999999999994</v>
      </c>
      <c r="M88" s="22"/>
      <c r="N88" s="23">
        <f t="shared" si="45"/>
        <v>13544656.137599999</v>
      </c>
      <c r="O88" s="26">
        <f>VLOOKUP(A88,'Precios para Valuar'!C:Z,6,FALSE)</f>
        <v>3.8600000000000002E-2</v>
      </c>
      <c r="P88" s="26">
        <f>+O88+Badlar</f>
        <v>0.26635000000000003</v>
      </c>
      <c r="Q88" s="27">
        <f>VLOOKUP(A88,'Precios para Valuar'!C:AC,9,FALSE)</f>
        <v>1.8819999999999999</v>
      </c>
      <c r="R88" s="12">
        <f t="shared" ca="1" si="46"/>
        <v>3.2589213325529475E-3</v>
      </c>
      <c r="S88" s="23"/>
      <c r="T88" s="77" t="str">
        <f>VLOOKUP(A88,'Precios para Valuar'!$C:$T,8,FALSE)</f>
        <v>devengado</v>
      </c>
    </row>
    <row r="89" spans="1:20">
      <c r="A89" s="28" t="s">
        <v>93</v>
      </c>
      <c r="B89" s="18" t="str">
        <f>VLOOKUP(A89,'Identidad de Codigos'!A:C,2,FALSE)</f>
        <v>ARYPFS560085</v>
      </c>
      <c r="C89" s="81">
        <f>VLOOKUP(A89,'Identidad de Codigos'!A:C,3,FALSE)</f>
        <v>50879</v>
      </c>
      <c r="D89" s="18" t="s">
        <v>97</v>
      </c>
      <c r="E89" s="55">
        <v>44094</v>
      </c>
      <c r="F89" s="20" t="s">
        <v>13</v>
      </c>
      <c r="G89" s="21">
        <f t="shared" si="43"/>
        <v>5803165</v>
      </c>
      <c r="H89" s="21">
        <f t="shared" si="44"/>
        <v>0</v>
      </c>
      <c r="I89" s="102">
        <v>5803165</v>
      </c>
      <c r="J89" s="88"/>
      <c r="K89" s="88"/>
      <c r="L89" s="22">
        <f>VLOOKUP(A89,'Precios para Valuar'!$C:$L,5,FALSE)</f>
        <v>104.36799999999999</v>
      </c>
      <c r="M89" s="22"/>
      <c r="N89" s="23">
        <f t="shared" si="45"/>
        <v>6056647.2472000001</v>
      </c>
      <c r="O89" s="26">
        <f>VLOOKUP(A89,'Precios para Valuar'!C:Z,6,FALSE)</f>
        <v>3.7499999999999999E-2</v>
      </c>
      <c r="P89" s="26">
        <f>+O89+Badlar</f>
        <v>0.26524999999999999</v>
      </c>
      <c r="Q89" s="27"/>
      <c r="R89" s="12">
        <f t="shared" ca="1" si="46"/>
        <v>1.4572637885472079E-3</v>
      </c>
      <c r="S89" s="23"/>
      <c r="T89" s="77" t="str">
        <f>VLOOKUP(A89,'Precios para Valuar'!$C:$T,8,FALSE)</f>
        <v>devengado</v>
      </c>
    </row>
    <row r="90" spans="1:20">
      <c r="A90" s="54" t="s">
        <v>98</v>
      </c>
      <c r="B90" s="18"/>
      <c r="C90" s="18"/>
      <c r="D90" s="18"/>
      <c r="E90" s="55"/>
      <c r="F90" s="20"/>
      <c r="G90" s="21"/>
      <c r="H90" s="21"/>
      <c r="I90" s="21"/>
      <c r="J90" s="21"/>
      <c r="K90" s="21"/>
      <c r="L90" s="22"/>
      <c r="M90" s="22"/>
      <c r="N90" s="23"/>
      <c r="O90" s="12"/>
      <c r="P90" s="12"/>
      <c r="Q90" s="27"/>
      <c r="R90" s="12"/>
      <c r="S90" s="30"/>
      <c r="T90" s="77"/>
    </row>
    <row r="91" spans="1:20">
      <c r="A91" s="28" t="s">
        <v>82</v>
      </c>
      <c r="B91" s="18" t="str">
        <f>VLOOKUP(A91,'Identidad de Codigos'!A:C,2,FALSE)</f>
        <v>USP989MJAY76</v>
      </c>
      <c r="C91" s="81">
        <f>VLOOKUP(A91,'Identidad de Codigos'!A:C,3,FALSE)</f>
        <v>90154</v>
      </c>
      <c r="D91" s="18"/>
      <c r="E91" s="55">
        <v>45386</v>
      </c>
      <c r="F91" s="20" t="s">
        <v>38</v>
      </c>
      <c r="G91" s="21">
        <f t="shared" ref="G91" si="47">SUM(I91:J91)</f>
        <v>1618000</v>
      </c>
      <c r="H91" s="21">
        <f>G91-SUM(I91:K91)</f>
        <v>0</v>
      </c>
      <c r="I91" s="102">
        <v>1507000</v>
      </c>
      <c r="J91" s="88">
        <v>111000</v>
      </c>
      <c r="K91" s="88"/>
      <c r="L91" s="22">
        <f>VLOOKUP(A91,'Precios para Valuar'!$C:$L,5,FALSE)</f>
        <v>2310.049</v>
      </c>
      <c r="M91" s="22">
        <f>L91/$L$98</f>
        <v>123.8698589736715</v>
      </c>
      <c r="N91" s="23">
        <f>+G91*L91/100</f>
        <v>37376592.82</v>
      </c>
      <c r="O91" s="26">
        <f>VLOOKUP(A91,'Precios para Valuar'!C:Z,6,FALSE)</f>
        <v>6.2E-2</v>
      </c>
      <c r="P91" s="26">
        <f>O91+Dev</f>
        <v>0.17199999999999999</v>
      </c>
      <c r="Q91" s="27">
        <f>VLOOKUP(A91,'Precios para Valuar'!C:AC,9,FALSE)</f>
        <v>4.0730000000000004</v>
      </c>
      <c r="R91" s="12">
        <f ca="1">N91/$N$102</f>
        <v>8.9930208963449245E-3</v>
      </c>
      <c r="S91" s="23"/>
      <c r="T91" s="77" t="str">
        <f>VLOOKUP(A91,'Precios para Valuar'!$C:$T,8,FALSE)</f>
        <v>devengado</v>
      </c>
    </row>
    <row r="92" spans="1:20">
      <c r="A92" s="32" t="s">
        <v>99</v>
      </c>
      <c r="B92" s="48"/>
      <c r="C92" s="48"/>
      <c r="D92" s="48"/>
      <c r="E92" s="33"/>
      <c r="F92" s="48"/>
      <c r="G92" s="34"/>
      <c r="H92" s="34"/>
      <c r="I92" s="34"/>
      <c r="J92" s="34"/>
      <c r="K92" s="34"/>
      <c r="L92" s="35"/>
      <c r="M92" s="35"/>
      <c r="N92" s="36"/>
      <c r="O92" s="37"/>
      <c r="P92" s="37"/>
      <c r="Q92" s="38"/>
      <c r="R92" s="39"/>
      <c r="S92" s="21"/>
      <c r="T92" s="77"/>
    </row>
    <row r="93" spans="1:20">
      <c r="A93" s="54" t="s">
        <v>87</v>
      </c>
      <c r="B93" s="18"/>
      <c r="C93" s="18"/>
      <c r="D93" s="18"/>
      <c r="E93" s="19"/>
      <c r="F93" s="20"/>
      <c r="G93" s="21"/>
      <c r="H93" s="21"/>
      <c r="I93" s="21"/>
      <c r="J93" s="21"/>
      <c r="K93" s="21"/>
      <c r="L93" s="22"/>
      <c r="M93" s="22"/>
      <c r="N93" s="23"/>
      <c r="O93" s="12"/>
      <c r="P93" s="12"/>
      <c r="Q93" s="27"/>
      <c r="R93" s="12"/>
      <c r="S93" s="30"/>
      <c r="T93" s="77"/>
    </row>
    <row r="94" spans="1:20">
      <c r="A94" s="28" t="s">
        <v>73</v>
      </c>
      <c r="B94" s="18"/>
      <c r="C94" s="18"/>
      <c r="D94" s="18"/>
      <c r="E94" s="19"/>
      <c r="F94" s="20" t="s">
        <v>13</v>
      </c>
      <c r="G94" s="21">
        <f t="shared" ref="G94:G96" si="48">SUM(I94:J94)</f>
        <v>14349678</v>
      </c>
      <c r="H94" s="21"/>
      <c r="I94" s="88">
        <v>13240446</v>
      </c>
      <c r="J94" s="88">
        <v>1109232</v>
      </c>
      <c r="K94" s="88"/>
      <c r="L94" s="22">
        <f ca="1">OFFSET(FCI!$A$1,11-1,MATCH(A94,FCI!$1:$1,0)-1)</f>
        <v>3.2014520000000002</v>
      </c>
      <c r="M94" s="22"/>
      <c r="N94" s="23">
        <f ca="1">+G94*L94</f>
        <v>45939805.332456</v>
      </c>
      <c r="O94" s="12"/>
      <c r="P94" s="12"/>
      <c r="Q94" s="27"/>
      <c r="R94" s="12">
        <f ca="1">N94/$N$102</f>
        <v>1.1053378549468192E-2</v>
      </c>
      <c r="S94" s="30"/>
      <c r="T94" s="77"/>
    </row>
    <row r="95" spans="1:20">
      <c r="A95" s="28" t="s">
        <v>86</v>
      </c>
      <c r="B95" s="18"/>
      <c r="C95" s="18"/>
      <c r="D95" s="18"/>
      <c r="E95" s="19"/>
      <c r="F95" s="20" t="s">
        <v>13</v>
      </c>
      <c r="G95" s="21">
        <f t="shared" si="48"/>
        <v>7424458.8700000001</v>
      </c>
      <c r="H95" s="21"/>
      <c r="I95" s="88">
        <v>7424458.8700000001</v>
      </c>
      <c r="J95" s="88"/>
      <c r="K95" s="88"/>
      <c r="L95" s="22">
        <f ca="1">OFFSET(FCI!$A$1,11-1,MATCH(A95,FCI!$1:$1,0)-1)</f>
        <v>3.341011</v>
      </c>
      <c r="M95" s="22"/>
      <c r="N95" s="23">
        <f ca="1">+G95*L95</f>
        <v>24805198.753717571</v>
      </c>
      <c r="O95" s="12"/>
      <c r="P95" s="12"/>
      <c r="Q95" s="27"/>
      <c r="R95" s="12">
        <f ca="1">N95/$N$102</f>
        <v>5.9682719557788526E-3</v>
      </c>
      <c r="S95" s="28"/>
      <c r="T95" s="77"/>
    </row>
    <row r="96" spans="1:20">
      <c r="A96" s="28" t="s">
        <v>61</v>
      </c>
      <c r="B96" s="18"/>
      <c r="C96" s="18"/>
      <c r="D96" s="18"/>
      <c r="E96" s="19"/>
      <c r="F96" s="20" t="s">
        <v>13</v>
      </c>
      <c r="G96" s="21">
        <f t="shared" si="48"/>
        <v>166841064.67000002</v>
      </c>
      <c r="H96" s="21"/>
      <c r="I96" s="88">
        <v>155782526.83000001</v>
      </c>
      <c r="J96" s="88">
        <v>11058537.84</v>
      </c>
      <c r="K96" s="88"/>
      <c r="L96" s="22">
        <f ca="1">OFFSET(FCI!$A$1,11-1,MATCH(A96,FCI!$1:$1,0)-1)</f>
        <v>0.345725</v>
      </c>
      <c r="M96" s="22"/>
      <c r="N96" s="23">
        <f ca="1">+G96*L96</f>
        <v>57681127.08303576</v>
      </c>
      <c r="O96" s="12"/>
      <c r="P96" s="12"/>
      <c r="Q96" s="27"/>
      <c r="R96" s="12">
        <f ca="1">N96/$N$102</f>
        <v>1.3878407367963717E-2</v>
      </c>
      <c r="S96" s="28"/>
      <c r="T96" s="77"/>
    </row>
    <row r="97" spans="1:20">
      <c r="A97" s="32" t="s">
        <v>101</v>
      </c>
      <c r="B97" s="48"/>
      <c r="C97" s="48"/>
      <c r="D97" s="48"/>
      <c r="E97" s="33"/>
      <c r="F97" s="48"/>
      <c r="G97" s="34"/>
      <c r="H97" s="34"/>
      <c r="I97" s="34"/>
      <c r="J97" s="34"/>
      <c r="K97" s="34"/>
      <c r="L97" s="35"/>
      <c r="M97" s="35"/>
      <c r="N97" s="36"/>
      <c r="O97" s="37"/>
      <c r="P97" s="37"/>
      <c r="Q97" s="38"/>
      <c r="R97" s="39"/>
      <c r="S97" s="28"/>
      <c r="T97" s="77"/>
    </row>
    <row r="98" spans="1:20">
      <c r="A98" s="28" t="s">
        <v>32</v>
      </c>
      <c r="B98" s="28"/>
      <c r="C98" s="28"/>
      <c r="D98" s="28"/>
      <c r="E98" s="28"/>
      <c r="F98" s="20" t="s">
        <v>38</v>
      </c>
      <c r="G98" s="21">
        <f t="shared" ref="G98:G100" si="49">SUM(I98:J98)</f>
        <v>80640.600000000006</v>
      </c>
      <c r="H98" s="30"/>
      <c r="I98" s="89">
        <v>16864.189999999999</v>
      </c>
      <c r="J98" s="89">
        <v>63776.41</v>
      </c>
      <c r="K98" s="89"/>
      <c r="L98" s="22">
        <v>18.649000000000001</v>
      </c>
      <c r="M98" s="22"/>
      <c r="N98" s="23">
        <v>0</v>
      </c>
      <c r="O98" s="56"/>
      <c r="P98" s="56"/>
      <c r="Q98" s="27"/>
      <c r="R98" s="12">
        <f ca="1">N98/$N$102</f>
        <v>0</v>
      </c>
      <c r="S98" s="28"/>
      <c r="T98" s="77"/>
    </row>
    <row r="99" spans="1:20">
      <c r="A99" s="28" t="s">
        <v>32</v>
      </c>
      <c r="B99" s="28"/>
      <c r="C99" s="28"/>
      <c r="D99" s="28"/>
      <c r="E99" s="28"/>
      <c r="F99" s="20" t="s">
        <v>85</v>
      </c>
      <c r="G99" s="21">
        <f t="shared" si="49"/>
        <v>81413.549999999988</v>
      </c>
      <c r="H99" s="30"/>
      <c r="I99" s="89">
        <v>44928.24</v>
      </c>
      <c r="J99" s="89">
        <v>36485.31</v>
      </c>
      <c r="K99" s="89"/>
      <c r="L99" s="22">
        <v>1</v>
      </c>
      <c r="M99" s="22"/>
      <c r="N99" s="23">
        <v>0</v>
      </c>
      <c r="O99" s="56"/>
      <c r="P99" s="56"/>
      <c r="Q99" s="27"/>
      <c r="R99" s="12">
        <f ca="1">N99/$N$102</f>
        <v>0</v>
      </c>
      <c r="S99" s="28"/>
      <c r="T99" s="77"/>
    </row>
    <row r="100" spans="1:20">
      <c r="A100" s="5" t="s">
        <v>100</v>
      </c>
      <c r="B100" s="28"/>
      <c r="C100" s="28"/>
      <c r="D100" s="28"/>
      <c r="E100" s="28"/>
      <c r="F100" s="20" t="s">
        <v>85</v>
      </c>
      <c r="G100" s="21">
        <f t="shared" si="49"/>
        <v>24108153.600000001</v>
      </c>
      <c r="H100" s="30"/>
      <c r="I100" s="89">
        <v>23719785.600000001</v>
      </c>
      <c r="J100" s="89">
        <v>388368</v>
      </c>
      <c r="K100" s="89"/>
      <c r="L100" s="22">
        <v>1</v>
      </c>
      <c r="M100" s="22"/>
      <c r="N100" s="23">
        <v>0</v>
      </c>
      <c r="O100" s="56"/>
      <c r="P100" s="56"/>
      <c r="Q100" s="27"/>
      <c r="R100" s="12">
        <f ca="1">N100/$N$102</f>
        <v>0</v>
      </c>
      <c r="S100" s="28"/>
      <c r="T100" s="77"/>
    </row>
    <row r="101" spans="1:20">
      <c r="A101" s="28"/>
      <c r="B101" s="28"/>
      <c r="C101" s="28"/>
      <c r="D101" s="28"/>
      <c r="E101" s="40"/>
      <c r="F101" s="28"/>
      <c r="G101" s="21"/>
      <c r="H101" s="21"/>
      <c r="I101" s="21"/>
      <c r="J101" s="21"/>
      <c r="K101" s="21"/>
      <c r="L101" s="22"/>
      <c r="M101" s="22"/>
      <c r="N101" s="41"/>
      <c r="O101" s="57"/>
      <c r="P101" s="57"/>
      <c r="Q101" s="43"/>
      <c r="R101" s="44"/>
      <c r="S101" s="28"/>
      <c r="T101" s="77"/>
    </row>
    <row r="102" spans="1:20">
      <c r="A102" s="58" t="s">
        <v>20</v>
      </c>
      <c r="B102" s="59"/>
      <c r="C102" s="59"/>
      <c r="D102" s="59"/>
      <c r="E102" s="59"/>
      <c r="F102" s="60"/>
      <c r="G102" s="61"/>
      <c r="H102" s="61"/>
      <c r="I102" s="61"/>
      <c r="J102" s="61"/>
      <c r="K102" s="61"/>
      <c r="L102" s="62"/>
      <c r="M102" s="62"/>
      <c r="N102" s="63">
        <f ca="1">SUM(N5:N100)</f>
        <v>4156177690.545692</v>
      </c>
      <c r="O102" s="64"/>
      <c r="P102" s="64">
        <f ca="1">SUMPRODUCT(P4:P101,R4:R101)</f>
        <v>0.2057352322626321</v>
      </c>
      <c r="Q102" s="65">
        <f ca="1">SUMPRODUCT(Q4:Q101,R4:R101)</f>
        <v>1.0553017949786936</v>
      </c>
      <c r="R102" s="66">
        <v>1</v>
      </c>
      <c r="S102" s="67"/>
      <c r="T102" s="80"/>
    </row>
    <row r="103" spans="1:20">
      <c r="A103" s="28"/>
      <c r="B103" s="28"/>
      <c r="C103" s="28"/>
      <c r="D103" s="28"/>
      <c r="E103" s="28"/>
      <c r="F103" s="28"/>
      <c r="G103" s="68"/>
      <c r="H103" s="68"/>
      <c r="I103" s="68"/>
      <c r="J103" s="68"/>
      <c r="K103" s="68"/>
      <c r="L103" s="22"/>
      <c r="M103" s="22"/>
      <c r="N103" s="30"/>
      <c r="O103" s="20"/>
      <c r="P103" s="20"/>
      <c r="Q103" s="69"/>
      <c r="R103" s="12"/>
      <c r="S103" s="28"/>
      <c r="T103" s="77"/>
    </row>
    <row r="104" spans="1:20">
      <c r="A104" s="28"/>
      <c r="B104" s="28"/>
      <c r="C104" s="28"/>
      <c r="D104" s="28"/>
      <c r="E104" s="28"/>
      <c r="F104" s="28"/>
      <c r="G104" s="68"/>
      <c r="H104" s="68"/>
      <c r="I104" s="68"/>
      <c r="J104" s="68"/>
      <c r="K104" s="68"/>
      <c r="L104" s="22"/>
      <c r="M104" s="22"/>
      <c r="N104" s="30"/>
      <c r="O104" s="20"/>
      <c r="P104" s="20"/>
      <c r="Q104" s="69"/>
      <c r="R104" s="12"/>
      <c r="S104" s="28"/>
      <c r="T104" s="77"/>
    </row>
    <row r="105" spans="1:20">
      <c r="A105" s="28" t="s">
        <v>289</v>
      </c>
      <c r="B105" s="28"/>
      <c r="C105" s="28"/>
      <c r="D105" s="28"/>
      <c r="E105" s="28"/>
      <c r="F105" s="28"/>
      <c r="G105" s="68"/>
      <c r="H105" s="68"/>
      <c r="I105" s="68"/>
      <c r="J105" s="68"/>
      <c r="K105" s="68"/>
      <c r="L105" s="22"/>
      <c r="M105" s="22"/>
      <c r="N105" s="30"/>
      <c r="O105" s="20"/>
      <c r="P105" s="20"/>
      <c r="Q105" s="69"/>
      <c r="R105" s="12"/>
      <c r="S105" s="28"/>
      <c r="T105" s="77"/>
    </row>
    <row r="106" spans="1:20">
      <c r="A106" s="87" t="s">
        <v>286</v>
      </c>
      <c r="B106" s="100">
        <v>0.22775000000000001</v>
      </c>
      <c r="C106" s="87"/>
      <c r="D106" s="87"/>
      <c r="E106" s="87"/>
      <c r="F106" s="87"/>
      <c r="G106" s="68"/>
      <c r="H106" s="68"/>
      <c r="I106" s="68"/>
      <c r="J106" s="68"/>
      <c r="K106" s="68"/>
      <c r="L106" s="22"/>
      <c r="M106" s="22"/>
      <c r="N106" s="30"/>
      <c r="O106" s="20"/>
      <c r="P106" s="20"/>
      <c r="Q106" s="69"/>
      <c r="R106" s="12"/>
      <c r="S106" s="87"/>
      <c r="T106" s="77"/>
    </row>
    <row r="107" spans="1:20">
      <c r="A107" s="87" t="s">
        <v>350</v>
      </c>
      <c r="B107" s="100">
        <v>0.232375</v>
      </c>
      <c r="C107" s="87"/>
      <c r="D107" s="87"/>
      <c r="E107" s="87"/>
      <c r="F107" s="87"/>
      <c r="G107" s="68"/>
      <c r="H107" s="68"/>
      <c r="I107" s="68"/>
      <c r="J107" s="68"/>
      <c r="K107" s="68"/>
      <c r="L107" s="22"/>
      <c r="M107" s="22"/>
      <c r="N107" s="30"/>
      <c r="O107" s="20"/>
      <c r="P107" s="20"/>
      <c r="Q107" s="69"/>
      <c r="R107" s="12"/>
      <c r="S107" s="87"/>
      <c r="T107" s="77"/>
    </row>
    <row r="108" spans="1:20">
      <c r="A108" s="87" t="s">
        <v>287</v>
      </c>
      <c r="B108" s="100">
        <v>0.186</v>
      </c>
      <c r="C108" s="87"/>
      <c r="D108" s="87"/>
      <c r="E108" s="87"/>
      <c r="F108" s="87"/>
      <c r="G108" s="21"/>
      <c r="H108" s="21"/>
      <c r="I108" s="21"/>
      <c r="J108" s="21"/>
      <c r="K108" s="21"/>
      <c r="L108" s="22"/>
      <c r="M108" s="22"/>
      <c r="N108" s="87"/>
      <c r="O108" s="20"/>
      <c r="P108" s="20"/>
      <c r="Q108" s="69"/>
      <c r="R108" s="12"/>
      <c r="S108" s="87"/>
      <c r="T108" s="77"/>
    </row>
    <row r="109" spans="1:20">
      <c r="A109" s="87" t="s">
        <v>288</v>
      </c>
      <c r="B109" s="100">
        <v>0.11</v>
      </c>
      <c r="C109" s="87"/>
      <c r="D109" s="87"/>
      <c r="E109" s="87"/>
      <c r="F109" s="87"/>
      <c r="G109" s="21"/>
      <c r="H109" s="21"/>
      <c r="I109" s="21"/>
      <c r="J109" s="21"/>
      <c r="K109" s="21"/>
      <c r="L109" s="22"/>
      <c r="M109" s="22"/>
      <c r="N109" s="87"/>
      <c r="O109" s="20"/>
      <c r="P109" s="20"/>
      <c r="Q109" s="69"/>
      <c r="R109" s="12"/>
      <c r="S109" s="87"/>
      <c r="T109" s="77"/>
    </row>
    <row r="110" spans="1:20">
      <c r="A110" s="87"/>
      <c r="B110" s="87"/>
      <c r="C110" s="87"/>
      <c r="D110" s="87"/>
      <c r="E110" s="87"/>
      <c r="F110" s="87"/>
      <c r="G110" s="21"/>
      <c r="H110" s="21"/>
      <c r="I110" s="21"/>
      <c r="J110" s="21"/>
      <c r="K110" s="21"/>
      <c r="L110" s="22"/>
      <c r="M110" s="22"/>
      <c r="N110" s="87"/>
      <c r="O110" s="20"/>
      <c r="P110" s="20"/>
      <c r="Q110" s="69"/>
      <c r="R110" s="12"/>
      <c r="S110" s="87"/>
      <c r="T110" s="77"/>
    </row>
  </sheetData>
  <conditionalFormatting sqref="E29 E33 E45:E46 E86 E15 E12 E91 E89 E5:E10 E51">
    <cfRule type="cellIs" dxfId="37" priority="43" operator="lessThan">
      <formula>#REF!</formula>
    </cfRule>
  </conditionalFormatting>
  <conditionalFormatting sqref="E36">
    <cfRule type="cellIs" dxfId="36" priority="42" operator="lessThanOrEqual">
      <formula>#REF!</formula>
    </cfRule>
  </conditionalFormatting>
  <conditionalFormatting sqref="E30">
    <cfRule type="cellIs" dxfId="35" priority="41" operator="lessThanOrEqual">
      <formula>#REF!</formula>
    </cfRule>
  </conditionalFormatting>
  <conditionalFormatting sqref="E37:E39">
    <cfRule type="cellIs" dxfId="34" priority="40" operator="lessThanOrEqual">
      <formula>#REF!</formula>
    </cfRule>
  </conditionalFormatting>
  <conditionalFormatting sqref="E13:E14">
    <cfRule type="cellIs" dxfId="33" priority="39" operator="lessThan">
      <formula>#REF!</formula>
    </cfRule>
  </conditionalFormatting>
  <conditionalFormatting sqref="E31">
    <cfRule type="cellIs" dxfId="32" priority="37" operator="lessThanOrEqual">
      <formula>#REF!</formula>
    </cfRule>
  </conditionalFormatting>
  <conditionalFormatting sqref="E41">
    <cfRule type="cellIs" dxfId="31" priority="36" operator="lessThanOrEqual">
      <formula>#REF!</formula>
    </cfRule>
  </conditionalFormatting>
  <conditionalFormatting sqref="E62">
    <cfRule type="cellIs" dxfId="30" priority="35" operator="lessThan">
      <formula>#REF!</formula>
    </cfRule>
  </conditionalFormatting>
  <conditionalFormatting sqref="E43">
    <cfRule type="cellIs" dxfId="29" priority="34" operator="lessThanOrEqual">
      <formula>#REF!</formula>
    </cfRule>
  </conditionalFormatting>
  <conditionalFormatting sqref="E44">
    <cfRule type="cellIs" dxfId="28" priority="32" operator="lessThanOrEqual">
      <formula>#REF!</formula>
    </cfRule>
  </conditionalFormatting>
  <conditionalFormatting sqref="E32">
    <cfRule type="cellIs" dxfId="27" priority="31" operator="lessThanOrEqual">
      <formula>#REF!</formula>
    </cfRule>
  </conditionalFormatting>
  <conditionalFormatting sqref="E25">
    <cfRule type="cellIs" dxfId="26" priority="30" operator="lessThan">
      <formula>#REF!</formula>
    </cfRule>
  </conditionalFormatting>
  <conditionalFormatting sqref="E27:E28">
    <cfRule type="cellIs" dxfId="25" priority="29" operator="lessThanOrEqual">
      <formula>#REF!</formula>
    </cfRule>
  </conditionalFormatting>
  <conditionalFormatting sqref="E40">
    <cfRule type="cellIs" dxfId="24" priority="28" operator="lessThanOrEqual">
      <formula>#REF!</formula>
    </cfRule>
  </conditionalFormatting>
  <conditionalFormatting sqref="E64">
    <cfRule type="cellIs" dxfId="23" priority="27" operator="lessThan">
      <formula>#REF!</formula>
    </cfRule>
  </conditionalFormatting>
  <conditionalFormatting sqref="E60">
    <cfRule type="cellIs" dxfId="22" priority="26" operator="lessThan">
      <formula>#REF!</formula>
    </cfRule>
  </conditionalFormatting>
  <conditionalFormatting sqref="E42">
    <cfRule type="cellIs" dxfId="21" priority="25" operator="lessThanOrEqual">
      <formula>#REF!</formula>
    </cfRule>
  </conditionalFormatting>
  <conditionalFormatting sqref="E53">
    <cfRule type="cellIs" dxfId="20" priority="24" operator="lessThan">
      <formula>#REF!</formula>
    </cfRule>
  </conditionalFormatting>
  <conditionalFormatting sqref="E11">
    <cfRule type="cellIs" dxfId="19" priority="23" operator="lessThanOrEqual">
      <formula>#REF!</formula>
    </cfRule>
  </conditionalFormatting>
  <conditionalFormatting sqref="E35">
    <cfRule type="cellIs" dxfId="18" priority="22" operator="lessThan">
      <formula>#REF!</formula>
    </cfRule>
  </conditionalFormatting>
  <conditionalFormatting sqref="E19:E20">
    <cfRule type="cellIs" dxfId="17" priority="21" operator="lessThan">
      <formula>#REF!</formula>
    </cfRule>
  </conditionalFormatting>
  <conditionalFormatting sqref="E20:E22">
    <cfRule type="cellIs" dxfId="16" priority="20" operator="lessThanOrEqual">
      <formula>#REF!</formula>
    </cfRule>
  </conditionalFormatting>
  <conditionalFormatting sqref="E55:E64">
    <cfRule type="cellIs" dxfId="15" priority="19" operator="lessThan">
      <formula>#REF!</formula>
    </cfRule>
  </conditionalFormatting>
  <conditionalFormatting sqref="E61">
    <cfRule type="cellIs" dxfId="14" priority="18" operator="lessThan">
      <formula>#REF!</formula>
    </cfRule>
  </conditionalFormatting>
  <conditionalFormatting sqref="E63">
    <cfRule type="cellIs" dxfId="13" priority="17" operator="lessThan">
      <formula>#REF!</formula>
    </cfRule>
  </conditionalFormatting>
  <conditionalFormatting sqref="E56:E59">
    <cfRule type="cellIs" dxfId="12" priority="14" operator="lessThan">
      <formula>#REF!</formula>
    </cfRule>
  </conditionalFormatting>
  <conditionalFormatting sqref="E34">
    <cfRule type="cellIs" dxfId="11" priority="13" operator="lessThan">
      <formula>#REF!</formula>
    </cfRule>
  </conditionalFormatting>
  <conditionalFormatting sqref="E47">
    <cfRule type="cellIs" dxfId="10" priority="12" operator="lessThanOrEqual">
      <formula>#REF!</formula>
    </cfRule>
  </conditionalFormatting>
  <conditionalFormatting sqref="E16">
    <cfRule type="cellIs" dxfId="9" priority="11" operator="lessThan">
      <formula>#REF!</formula>
    </cfRule>
  </conditionalFormatting>
  <conditionalFormatting sqref="E49:E50">
    <cfRule type="cellIs" dxfId="8" priority="10" operator="lessThanOrEqual">
      <formula>#REF!</formula>
    </cfRule>
  </conditionalFormatting>
  <conditionalFormatting sqref="E67:E70">
    <cfRule type="cellIs" dxfId="7" priority="7" operator="lessThan">
      <formula>#REF!</formula>
    </cfRule>
  </conditionalFormatting>
  <conditionalFormatting sqref="E67:E70">
    <cfRule type="cellIs" dxfId="6" priority="6" operator="lessThan">
      <formula>#REF!</formula>
    </cfRule>
  </conditionalFormatting>
  <conditionalFormatting sqref="E65:E66">
    <cfRule type="cellIs" dxfId="5" priority="5" operator="lessThan">
      <formula>#REF!</formula>
    </cfRule>
  </conditionalFormatting>
  <conditionalFormatting sqref="E65:E66">
    <cfRule type="cellIs" dxfId="4" priority="4" operator="lessThan">
      <formula>#REF!</formula>
    </cfRule>
  </conditionalFormatting>
  <conditionalFormatting sqref="E48">
    <cfRule type="cellIs" dxfId="3" priority="3" operator="lessThanOrEqual">
      <formula>#REF!</formula>
    </cfRule>
  </conditionalFormatting>
  <conditionalFormatting sqref="E26">
    <cfRule type="cellIs" dxfId="2" priority="2" operator="lessThanOrEqual">
      <formula>#REF!</formula>
    </cfRule>
  </conditionalFormatting>
  <conditionalFormatting sqref="E52">
    <cfRule type="cellIs" dxfId="1" priority="1" operator="lessThan">
      <formula>#REF!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03"/>
  <sheetViews>
    <sheetView workbookViewId="0">
      <selection activeCell="B11" sqref="B11"/>
    </sheetView>
  </sheetViews>
  <sheetFormatPr baseColWidth="10" defaultRowHeight="15"/>
  <sheetData>
    <row r="1" spans="1:20">
      <c r="B1" s="86" t="s">
        <v>78</v>
      </c>
      <c r="C1" s="86" t="s">
        <v>45</v>
      </c>
      <c r="D1" s="86" t="s">
        <v>26</v>
      </c>
      <c r="E1" s="86" t="s">
        <v>88</v>
      </c>
      <c r="F1" s="85" t="s">
        <v>89</v>
      </c>
      <c r="G1" s="85" t="s">
        <v>40</v>
      </c>
      <c r="H1" s="85" t="s">
        <v>90</v>
      </c>
      <c r="I1" s="85" t="s">
        <v>92</v>
      </c>
      <c r="J1" s="85" t="s">
        <v>65</v>
      </c>
      <c r="K1" t="s">
        <v>73</v>
      </c>
      <c r="L1" t="s">
        <v>86</v>
      </c>
      <c r="M1" t="s">
        <v>61</v>
      </c>
      <c r="R1" s="94" t="s">
        <v>225</v>
      </c>
      <c r="S1" s="94"/>
      <c r="T1" s="94"/>
    </row>
    <row r="2" spans="1:20">
      <c r="A2" t="s">
        <v>295</v>
      </c>
    </row>
    <row r="3" spans="1:20">
      <c r="A3" t="s">
        <v>196</v>
      </c>
      <c r="B3" t="s">
        <v>197</v>
      </c>
      <c r="C3" t="s">
        <v>197</v>
      </c>
      <c r="D3" t="s">
        <v>197</v>
      </c>
      <c r="E3" t="s">
        <v>197</v>
      </c>
      <c r="F3" t="s">
        <v>197</v>
      </c>
      <c r="G3" t="s">
        <v>197</v>
      </c>
      <c r="H3" t="s">
        <v>197</v>
      </c>
      <c r="I3" t="s">
        <v>197</v>
      </c>
      <c r="J3" t="s">
        <v>197</v>
      </c>
      <c r="K3" t="s">
        <v>197</v>
      </c>
      <c r="L3" t="s">
        <v>197</v>
      </c>
      <c r="M3" t="s">
        <v>197</v>
      </c>
    </row>
    <row r="4" spans="1:20">
      <c r="A4" s="82">
        <v>43168</v>
      </c>
      <c r="B4">
        <v>7.8018929999999997</v>
      </c>
      <c r="C4">
        <v>1.039334</v>
      </c>
      <c r="D4">
        <v>7.021846</v>
      </c>
      <c r="E4">
        <v>6.8618069999999998</v>
      </c>
      <c r="F4">
        <v>4.2143490000000003</v>
      </c>
      <c r="G4">
        <v>6.165826</v>
      </c>
      <c r="H4">
        <v>4.1365239999999996</v>
      </c>
      <c r="I4">
        <v>0.66378000000000004</v>
      </c>
      <c r="J4">
        <v>3.4360110000000001</v>
      </c>
      <c r="K4">
        <v>3.217787</v>
      </c>
      <c r="L4">
        <v>3.362365</v>
      </c>
      <c r="M4">
        <v>0.34776200000000002</v>
      </c>
    </row>
    <row r="5" spans="1:20">
      <c r="A5" s="82">
        <v>43167</v>
      </c>
      <c r="B5">
        <v>7.7969530000000002</v>
      </c>
      <c r="C5">
        <v>1.0392479999999999</v>
      </c>
      <c r="D5">
        <v>7.0094859999999999</v>
      </c>
      <c r="E5">
        <v>6.8495840000000001</v>
      </c>
      <c r="F5">
        <v>4.2059670000000002</v>
      </c>
      <c r="G5">
        <v>6.1547580000000002</v>
      </c>
      <c r="H5">
        <v>4.1289949999999997</v>
      </c>
      <c r="I5">
        <v>0.66427800000000004</v>
      </c>
      <c r="J5">
        <v>3.4342220000000001</v>
      </c>
      <c r="K5">
        <v>3.2157360000000001</v>
      </c>
      <c r="L5">
        <v>3.3601749999999999</v>
      </c>
      <c r="M5">
        <v>0.34761900000000001</v>
      </c>
    </row>
    <row r="6" spans="1:20">
      <c r="A6" s="82">
        <v>43166</v>
      </c>
      <c r="B6">
        <v>7.7920870000000004</v>
      </c>
      <c r="C6">
        <v>1.039142</v>
      </c>
      <c r="D6">
        <v>7.0045489999999999</v>
      </c>
      <c r="E6">
        <v>6.8447079999999998</v>
      </c>
      <c r="F6">
        <v>4.2030609999999999</v>
      </c>
      <c r="G6">
        <v>6.150525</v>
      </c>
      <c r="H6">
        <v>4.125972</v>
      </c>
      <c r="I6">
        <v>0.66477799999999998</v>
      </c>
      <c r="J6">
        <v>3.4318569999999999</v>
      </c>
      <c r="K6">
        <v>3.2139519999999999</v>
      </c>
      <c r="L6">
        <v>3.3579059999999998</v>
      </c>
      <c r="M6">
        <v>0.34747099999999997</v>
      </c>
    </row>
    <row r="7" spans="1:20">
      <c r="A7" s="82">
        <v>43165</v>
      </c>
      <c r="B7">
        <v>7.7871519999999999</v>
      </c>
      <c r="C7">
        <v>1.0391090000000001</v>
      </c>
      <c r="D7">
        <v>6.9993650000000001</v>
      </c>
      <c r="E7">
        <v>6.839995</v>
      </c>
      <c r="F7">
        <v>4.2001020000000002</v>
      </c>
      <c r="G7">
        <v>6.1462430000000001</v>
      </c>
      <c r="H7">
        <v>4.1232069999999998</v>
      </c>
      <c r="I7">
        <v>0.66901999999999995</v>
      </c>
      <c r="J7">
        <v>3.4292340000000001</v>
      </c>
      <c r="K7">
        <v>3.2125059999999999</v>
      </c>
      <c r="L7">
        <v>3.355537</v>
      </c>
      <c r="M7">
        <v>0.34710999999999997</v>
      </c>
    </row>
    <row r="8" spans="1:20">
      <c r="A8" s="82">
        <v>43164</v>
      </c>
      <c r="B8">
        <v>7.7822810000000002</v>
      </c>
      <c r="C8">
        <v>1.0390809999999999</v>
      </c>
      <c r="D8">
        <v>6.9944220000000001</v>
      </c>
      <c r="E8">
        <v>6.8354900000000001</v>
      </c>
      <c r="F8">
        <v>4.1973440000000002</v>
      </c>
      <c r="G8">
        <v>6.1419769999999998</v>
      </c>
      <c r="H8">
        <v>4.1204359999999998</v>
      </c>
      <c r="I8">
        <v>0.66618299999999997</v>
      </c>
      <c r="J8">
        <v>3.4274830000000001</v>
      </c>
      <c r="K8">
        <v>3.2108020000000002</v>
      </c>
      <c r="L8">
        <v>3.3510490000000002</v>
      </c>
      <c r="M8">
        <v>0.34680800000000001</v>
      </c>
    </row>
    <row r="9" spans="1:20">
      <c r="A9" s="82">
        <v>43161</v>
      </c>
      <c r="B9">
        <v>7.7673819999999996</v>
      </c>
      <c r="C9">
        <v>1.039075</v>
      </c>
      <c r="D9">
        <v>6.986713</v>
      </c>
      <c r="E9">
        <v>6.8286980000000002</v>
      </c>
      <c r="F9">
        <v>4.1945249999999996</v>
      </c>
      <c r="G9">
        <v>6.1367510000000003</v>
      </c>
      <c r="H9">
        <v>4.1168940000000003</v>
      </c>
      <c r="I9">
        <v>0.66719499999999998</v>
      </c>
      <c r="J9">
        <v>3.4208129999999999</v>
      </c>
      <c r="K9">
        <v>3.2055349999999998</v>
      </c>
      <c r="L9">
        <v>3.3450479999999998</v>
      </c>
      <c r="M9">
        <v>0.34628199999999998</v>
      </c>
    </row>
    <row r="10" spans="1:20">
      <c r="A10" s="82">
        <v>43160</v>
      </c>
      <c r="B10">
        <v>7.7625820000000001</v>
      </c>
      <c r="C10">
        <v>1.038975</v>
      </c>
      <c r="D10">
        <v>6.9743259999999996</v>
      </c>
      <c r="E10">
        <v>6.8163600000000004</v>
      </c>
      <c r="F10">
        <v>4.1857389999999999</v>
      </c>
      <c r="G10">
        <v>6.1251139999999999</v>
      </c>
      <c r="H10">
        <v>4.1090609999999996</v>
      </c>
      <c r="I10">
        <v>0.66514300000000004</v>
      </c>
      <c r="J10">
        <v>3.4185859999999999</v>
      </c>
      <c r="K10">
        <v>3.203252</v>
      </c>
      <c r="L10">
        <v>3.3430270000000002</v>
      </c>
      <c r="M10">
        <v>0.34602500000000003</v>
      </c>
    </row>
    <row r="11" spans="1:20">
      <c r="A11" s="82">
        <v>43159</v>
      </c>
      <c r="B11">
        <v>7.757924</v>
      </c>
      <c r="C11">
        <v>1.038875</v>
      </c>
      <c r="D11">
        <v>6.9696470000000001</v>
      </c>
      <c r="E11">
        <v>6.8114249999999998</v>
      </c>
      <c r="F11">
        <v>4.1829499999999999</v>
      </c>
      <c r="G11">
        <v>6.1210170000000002</v>
      </c>
      <c r="H11">
        <v>4.1061709999999998</v>
      </c>
      <c r="I11">
        <v>0.66378999999999999</v>
      </c>
      <c r="J11">
        <v>3.4169890000000001</v>
      </c>
      <c r="K11">
        <v>3.2014520000000002</v>
      </c>
      <c r="L11">
        <v>3.341011</v>
      </c>
      <c r="M11">
        <v>0.345725</v>
      </c>
    </row>
    <row r="12" spans="1:20">
      <c r="A12" s="82">
        <v>43158</v>
      </c>
      <c r="B12">
        <v>7.7530539999999997</v>
      </c>
      <c r="C12">
        <v>1.03881</v>
      </c>
      <c r="D12">
        <v>6.9652019999999997</v>
      </c>
      <c r="E12">
        <v>6.8067849999999996</v>
      </c>
      <c r="F12">
        <v>4.1802510000000002</v>
      </c>
      <c r="G12">
        <v>6.1170179999999998</v>
      </c>
      <c r="H12">
        <v>4.1036520000000003</v>
      </c>
      <c r="I12">
        <v>0.66466800000000004</v>
      </c>
      <c r="J12">
        <v>3.4150299999999998</v>
      </c>
      <c r="K12">
        <v>3.1997559999999998</v>
      </c>
      <c r="L12">
        <v>3.3389829999999998</v>
      </c>
      <c r="M12">
        <v>0.34533700000000001</v>
      </c>
    </row>
    <row r="13" spans="1:20">
      <c r="A13" s="82">
        <v>43157</v>
      </c>
      <c r="B13">
        <v>7.7482110000000004</v>
      </c>
      <c r="C13">
        <v>1.0387109999999999</v>
      </c>
      <c r="D13">
        <v>6.9603789999999996</v>
      </c>
      <c r="E13">
        <v>6.8014219999999996</v>
      </c>
      <c r="F13">
        <v>4.1774240000000002</v>
      </c>
      <c r="G13">
        <v>6.1127739999999999</v>
      </c>
      <c r="H13">
        <v>4.1007600000000002</v>
      </c>
      <c r="I13">
        <v>0.67045500000000002</v>
      </c>
      <c r="J13">
        <v>3.411988</v>
      </c>
      <c r="K13">
        <v>3.197962</v>
      </c>
      <c r="L13">
        <v>3.3369239999999998</v>
      </c>
      <c r="M13">
        <v>0.345387</v>
      </c>
    </row>
    <row r="14" spans="1:20">
      <c r="A14" s="82">
        <v>43154</v>
      </c>
      <c r="B14">
        <v>7.7334449999999997</v>
      </c>
      <c r="C14">
        <v>1.0386089999999999</v>
      </c>
      <c r="D14">
        <v>6.9549519999999996</v>
      </c>
      <c r="E14">
        <v>6.794543</v>
      </c>
      <c r="F14">
        <v>4.1746949999999998</v>
      </c>
      <c r="G14">
        <v>6.1078239999999999</v>
      </c>
      <c r="H14">
        <v>4.097378</v>
      </c>
      <c r="I14">
        <v>0.66618999999999995</v>
      </c>
      <c r="J14">
        <v>3.4056139999999999</v>
      </c>
      <c r="K14">
        <v>3.1924860000000002</v>
      </c>
      <c r="L14">
        <v>3.330749</v>
      </c>
      <c r="M14">
        <v>0.34471099999999999</v>
      </c>
    </row>
    <row r="15" spans="1:20">
      <c r="A15" s="82">
        <v>43153</v>
      </c>
      <c r="B15">
        <v>7.7286599999999996</v>
      </c>
      <c r="C15">
        <v>1.0385340000000001</v>
      </c>
      <c r="D15">
        <v>6.9412500000000001</v>
      </c>
      <c r="E15">
        <v>6.7824059999999999</v>
      </c>
      <c r="F15">
        <v>4.1664909999999997</v>
      </c>
      <c r="G15">
        <v>6.0964410000000004</v>
      </c>
      <c r="H15">
        <v>4.0901620000000003</v>
      </c>
      <c r="I15">
        <v>0.66554599999999997</v>
      </c>
      <c r="J15">
        <v>3.403616</v>
      </c>
      <c r="K15">
        <v>3.1908150000000002</v>
      </c>
      <c r="L15">
        <v>3.328783</v>
      </c>
      <c r="M15">
        <v>0.34435700000000002</v>
      </c>
    </row>
    <row r="16" spans="1:20">
      <c r="A16" s="82">
        <v>43152</v>
      </c>
      <c r="B16">
        <v>7.723808</v>
      </c>
      <c r="C16">
        <v>1.038443</v>
      </c>
      <c r="D16">
        <v>6.9359710000000003</v>
      </c>
      <c r="E16">
        <v>6.7772880000000004</v>
      </c>
      <c r="F16">
        <v>4.163373</v>
      </c>
      <c r="G16">
        <v>6.0917779999999997</v>
      </c>
      <c r="H16">
        <v>4.0865</v>
      </c>
      <c r="I16">
        <v>0.66463399999999995</v>
      </c>
      <c r="J16">
        <v>3.4013620000000002</v>
      </c>
      <c r="K16">
        <v>3.1890390000000002</v>
      </c>
      <c r="L16">
        <v>3.3269359999999999</v>
      </c>
      <c r="M16">
        <v>0.344192</v>
      </c>
    </row>
    <row r="17" spans="1:13">
      <c r="A17" s="82">
        <v>43151</v>
      </c>
      <c r="B17">
        <v>7.718998</v>
      </c>
      <c r="C17">
        <v>1.0383709999999999</v>
      </c>
      <c r="D17">
        <v>6.9320190000000004</v>
      </c>
      <c r="E17">
        <v>6.7733429999999997</v>
      </c>
      <c r="F17">
        <v>4.1609569999999998</v>
      </c>
      <c r="G17">
        <v>6.0871599999999999</v>
      </c>
      <c r="H17">
        <v>4.0840389999999998</v>
      </c>
      <c r="I17">
        <v>0.66262699999999997</v>
      </c>
      <c r="J17">
        <v>3.3997489999999999</v>
      </c>
      <c r="K17">
        <v>3.1871269999999998</v>
      </c>
      <c r="L17">
        <v>3.324821</v>
      </c>
      <c r="M17">
        <v>0.34385100000000002</v>
      </c>
    </row>
    <row r="18" spans="1:13">
      <c r="A18" s="82">
        <v>43150</v>
      </c>
      <c r="B18">
        <v>7.7139179999999996</v>
      </c>
      <c r="C18">
        <v>1.038279</v>
      </c>
      <c r="D18">
        <v>6.9251820000000004</v>
      </c>
      <c r="E18">
        <v>6.7680689999999997</v>
      </c>
      <c r="F18">
        <v>4.1577380000000002</v>
      </c>
      <c r="G18">
        <v>6.0827299999999997</v>
      </c>
      <c r="H18">
        <v>4.0802050000000003</v>
      </c>
      <c r="I18">
        <v>0.66316299999999995</v>
      </c>
      <c r="J18">
        <v>3.3973550000000001</v>
      </c>
      <c r="K18">
        <v>3.1856589999999998</v>
      </c>
      <c r="L18">
        <v>3.322835</v>
      </c>
      <c r="M18">
        <v>0.34370200000000001</v>
      </c>
    </row>
    <row r="19" spans="1:13">
      <c r="A19" s="82">
        <v>43147</v>
      </c>
      <c r="B19">
        <v>7.6987059999999996</v>
      </c>
      <c r="C19">
        <v>1.0382</v>
      </c>
      <c r="D19">
        <v>6.9107430000000001</v>
      </c>
      <c r="E19">
        <v>6.7605750000000002</v>
      </c>
      <c r="F19">
        <v>4.1542240000000001</v>
      </c>
      <c r="G19">
        <v>6.0770949999999999</v>
      </c>
      <c r="H19">
        <v>4.0761539999999998</v>
      </c>
      <c r="I19">
        <v>0.660103</v>
      </c>
      <c r="J19">
        <v>3.3911549999999999</v>
      </c>
      <c r="K19">
        <v>3.1804749999999999</v>
      </c>
      <c r="L19">
        <v>3.3168980000000001</v>
      </c>
      <c r="M19">
        <v>0.343028</v>
      </c>
    </row>
    <row r="20" spans="1:13">
      <c r="A20" s="82">
        <v>43146</v>
      </c>
      <c r="B20">
        <v>7.6935929999999999</v>
      </c>
      <c r="C20">
        <v>1.0380309999999999</v>
      </c>
      <c r="D20">
        <v>6.9056470000000001</v>
      </c>
      <c r="E20">
        <v>6.748176</v>
      </c>
      <c r="F20">
        <v>4.1454620000000002</v>
      </c>
      <c r="G20">
        <v>6.065137</v>
      </c>
      <c r="H20">
        <v>4.0683509999999998</v>
      </c>
      <c r="I20">
        <v>0.65792099999999998</v>
      </c>
      <c r="J20">
        <v>3.3904380000000001</v>
      </c>
      <c r="K20">
        <v>3.178957</v>
      </c>
      <c r="L20">
        <v>3.3144070000000001</v>
      </c>
      <c r="M20">
        <v>0.34275600000000001</v>
      </c>
    </row>
    <row r="21" spans="1:13">
      <c r="A21" s="82">
        <v>43145</v>
      </c>
      <c r="B21">
        <v>7.6886979999999996</v>
      </c>
      <c r="C21">
        <v>1.037933</v>
      </c>
      <c r="D21">
        <v>6.9018309999999996</v>
      </c>
      <c r="E21">
        <v>6.7438219999999998</v>
      </c>
      <c r="F21">
        <v>4.1428510000000003</v>
      </c>
      <c r="G21">
        <v>6.0613539999999997</v>
      </c>
      <c r="H21">
        <v>4.0656670000000004</v>
      </c>
      <c r="I21">
        <v>0.66227499999999995</v>
      </c>
      <c r="J21">
        <v>3.3889109999999998</v>
      </c>
      <c r="K21">
        <v>3.1772279999999999</v>
      </c>
      <c r="L21">
        <v>3.3123969999999998</v>
      </c>
      <c r="M21">
        <v>0.34244599999999997</v>
      </c>
    </row>
    <row r="22" spans="1:13">
      <c r="A22" s="82">
        <v>43140</v>
      </c>
      <c r="B22">
        <v>7.6633969999999998</v>
      </c>
      <c r="C22">
        <v>1.0379290000000001</v>
      </c>
      <c r="D22">
        <v>6.8938309999999996</v>
      </c>
      <c r="E22">
        <v>6.7356860000000003</v>
      </c>
      <c r="F22">
        <v>4.1404129999999997</v>
      </c>
      <c r="G22">
        <v>6.0553100000000004</v>
      </c>
      <c r="H22">
        <v>4.062138</v>
      </c>
      <c r="I22">
        <v>0.66270600000000002</v>
      </c>
      <c r="J22">
        <v>3.3791630000000001</v>
      </c>
      <c r="K22">
        <v>3.168831</v>
      </c>
      <c r="L22">
        <v>3.3023220000000002</v>
      </c>
      <c r="M22">
        <v>0.34119300000000002</v>
      </c>
    </row>
    <row r="23" spans="1:13">
      <c r="A23" s="82">
        <v>43139</v>
      </c>
      <c r="B23">
        <v>7.6584519999999996</v>
      </c>
      <c r="C23">
        <v>1.037841</v>
      </c>
      <c r="D23">
        <v>6.8757580000000003</v>
      </c>
      <c r="E23">
        <v>6.7182300000000001</v>
      </c>
      <c r="F23">
        <v>4.1266639999999999</v>
      </c>
      <c r="G23">
        <v>6.0375189999999996</v>
      </c>
      <c r="H23">
        <v>4.0503359999999997</v>
      </c>
      <c r="I23">
        <v>0.66166199999999997</v>
      </c>
      <c r="J23">
        <v>3.3758629999999998</v>
      </c>
      <c r="K23">
        <v>3.1669640000000001</v>
      </c>
      <c r="L23">
        <v>3.3001809999999998</v>
      </c>
      <c r="M23">
        <v>0.34099699999999999</v>
      </c>
    </row>
    <row r="24" spans="1:13">
      <c r="A24" s="82">
        <v>43138</v>
      </c>
      <c r="B24">
        <v>7.653505</v>
      </c>
      <c r="C24">
        <v>1.0378350000000001</v>
      </c>
      <c r="D24">
        <v>6.8712169999999997</v>
      </c>
      <c r="E24">
        <v>6.7137469999999997</v>
      </c>
      <c r="F24">
        <v>4.1238400000000004</v>
      </c>
      <c r="G24">
        <v>6.0333779999999999</v>
      </c>
      <c r="H24">
        <v>4.0476510000000001</v>
      </c>
      <c r="I24">
        <v>0.65652200000000005</v>
      </c>
      <c r="J24">
        <v>3.373259</v>
      </c>
      <c r="K24">
        <v>3.1652239999999998</v>
      </c>
      <c r="L24">
        <v>3.2982649999999998</v>
      </c>
      <c r="M24">
        <v>0.34099299999999999</v>
      </c>
    </row>
    <row r="25" spans="1:13">
      <c r="A25" s="82">
        <v>43137</v>
      </c>
      <c r="B25">
        <v>7.6486499999999999</v>
      </c>
      <c r="C25">
        <v>1.037744</v>
      </c>
      <c r="D25">
        <v>6.8665989999999999</v>
      </c>
      <c r="E25">
        <v>6.7092710000000002</v>
      </c>
      <c r="F25">
        <v>4.1210380000000004</v>
      </c>
      <c r="G25">
        <v>6.0290460000000001</v>
      </c>
      <c r="H25">
        <v>4.044905</v>
      </c>
      <c r="I25">
        <v>0.65342100000000003</v>
      </c>
      <c r="J25">
        <v>3.3709220000000002</v>
      </c>
      <c r="K25">
        <v>3.1636489999999999</v>
      </c>
      <c r="L25">
        <v>3.296262</v>
      </c>
      <c r="M25">
        <v>0.34072400000000003</v>
      </c>
    </row>
    <row r="26" spans="1:13">
      <c r="A26" s="82">
        <v>43136</v>
      </c>
      <c r="B26">
        <v>7.6438940000000004</v>
      </c>
      <c r="C26">
        <v>1.0377190000000001</v>
      </c>
      <c r="D26">
        <v>6.8621629999999998</v>
      </c>
      <c r="E26">
        <v>6.7043569999999999</v>
      </c>
      <c r="F26">
        <v>4.1181239999999999</v>
      </c>
      <c r="G26">
        <v>6.0246579999999996</v>
      </c>
      <c r="H26">
        <v>4.0420740000000004</v>
      </c>
      <c r="I26">
        <v>0.65225999999999995</v>
      </c>
      <c r="J26">
        <v>3.3690340000000001</v>
      </c>
      <c r="K26">
        <v>3.1619410000000001</v>
      </c>
      <c r="L26">
        <v>3.2941590000000001</v>
      </c>
      <c r="M26">
        <v>0.34051700000000001</v>
      </c>
    </row>
    <row r="27" spans="1:13">
      <c r="A27" s="82">
        <v>43133</v>
      </c>
      <c r="B27">
        <v>7.6291919999999998</v>
      </c>
      <c r="C27">
        <v>1.0377149999999999</v>
      </c>
      <c r="D27">
        <v>6.8543950000000002</v>
      </c>
      <c r="E27">
        <v>6.6979930000000003</v>
      </c>
      <c r="F27">
        <v>4.1153029999999999</v>
      </c>
      <c r="G27">
        <v>6.0193399999999997</v>
      </c>
      <c r="H27">
        <v>4.038475</v>
      </c>
      <c r="I27">
        <v>0.65249699999999999</v>
      </c>
      <c r="J27">
        <v>3.3626659999999999</v>
      </c>
      <c r="K27">
        <v>3.1568520000000002</v>
      </c>
      <c r="L27">
        <v>3.2881749999999998</v>
      </c>
      <c r="M27">
        <v>0.33996599999999999</v>
      </c>
    </row>
    <row r="28" spans="1:13">
      <c r="A28" s="82">
        <v>43132</v>
      </c>
      <c r="B28">
        <v>7.6242780000000003</v>
      </c>
      <c r="C28">
        <v>1.0375449999999999</v>
      </c>
      <c r="D28">
        <v>6.843483</v>
      </c>
      <c r="E28">
        <v>6.6858899999999997</v>
      </c>
      <c r="F28">
        <v>4.1062969999999996</v>
      </c>
      <c r="G28">
        <v>6.0078250000000004</v>
      </c>
      <c r="H28">
        <v>4.0309600000000003</v>
      </c>
      <c r="I28">
        <v>0.65004099999999998</v>
      </c>
      <c r="J28">
        <v>3.361761</v>
      </c>
      <c r="K28">
        <v>3.1550379999999998</v>
      </c>
      <c r="L28">
        <v>3.286241</v>
      </c>
      <c r="M28">
        <v>0.33969700000000003</v>
      </c>
    </row>
    <row r="29" spans="1:13">
      <c r="A29" s="82">
        <v>43131</v>
      </c>
      <c r="B29">
        <v>7.6197509999999999</v>
      </c>
      <c r="C29">
        <v>1.037461</v>
      </c>
      <c r="D29">
        <v>6.8388879999999999</v>
      </c>
      <c r="E29">
        <v>6.6811509999999998</v>
      </c>
      <c r="F29">
        <v>4.1032349999999997</v>
      </c>
      <c r="G29">
        <v>6.003717</v>
      </c>
      <c r="H29">
        <v>4.0281289999999998</v>
      </c>
      <c r="I29">
        <v>0.65503400000000001</v>
      </c>
      <c r="J29">
        <v>3.3601429999999999</v>
      </c>
      <c r="K29">
        <v>3.1533069999999999</v>
      </c>
      <c r="L29">
        <v>3.2842690000000001</v>
      </c>
      <c r="M29">
        <v>0.339777</v>
      </c>
    </row>
    <row r="30" spans="1:13">
      <c r="A30" s="82">
        <v>43130</v>
      </c>
      <c r="B30">
        <v>7.6151400000000002</v>
      </c>
      <c r="C30">
        <v>1.0374019999999999</v>
      </c>
      <c r="D30">
        <v>6.8346099999999996</v>
      </c>
      <c r="E30">
        <v>6.6766079999999999</v>
      </c>
      <c r="F30">
        <v>4.0996160000000001</v>
      </c>
      <c r="G30">
        <v>5.9998100000000001</v>
      </c>
      <c r="H30">
        <v>4.0255960000000002</v>
      </c>
      <c r="I30">
        <v>0.65363400000000005</v>
      </c>
      <c r="J30">
        <v>3.3578899999999998</v>
      </c>
      <c r="K30">
        <v>3.1517930000000001</v>
      </c>
      <c r="L30">
        <v>3.2822659999999999</v>
      </c>
      <c r="M30">
        <v>0.33937299999999998</v>
      </c>
    </row>
    <row r="31" spans="1:13">
      <c r="A31" s="82">
        <v>43129</v>
      </c>
      <c r="B31">
        <v>7.610309</v>
      </c>
      <c r="C31">
        <v>1.03738</v>
      </c>
      <c r="D31">
        <v>6.8298589999999999</v>
      </c>
      <c r="E31">
        <v>6.6718440000000001</v>
      </c>
      <c r="F31">
        <v>4.0968090000000004</v>
      </c>
      <c r="G31">
        <v>5.9956209999999999</v>
      </c>
      <c r="H31">
        <v>4.0216880000000002</v>
      </c>
      <c r="I31">
        <v>0.65896999999999994</v>
      </c>
      <c r="J31">
        <v>3.355861</v>
      </c>
      <c r="K31">
        <v>3.1502699999999999</v>
      </c>
      <c r="L31">
        <v>3.280303</v>
      </c>
      <c r="M31">
        <v>0.33920499999999998</v>
      </c>
    </row>
    <row r="32" spans="1:13">
      <c r="A32" s="82">
        <v>43126</v>
      </c>
      <c r="B32">
        <v>7.5956960000000002</v>
      </c>
      <c r="C32">
        <v>1.0372790000000001</v>
      </c>
      <c r="D32">
        <v>6.8246779999999996</v>
      </c>
      <c r="E32">
        <v>6.6659470000000001</v>
      </c>
      <c r="F32">
        <v>4.094061</v>
      </c>
      <c r="G32">
        <v>5.9904390000000003</v>
      </c>
      <c r="H32">
        <v>4.0182789999999997</v>
      </c>
      <c r="I32">
        <v>0.65901799999999999</v>
      </c>
      <c r="J32">
        <v>3.3503470000000002</v>
      </c>
      <c r="K32">
        <v>3.1456680000000001</v>
      </c>
      <c r="L32">
        <v>3.27433</v>
      </c>
      <c r="M32">
        <v>0.33865400000000001</v>
      </c>
    </row>
    <row r="33" spans="1:13">
      <c r="A33" s="82">
        <v>43125</v>
      </c>
      <c r="B33">
        <v>7.5908920000000002</v>
      </c>
      <c r="C33">
        <v>1.0371109999999999</v>
      </c>
      <c r="D33">
        <v>6.8116250000000003</v>
      </c>
      <c r="E33">
        <v>6.6531229999999999</v>
      </c>
      <c r="F33">
        <v>4.0857640000000002</v>
      </c>
      <c r="G33">
        <v>5.9792129999999997</v>
      </c>
      <c r="H33">
        <v>4.010961</v>
      </c>
      <c r="I33">
        <v>0.65833600000000003</v>
      </c>
      <c r="J33">
        <v>3.3483510000000001</v>
      </c>
      <c r="K33">
        <v>3.1441270000000001</v>
      </c>
      <c r="L33">
        <v>3.272335</v>
      </c>
      <c r="M33">
        <v>0.33839999999999998</v>
      </c>
    </row>
    <row r="34" spans="1:13">
      <c r="A34" s="82">
        <v>43124</v>
      </c>
      <c r="B34">
        <v>7.5859230000000002</v>
      </c>
      <c r="C34">
        <v>1.0369440000000001</v>
      </c>
      <c r="D34">
        <v>6.8070599999999999</v>
      </c>
      <c r="E34">
        <v>6.6478260000000002</v>
      </c>
      <c r="F34">
        <v>4.0831720000000002</v>
      </c>
      <c r="G34">
        <v>5.9751659999999998</v>
      </c>
      <c r="H34">
        <v>4.0082789999999999</v>
      </c>
      <c r="I34">
        <v>0.66085300000000002</v>
      </c>
      <c r="J34">
        <v>3.344716</v>
      </c>
      <c r="K34">
        <v>3.1425700000000001</v>
      </c>
      <c r="L34">
        <v>3.2703220000000002</v>
      </c>
      <c r="M34">
        <v>0.33832299999999998</v>
      </c>
    </row>
    <row r="35" spans="1:13">
      <c r="A35" s="82">
        <v>43123</v>
      </c>
      <c r="B35">
        <v>7.5811289999999998</v>
      </c>
      <c r="C35">
        <v>1.036853</v>
      </c>
      <c r="D35">
        <v>6.8029029999999997</v>
      </c>
      <c r="E35">
        <v>6.6438560000000004</v>
      </c>
      <c r="F35">
        <v>4.080298</v>
      </c>
      <c r="G35">
        <v>5.9714749999999999</v>
      </c>
      <c r="H35">
        <v>4.0059319999999996</v>
      </c>
      <c r="I35">
        <v>0.65475399999999995</v>
      </c>
      <c r="J35">
        <v>3.3418519999999998</v>
      </c>
      <c r="K35">
        <v>3.141041</v>
      </c>
      <c r="L35">
        <v>3.268386</v>
      </c>
      <c r="M35">
        <v>0.33782299999999998</v>
      </c>
    </row>
    <row r="36" spans="1:13">
      <c r="A36" s="82">
        <v>43122</v>
      </c>
      <c r="B36">
        <v>7.5765690000000001</v>
      </c>
      <c r="C36">
        <v>1.0367649999999999</v>
      </c>
      <c r="D36">
        <v>6.7972970000000004</v>
      </c>
      <c r="E36">
        <v>6.6380549999999996</v>
      </c>
      <c r="F36">
        <v>4.0770860000000004</v>
      </c>
      <c r="G36">
        <v>5.9665100000000004</v>
      </c>
      <c r="H36">
        <v>4.0026419999999998</v>
      </c>
      <c r="I36">
        <v>0.65028399999999997</v>
      </c>
      <c r="J36">
        <v>3.339181</v>
      </c>
      <c r="K36">
        <v>3.1395040000000001</v>
      </c>
      <c r="L36">
        <v>3.2660300000000002</v>
      </c>
      <c r="M36">
        <v>0.33742299999999997</v>
      </c>
    </row>
    <row r="37" spans="1:13">
      <c r="A37" s="82">
        <v>43119</v>
      </c>
      <c r="B37">
        <v>7.5620380000000003</v>
      </c>
      <c r="C37">
        <v>1.036513</v>
      </c>
      <c r="D37">
        <v>6.7910250000000003</v>
      </c>
      <c r="E37">
        <v>6.6310229999999999</v>
      </c>
      <c r="F37">
        <v>4.0742510000000003</v>
      </c>
      <c r="G37">
        <v>5.9614339999999997</v>
      </c>
      <c r="H37">
        <v>3.999301</v>
      </c>
      <c r="I37">
        <v>0.64715400000000001</v>
      </c>
      <c r="J37">
        <v>3.332865</v>
      </c>
      <c r="K37">
        <v>3.134862</v>
      </c>
      <c r="L37">
        <v>3.2600310000000001</v>
      </c>
      <c r="M37">
        <v>0.33671099999999998</v>
      </c>
    </row>
    <row r="38" spans="1:13">
      <c r="A38" s="82">
        <v>43118</v>
      </c>
      <c r="B38">
        <v>7.5574300000000001</v>
      </c>
      <c r="C38">
        <v>1.0363439999999999</v>
      </c>
      <c r="D38">
        <v>6.7785399999999996</v>
      </c>
      <c r="E38">
        <v>6.6199579999999996</v>
      </c>
      <c r="F38">
        <v>4.0662440000000002</v>
      </c>
      <c r="G38">
        <v>5.9502680000000003</v>
      </c>
      <c r="H38">
        <v>3.9918900000000002</v>
      </c>
      <c r="I38">
        <v>0.644092</v>
      </c>
      <c r="J38">
        <v>3.3308879999999998</v>
      </c>
      <c r="K38">
        <v>3.1332629999999999</v>
      </c>
      <c r="L38">
        <v>3.258057</v>
      </c>
      <c r="M38">
        <v>0.33637499999999998</v>
      </c>
    </row>
    <row r="39" spans="1:13">
      <c r="A39" s="82">
        <v>43117</v>
      </c>
      <c r="B39">
        <v>7.5527160000000002</v>
      </c>
      <c r="C39">
        <v>1.036171</v>
      </c>
      <c r="D39">
        <v>6.7737420000000004</v>
      </c>
      <c r="E39">
        <v>6.6152769999999999</v>
      </c>
      <c r="F39">
        <v>4.0632380000000001</v>
      </c>
      <c r="G39">
        <v>5.9460329999999999</v>
      </c>
      <c r="H39">
        <v>3.9889999999999999</v>
      </c>
      <c r="I39">
        <v>0.64310199999999995</v>
      </c>
      <c r="J39">
        <v>3.329285</v>
      </c>
      <c r="K39">
        <v>3.1316199999999998</v>
      </c>
      <c r="L39">
        <v>3.256094</v>
      </c>
      <c r="M39">
        <v>0.336175</v>
      </c>
    </row>
    <row r="40" spans="1:13">
      <c r="A40" s="82">
        <v>43116</v>
      </c>
      <c r="B40">
        <v>7.5479310000000002</v>
      </c>
      <c r="C40">
        <v>1.0360799999999999</v>
      </c>
      <c r="D40">
        <v>6.7692059999999996</v>
      </c>
      <c r="E40">
        <v>6.6113039999999996</v>
      </c>
      <c r="F40">
        <v>4.0604449999999996</v>
      </c>
      <c r="G40">
        <v>5.9422709999999999</v>
      </c>
      <c r="H40">
        <v>3.985544</v>
      </c>
      <c r="I40">
        <v>0.64459699999999998</v>
      </c>
      <c r="J40">
        <v>3.3267530000000001</v>
      </c>
      <c r="K40">
        <v>3.1300249999999998</v>
      </c>
      <c r="L40">
        <v>3.254124</v>
      </c>
      <c r="M40">
        <v>0.33607599999999999</v>
      </c>
    </row>
    <row r="41" spans="1:13">
      <c r="A41" s="82">
        <v>43115</v>
      </c>
      <c r="B41">
        <v>7.542948</v>
      </c>
      <c r="C41">
        <v>1.035989</v>
      </c>
      <c r="D41">
        <v>6.7636370000000001</v>
      </c>
      <c r="E41">
        <v>6.6054959999999996</v>
      </c>
      <c r="F41">
        <v>4.057474</v>
      </c>
      <c r="G41">
        <v>5.9373509999999996</v>
      </c>
      <c r="H41">
        <v>3.9833069999999999</v>
      </c>
      <c r="I41">
        <v>0.64115900000000003</v>
      </c>
      <c r="J41">
        <v>3.324484</v>
      </c>
      <c r="K41">
        <v>3.1285210000000001</v>
      </c>
      <c r="L41">
        <v>3.2521409999999999</v>
      </c>
      <c r="M41">
        <v>0.33562399999999998</v>
      </c>
    </row>
    <row r="42" spans="1:13">
      <c r="A42" s="82">
        <v>43112</v>
      </c>
      <c r="B42">
        <v>7.5278710000000002</v>
      </c>
      <c r="C42">
        <v>1.0357400000000001</v>
      </c>
      <c r="D42">
        <v>6.7564039999999999</v>
      </c>
      <c r="E42">
        <v>6.5993209999999998</v>
      </c>
      <c r="F42">
        <v>4.0546730000000002</v>
      </c>
      <c r="G42">
        <v>5.9317929999999999</v>
      </c>
      <c r="H42">
        <v>3.9796109999999998</v>
      </c>
      <c r="I42">
        <v>0.63891900000000001</v>
      </c>
      <c r="J42">
        <v>3.3171970000000002</v>
      </c>
      <c r="K42">
        <v>3.1239330000000001</v>
      </c>
      <c r="L42">
        <v>3.246184</v>
      </c>
      <c r="M42">
        <v>0.33494800000000002</v>
      </c>
    </row>
    <row r="43" spans="1:13">
      <c r="A43" s="82">
        <v>43111</v>
      </c>
      <c r="B43">
        <v>7.522926</v>
      </c>
      <c r="C43">
        <v>1.0355529999999999</v>
      </c>
      <c r="D43">
        <v>6.7445000000000004</v>
      </c>
      <c r="E43">
        <v>6.5878610000000002</v>
      </c>
      <c r="F43">
        <v>4.0463149999999999</v>
      </c>
      <c r="G43">
        <v>5.9203979999999996</v>
      </c>
      <c r="H43">
        <v>3.9721880000000001</v>
      </c>
      <c r="I43">
        <v>0.63863899999999996</v>
      </c>
      <c r="J43">
        <v>3.3155860000000001</v>
      </c>
      <c r="K43">
        <v>3.1223939999999999</v>
      </c>
      <c r="L43">
        <v>3.244192</v>
      </c>
      <c r="M43">
        <v>0.33471699999999999</v>
      </c>
    </row>
    <row r="44" spans="1:13">
      <c r="A44" s="82">
        <v>43110</v>
      </c>
      <c r="B44">
        <v>7.5180090000000002</v>
      </c>
      <c r="C44">
        <v>1.0353870000000001</v>
      </c>
      <c r="D44">
        <v>6.7405109999999997</v>
      </c>
      <c r="E44">
        <v>6.584104</v>
      </c>
      <c r="F44">
        <v>4.0438419999999997</v>
      </c>
      <c r="G44">
        <v>5.9168289999999999</v>
      </c>
      <c r="H44">
        <v>3.9698069999999999</v>
      </c>
      <c r="I44">
        <v>0.637015</v>
      </c>
      <c r="J44">
        <v>3.314578</v>
      </c>
      <c r="K44">
        <v>3.1208490000000002</v>
      </c>
      <c r="L44">
        <v>3.242197</v>
      </c>
      <c r="M44">
        <v>0.33428600000000003</v>
      </c>
    </row>
    <row r="45" spans="1:13">
      <c r="A45" s="82">
        <v>43109</v>
      </c>
      <c r="B45">
        <v>7.5131600000000001</v>
      </c>
      <c r="C45">
        <v>1.0353079999999999</v>
      </c>
      <c r="D45">
        <v>6.7357909999999999</v>
      </c>
      <c r="E45">
        <v>6.5794860000000002</v>
      </c>
      <c r="F45">
        <v>4.0409709999999999</v>
      </c>
      <c r="G45">
        <v>5.9124470000000002</v>
      </c>
      <c r="H45">
        <v>3.9669249999999998</v>
      </c>
      <c r="I45">
        <v>0.64339999999999997</v>
      </c>
      <c r="J45">
        <v>3.3139660000000002</v>
      </c>
      <c r="K45">
        <v>3.1193219999999999</v>
      </c>
      <c r="L45">
        <v>3.2401949999999999</v>
      </c>
      <c r="M45">
        <v>0.33454800000000001</v>
      </c>
    </row>
    <row r="46" spans="1:13">
      <c r="A46" s="82">
        <v>43108</v>
      </c>
      <c r="B46">
        <v>7.5082440000000004</v>
      </c>
      <c r="C46">
        <v>1.035223</v>
      </c>
      <c r="D46">
        <v>6.7309650000000003</v>
      </c>
      <c r="E46">
        <v>6.5750289999999998</v>
      </c>
      <c r="F46">
        <v>4.038335</v>
      </c>
      <c r="G46">
        <v>5.9080649999999997</v>
      </c>
      <c r="H46">
        <v>3.9640300000000002</v>
      </c>
      <c r="I46">
        <v>0.64537500000000003</v>
      </c>
      <c r="J46">
        <v>3.311353</v>
      </c>
      <c r="K46">
        <v>3.117766</v>
      </c>
      <c r="L46">
        <v>3.2382049999999998</v>
      </c>
      <c r="M46">
        <v>0.33448</v>
      </c>
    </row>
    <row r="47" spans="1:13">
      <c r="A47" s="82">
        <v>43105</v>
      </c>
      <c r="B47">
        <v>7.4937250000000004</v>
      </c>
      <c r="C47">
        <v>1.034961</v>
      </c>
      <c r="D47">
        <v>6.7273639999999997</v>
      </c>
      <c r="E47">
        <v>6.5690179999999998</v>
      </c>
      <c r="F47">
        <v>4.0355809999999996</v>
      </c>
      <c r="G47">
        <v>5.9028099999999997</v>
      </c>
      <c r="H47">
        <v>3.960194</v>
      </c>
      <c r="I47">
        <v>0.64134599999999997</v>
      </c>
      <c r="J47">
        <v>3.305482</v>
      </c>
      <c r="K47">
        <v>3.1131039999999999</v>
      </c>
      <c r="L47">
        <v>3.2323590000000002</v>
      </c>
      <c r="M47">
        <v>0.33354800000000001</v>
      </c>
    </row>
    <row r="48" spans="1:13">
      <c r="A48" s="82">
        <v>43104</v>
      </c>
      <c r="B48">
        <v>7.4889830000000002</v>
      </c>
      <c r="C48">
        <v>1.034845</v>
      </c>
      <c r="D48">
        <v>6.7119739999999997</v>
      </c>
      <c r="E48">
        <v>6.5564359999999997</v>
      </c>
      <c r="F48">
        <v>4.0267090000000003</v>
      </c>
      <c r="G48">
        <v>5.8917549999999999</v>
      </c>
      <c r="H48">
        <v>3.9529070000000002</v>
      </c>
      <c r="I48">
        <v>0.63643300000000003</v>
      </c>
      <c r="J48">
        <v>3.301946</v>
      </c>
      <c r="K48">
        <v>3.1122299999999998</v>
      </c>
      <c r="L48">
        <v>3.23034</v>
      </c>
      <c r="M48">
        <v>0.33300000000000002</v>
      </c>
    </row>
    <row r="49" spans="1:13">
      <c r="A49" s="82">
        <v>43103</v>
      </c>
      <c r="B49">
        <v>7.4842510000000004</v>
      </c>
      <c r="C49">
        <v>1.03467</v>
      </c>
      <c r="D49">
        <v>6.7076229999999999</v>
      </c>
      <c r="E49">
        <v>6.5522429999999998</v>
      </c>
      <c r="F49">
        <v>4.024057</v>
      </c>
      <c r="G49">
        <v>5.8879390000000003</v>
      </c>
      <c r="H49">
        <v>3.9503430000000002</v>
      </c>
      <c r="I49">
        <v>0.63186500000000001</v>
      </c>
      <c r="J49">
        <v>3.3003010000000002</v>
      </c>
      <c r="K49">
        <v>3.1105160000000001</v>
      </c>
      <c r="L49">
        <v>3.2284359999999999</v>
      </c>
      <c r="M49">
        <v>0.33254699999999998</v>
      </c>
    </row>
    <row r="50" spans="1:13">
      <c r="A50" s="82">
        <v>43102</v>
      </c>
      <c r="B50">
        <v>7.4794799999999997</v>
      </c>
      <c r="C50">
        <v>1.0346200000000001</v>
      </c>
      <c r="D50">
        <v>6.7025899999999998</v>
      </c>
      <c r="E50">
        <v>6.547644</v>
      </c>
      <c r="F50">
        <v>4.0213489999999998</v>
      </c>
      <c r="G50">
        <v>5.8838480000000004</v>
      </c>
      <c r="H50">
        <v>3.9475340000000001</v>
      </c>
      <c r="I50">
        <v>0.631969</v>
      </c>
      <c r="J50">
        <v>3.2984049999999998</v>
      </c>
      <c r="K50">
        <v>3.1087959999999999</v>
      </c>
      <c r="L50">
        <v>3.2264729999999999</v>
      </c>
      <c r="M50">
        <v>0.33229399999999998</v>
      </c>
    </row>
    <row r="51" spans="1:13">
      <c r="A51" s="82">
        <v>43098</v>
      </c>
      <c r="B51">
        <v>7.4615919999999996</v>
      </c>
      <c r="C51">
        <v>1.0344120000000001</v>
      </c>
      <c r="D51">
        <v>6.6987860000000001</v>
      </c>
      <c r="E51">
        <v>6.5394959999999998</v>
      </c>
      <c r="F51">
        <v>4.0181120000000004</v>
      </c>
      <c r="G51">
        <v>5.8788970000000003</v>
      </c>
      <c r="H51">
        <v>3.9447890000000001</v>
      </c>
      <c r="I51">
        <v>0.63544999999999996</v>
      </c>
      <c r="J51">
        <v>3.2946270000000002</v>
      </c>
      <c r="K51">
        <v>3.1022530000000001</v>
      </c>
      <c r="L51">
        <v>3.2196579999999999</v>
      </c>
      <c r="M51">
        <v>0.332036</v>
      </c>
    </row>
    <row r="52" spans="1:13">
      <c r="A52" s="82">
        <v>43097</v>
      </c>
      <c r="B52">
        <v>7.4568469999999998</v>
      </c>
      <c r="C52">
        <v>1.0342789999999999</v>
      </c>
      <c r="D52">
        <v>6.6656550000000001</v>
      </c>
      <c r="E52">
        <v>6.5227279999999999</v>
      </c>
      <c r="F52">
        <v>4.0036589999999999</v>
      </c>
      <c r="G52">
        <v>5.861726</v>
      </c>
      <c r="H52">
        <v>3.9338950000000001</v>
      </c>
      <c r="I52">
        <v>0.64171299999999998</v>
      </c>
      <c r="J52">
        <v>3.2886099999999998</v>
      </c>
      <c r="K52">
        <v>3.100536</v>
      </c>
      <c r="L52">
        <v>3.2163360000000001</v>
      </c>
      <c r="M52">
        <v>0.33238400000000001</v>
      </c>
    </row>
    <row r="53" spans="1:13">
      <c r="A53" s="82">
        <v>43096</v>
      </c>
      <c r="B53">
        <v>7.452064</v>
      </c>
      <c r="C53">
        <v>1.0340849999999999</v>
      </c>
      <c r="D53">
        <v>6.6530250000000004</v>
      </c>
      <c r="E53">
        <v>6.5086060000000003</v>
      </c>
      <c r="F53">
        <v>3.9979469999999999</v>
      </c>
      <c r="G53">
        <v>5.8469569999999997</v>
      </c>
      <c r="H53">
        <v>3.9223590000000002</v>
      </c>
      <c r="I53">
        <v>0.63012800000000002</v>
      </c>
      <c r="J53">
        <v>3.282626</v>
      </c>
      <c r="K53">
        <v>3.0987990000000001</v>
      </c>
      <c r="L53">
        <v>3.214137</v>
      </c>
      <c r="M53">
        <v>0.33178999999999997</v>
      </c>
    </row>
    <row r="54" spans="1:13">
      <c r="A54" s="82">
        <v>43095</v>
      </c>
      <c r="B54">
        <v>7.4473130000000003</v>
      </c>
      <c r="C54">
        <v>1.033995</v>
      </c>
      <c r="D54">
        <v>6.6506910000000001</v>
      </c>
      <c r="E54">
        <v>6.5042489999999997</v>
      </c>
      <c r="F54">
        <v>3.995317</v>
      </c>
      <c r="G54">
        <v>5.842886</v>
      </c>
      <c r="H54">
        <v>3.9198620000000002</v>
      </c>
      <c r="I54">
        <v>0.62707599999999997</v>
      </c>
      <c r="J54">
        <v>3.2799019999999999</v>
      </c>
      <c r="K54">
        <v>3.0970960000000001</v>
      </c>
      <c r="L54">
        <v>3.2121029999999999</v>
      </c>
      <c r="M54">
        <v>0.33130500000000002</v>
      </c>
    </row>
    <row r="55" spans="1:13">
      <c r="A55" s="82">
        <v>43091</v>
      </c>
      <c r="B55">
        <v>7.4277430000000004</v>
      </c>
      <c r="C55">
        <v>1.033655</v>
      </c>
      <c r="D55">
        <v>6.6424269999999996</v>
      </c>
      <c r="E55">
        <v>6.4954390000000002</v>
      </c>
      <c r="F55">
        <v>3.9924339999999998</v>
      </c>
      <c r="G55">
        <v>5.8369020000000003</v>
      </c>
      <c r="H55">
        <v>3.9156689999999998</v>
      </c>
      <c r="I55">
        <v>0.62222900000000003</v>
      </c>
      <c r="J55">
        <v>3.2711359999999998</v>
      </c>
      <c r="K55">
        <v>3.0902289999999999</v>
      </c>
      <c r="L55">
        <v>3.2049910000000001</v>
      </c>
      <c r="M55">
        <v>0.33075500000000002</v>
      </c>
    </row>
    <row r="56" spans="1:13">
      <c r="A56" s="82">
        <v>43090</v>
      </c>
      <c r="B56">
        <v>7.422714</v>
      </c>
      <c r="C56">
        <v>1.0334950000000001</v>
      </c>
      <c r="D56">
        <v>6.6246049999999999</v>
      </c>
      <c r="E56">
        <v>6.4810290000000004</v>
      </c>
      <c r="F56">
        <v>3.981468</v>
      </c>
      <c r="G56">
        <v>5.8217049999999997</v>
      </c>
      <c r="H56">
        <v>3.9059940000000002</v>
      </c>
      <c r="I56">
        <v>0.619672</v>
      </c>
      <c r="J56">
        <v>3.2670780000000001</v>
      </c>
      <c r="K56">
        <v>3.088508</v>
      </c>
      <c r="L56">
        <v>3.2020430000000002</v>
      </c>
      <c r="M56">
        <v>0.33044299999999999</v>
      </c>
    </row>
    <row r="57" spans="1:13">
      <c r="A57" s="82">
        <v>43089</v>
      </c>
      <c r="B57">
        <v>7.4179490000000001</v>
      </c>
      <c r="C57">
        <v>1.033282</v>
      </c>
      <c r="D57">
        <v>6.6193030000000004</v>
      </c>
      <c r="E57">
        <v>6.476267</v>
      </c>
      <c r="F57">
        <v>3.9787340000000002</v>
      </c>
      <c r="G57">
        <v>5.8174279999999996</v>
      </c>
      <c r="H57">
        <v>3.9027630000000002</v>
      </c>
      <c r="I57">
        <v>0.61541100000000004</v>
      </c>
      <c r="J57">
        <v>3.2648739999999998</v>
      </c>
      <c r="K57">
        <v>3.0868139999999999</v>
      </c>
      <c r="L57">
        <v>3.2000980000000001</v>
      </c>
      <c r="M57">
        <v>0.33008300000000002</v>
      </c>
    </row>
    <row r="58" spans="1:13">
      <c r="A58" s="82">
        <v>43088</v>
      </c>
      <c r="B58">
        <v>7.4128160000000003</v>
      </c>
      <c r="C58">
        <v>1.0331969999999999</v>
      </c>
      <c r="D58">
        <v>6.6133649999999999</v>
      </c>
      <c r="E58">
        <v>6.4710580000000002</v>
      </c>
      <c r="F58">
        <v>3.9754320000000001</v>
      </c>
      <c r="G58">
        <v>5.8113169999999998</v>
      </c>
      <c r="H58">
        <v>3.9000759999999999</v>
      </c>
      <c r="I58">
        <v>0.61385599999999996</v>
      </c>
      <c r="J58">
        <v>3.2625199999999999</v>
      </c>
      <c r="K58">
        <v>3.085099</v>
      </c>
      <c r="L58">
        <v>3.1981009999999999</v>
      </c>
      <c r="M58">
        <v>0.329845</v>
      </c>
    </row>
    <row r="59" spans="1:13">
      <c r="A59" s="82">
        <v>43087</v>
      </c>
      <c r="B59">
        <v>7.4077830000000002</v>
      </c>
      <c r="C59">
        <v>1.033112</v>
      </c>
      <c r="D59">
        <v>6.6045369999999997</v>
      </c>
      <c r="E59">
        <v>6.4641669999999998</v>
      </c>
      <c r="F59">
        <v>3.9718019999999998</v>
      </c>
      <c r="G59">
        <v>5.8066820000000003</v>
      </c>
      <c r="H59">
        <v>3.895184</v>
      </c>
      <c r="I59">
        <v>0.61150499999999997</v>
      </c>
      <c r="J59">
        <v>3.263007</v>
      </c>
      <c r="K59">
        <v>3.0831469999999999</v>
      </c>
      <c r="L59">
        <v>3.1960540000000002</v>
      </c>
      <c r="M59">
        <v>0.329598</v>
      </c>
    </row>
    <row r="60" spans="1:13">
      <c r="A60" s="82">
        <v>43084</v>
      </c>
      <c r="B60">
        <v>7.3922819999999998</v>
      </c>
      <c r="C60">
        <v>1.032891</v>
      </c>
      <c r="D60">
        <v>6.5996300000000003</v>
      </c>
      <c r="E60">
        <v>6.4574590000000001</v>
      </c>
      <c r="F60">
        <v>3.9683860000000002</v>
      </c>
      <c r="G60">
        <v>5.8009500000000003</v>
      </c>
      <c r="H60">
        <v>3.8916140000000001</v>
      </c>
      <c r="I60">
        <v>0.61010500000000001</v>
      </c>
      <c r="J60">
        <v>3.257158</v>
      </c>
      <c r="K60">
        <v>3.0778729999999999</v>
      </c>
      <c r="L60">
        <v>3.1907009999999998</v>
      </c>
      <c r="M60">
        <v>0.32904600000000001</v>
      </c>
    </row>
    <row r="61" spans="1:13">
      <c r="A61" s="82">
        <v>43083</v>
      </c>
      <c r="B61">
        <v>7.3871779999999996</v>
      </c>
      <c r="C61">
        <v>1.032775</v>
      </c>
      <c r="D61">
        <v>6.5837640000000004</v>
      </c>
      <c r="E61">
        <v>6.4453889999999996</v>
      </c>
      <c r="F61">
        <v>3.9591470000000002</v>
      </c>
      <c r="G61">
        <v>5.7894769999999998</v>
      </c>
      <c r="H61">
        <v>3.8839250000000001</v>
      </c>
      <c r="I61">
        <v>0.60793900000000001</v>
      </c>
      <c r="J61">
        <v>3.2534779999999999</v>
      </c>
      <c r="K61">
        <v>3.0761620000000001</v>
      </c>
      <c r="L61">
        <v>3.1869010000000002</v>
      </c>
      <c r="M61">
        <v>0.32841599999999999</v>
      </c>
    </row>
    <row r="62" spans="1:13">
      <c r="A62" s="82">
        <v>43082</v>
      </c>
      <c r="B62">
        <v>7.3820600000000001</v>
      </c>
      <c r="C62">
        <v>1.03261</v>
      </c>
      <c r="D62">
        <v>6.5789989999999996</v>
      </c>
      <c r="E62">
        <v>6.4413590000000003</v>
      </c>
      <c r="F62">
        <v>3.9562710000000001</v>
      </c>
      <c r="G62">
        <v>5.7852680000000003</v>
      </c>
      <c r="H62">
        <v>3.8811640000000001</v>
      </c>
      <c r="I62">
        <v>0.60589800000000005</v>
      </c>
      <c r="J62">
        <v>3.251471</v>
      </c>
      <c r="K62">
        <v>3.0744470000000002</v>
      </c>
      <c r="L62">
        <v>3.1849090000000002</v>
      </c>
      <c r="M62">
        <v>0.32831199999999999</v>
      </c>
    </row>
    <row r="63" spans="1:13">
      <c r="A63" s="82">
        <v>43081</v>
      </c>
      <c r="B63">
        <v>7.3769460000000002</v>
      </c>
      <c r="C63">
        <v>1.032527</v>
      </c>
      <c r="D63">
        <v>6.574058</v>
      </c>
      <c r="E63">
        <v>6.4371479999999996</v>
      </c>
      <c r="F63">
        <v>3.953303</v>
      </c>
      <c r="G63">
        <v>5.7809720000000002</v>
      </c>
      <c r="H63">
        <v>3.878374</v>
      </c>
      <c r="I63">
        <v>0.60641599999999996</v>
      </c>
      <c r="J63">
        <v>3.2492030000000001</v>
      </c>
      <c r="K63">
        <v>3.0727310000000001</v>
      </c>
      <c r="L63">
        <v>3.1827740000000002</v>
      </c>
      <c r="M63">
        <v>0.32813100000000001</v>
      </c>
    </row>
    <row r="64" spans="1:13">
      <c r="A64" s="82">
        <v>43080</v>
      </c>
      <c r="B64">
        <v>7.3719799999999998</v>
      </c>
      <c r="C64">
        <v>1.03244</v>
      </c>
      <c r="D64">
        <v>6.5692709999999996</v>
      </c>
      <c r="E64">
        <v>6.4322030000000003</v>
      </c>
      <c r="F64">
        <v>3.9502700000000002</v>
      </c>
      <c r="G64">
        <v>5.776688</v>
      </c>
      <c r="H64">
        <v>3.875489</v>
      </c>
      <c r="I64">
        <v>0.60471900000000001</v>
      </c>
      <c r="J64">
        <v>3.2477580000000001</v>
      </c>
      <c r="K64">
        <v>3.0709970000000002</v>
      </c>
      <c r="L64">
        <v>3.1805789999999998</v>
      </c>
      <c r="M64">
        <v>0.327901</v>
      </c>
    </row>
    <row r="65" spans="1:13">
      <c r="A65" s="82">
        <v>43076</v>
      </c>
      <c r="B65">
        <v>7.351667</v>
      </c>
      <c r="C65">
        <v>1.0321880000000001</v>
      </c>
      <c r="D65">
        <v>6.5612050000000002</v>
      </c>
      <c r="E65">
        <v>6.4257549999999997</v>
      </c>
      <c r="F65">
        <v>3.9478399999999998</v>
      </c>
      <c r="G65">
        <v>5.7708199999999996</v>
      </c>
      <c r="H65">
        <v>3.871788</v>
      </c>
      <c r="I65">
        <v>0.60476700000000005</v>
      </c>
      <c r="J65">
        <v>3.2394270000000001</v>
      </c>
      <c r="K65">
        <v>3.0641449999999999</v>
      </c>
      <c r="L65">
        <v>3.1741329999999999</v>
      </c>
      <c r="M65">
        <v>0.32722299999999999</v>
      </c>
    </row>
    <row r="66" spans="1:13">
      <c r="A66" s="82">
        <v>43075</v>
      </c>
      <c r="B66">
        <v>7.3468439999999999</v>
      </c>
      <c r="C66">
        <v>1.032011</v>
      </c>
      <c r="D66">
        <v>6.5456209999999997</v>
      </c>
      <c r="E66">
        <v>6.4091709999999997</v>
      </c>
      <c r="F66">
        <v>3.9361760000000001</v>
      </c>
      <c r="G66">
        <v>5.7554369999999997</v>
      </c>
      <c r="H66">
        <v>3.861548</v>
      </c>
      <c r="I66">
        <v>0.603495</v>
      </c>
      <c r="J66">
        <v>3.2364120000000001</v>
      </c>
      <c r="K66">
        <v>3.0624210000000001</v>
      </c>
      <c r="L66">
        <v>3.170442</v>
      </c>
      <c r="M66">
        <v>0.32686999999999999</v>
      </c>
    </row>
    <row r="67" spans="1:13">
      <c r="A67" s="82">
        <v>43074</v>
      </c>
      <c r="B67">
        <v>7.3419990000000004</v>
      </c>
      <c r="C67">
        <v>1.031803</v>
      </c>
      <c r="D67">
        <v>6.5412140000000001</v>
      </c>
      <c r="E67">
        <v>6.4046409999999998</v>
      </c>
      <c r="F67">
        <v>3.9341249999999999</v>
      </c>
      <c r="G67">
        <v>5.751474</v>
      </c>
      <c r="H67">
        <v>3.8592029999999999</v>
      </c>
      <c r="I67">
        <v>0.60381200000000002</v>
      </c>
      <c r="J67">
        <v>3.235779</v>
      </c>
      <c r="K67">
        <v>3.0607129999999998</v>
      </c>
      <c r="L67">
        <v>3.1695869999999999</v>
      </c>
      <c r="M67">
        <v>0.326677</v>
      </c>
    </row>
    <row r="68" spans="1:13">
      <c r="A68" s="82">
        <v>43073</v>
      </c>
      <c r="B68">
        <v>7.3372099999999998</v>
      </c>
      <c r="C68">
        <v>1.0317179999999999</v>
      </c>
      <c r="D68">
        <v>6.5369869999999999</v>
      </c>
      <c r="E68">
        <v>6.4005900000000002</v>
      </c>
      <c r="F68">
        <v>3.931219</v>
      </c>
      <c r="G68">
        <v>5.7480079999999996</v>
      </c>
      <c r="H68">
        <v>3.8566449999999999</v>
      </c>
      <c r="I68">
        <v>0.60430399999999995</v>
      </c>
      <c r="J68">
        <v>3.2335069999999999</v>
      </c>
      <c r="K68">
        <v>3.0590120000000001</v>
      </c>
      <c r="L68">
        <v>3.1677420000000001</v>
      </c>
      <c r="M68">
        <v>0.32641700000000001</v>
      </c>
    </row>
    <row r="69" spans="1:13">
      <c r="A69" s="82">
        <v>43070</v>
      </c>
      <c r="B69">
        <v>7.3227770000000003</v>
      </c>
      <c r="C69">
        <v>1.031477</v>
      </c>
      <c r="D69">
        <v>6.5315070000000004</v>
      </c>
      <c r="E69">
        <v>6.3943779999999997</v>
      </c>
      <c r="F69">
        <v>3.92849</v>
      </c>
      <c r="G69">
        <v>5.7424970000000002</v>
      </c>
      <c r="H69">
        <v>3.853094</v>
      </c>
      <c r="I69">
        <v>0.60249399999999997</v>
      </c>
      <c r="J69">
        <v>3.2274910000000001</v>
      </c>
      <c r="K69">
        <v>3.0539049999999999</v>
      </c>
      <c r="L69">
        <v>3.1626029999999998</v>
      </c>
      <c r="M69">
        <v>0.32604300000000003</v>
      </c>
    </row>
    <row r="70" spans="1:13">
      <c r="A70" s="82">
        <v>43069</v>
      </c>
      <c r="B70">
        <v>7.3180930000000002</v>
      </c>
      <c r="C70">
        <v>1.0313380000000001</v>
      </c>
      <c r="D70">
        <v>6.5167809999999999</v>
      </c>
      <c r="E70">
        <v>6.3801620000000003</v>
      </c>
      <c r="F70">
        <v>3.9195489999999999</v>
      </c>
      <c r="G70">
        <v>5.7299910000000001</v>
      </c>
      <c r="H70">
        <v>3.8453580000000001</v>
      </c>
      <c r="I70">
        <v>0.60338999999999998</v>
      </c>
      <c r="J70">
        <v>3.226016</v>
      </c>
      <c r="K70">
        <v>3.052206</v>
      </c>
      <c r="M70">
        <v>0.32575900000000002</v>
      </c>
    </row>
    <row r="71" spans="1:13">
      <c r="A71" s="82">
        <v>43068</v>
      </c>
      <c r="B71">
        <v>7.3134009999999998</v>
      </c>
      <c r="C71">
        <v>1.0311710000000001</v>
      </c>
      <c r="D71">
        <v>6.5120560000000003</v>
      </c>
      <c r="E71">
        <v>6.3756349999999999</v>
      </c>
      <c r="F71">
        <v>3.916585</v>
      </c>
      <c r="G71">
        <v>5.7258500000000003</v>
      </c>
      <c r="H71">
        <v>3.8426580000000001</v>
      </c>
      <c r="I71">
        <v>0.59992199999999996</v>
      </c>
      <c r="J71">
        <v>3.224335</v>
      </c>
      <c r="K71">
        <v>3.0504549999999999</v>
      </c>
      <c r="L71">
        <v>3.157467</v>
      </c>
      <c r="M71">
        <v>0.325486</v>
      </c>
    </row>
    <row r="72" spans="1:13">
      <c r="A72" s="82">
        <v>43067</v>
      </c>
      <c r="B72">
        <v>7.3088680000000004</v>
      </c>
      <c r="C72">
        <v>1.0310870000000001</v>
      </c>
      <c r="D72">
        <v>6.5076210000000003</v>
      </c>
      <c r="E72">
        <v>6.3711989999999998</v>
      </c>
      <c r="F72">
        <v>3.9140519999999999</v>
      </c>
      <c r="G72">
        <v>5.7220849999999999</v>
      </c>
      <c r="H72">
        <v>3.840163</v>
      </c>
      <c r="I72">
        <v>0.59886099999999998</v>
      </c>
      <c r="J72">
        <v>3.2222729999999999</v>
      </c>
      <c r="K72">
        <v>3.0487039999999999</v>
      </c>
      <c r="M72">
        <v>0.32551200000000002</v>
      </c>
    </row>
    <row r="73" spans="1:13">
      <c r="A73" s="82">
        <v>43066</v>
      </c>
      <c r="B73">
        <v>7.3042160000000003</v>
      </c>
      <c r="C73">
        <v>1.031002</v>
      </c>
      <c r="D73">
        <v>6.5029339999999998</v>
      </c>
      <c r="E73">
        <v>6.3679050000000004</v>
      </c>
      <c r="F73">
        <v>3.911133</v>
      </c>
      <c r="G73">
        <v>5.7179019999999996</v>
      </c>
      <c r="H73">
        <v>3.837704</v>
      </c>
      <c r="I73">
        <v>0.59817900000000002</v>
      </c>
      <c r="J73">
        <v>3.2203089999999999</v>
      </c>
      <c r="K73">
        <v>3.0506639999999998</v>
      </c>
      <c r="L73">
        <v>3.1537229999999998</v>
      </c>
      <c r="M73">
        <v>0.32537899999999997</v>
      </c>
    </row>
    <row r="74" spans="1:13">
      <c r="A74" s="82">
        <v>43063</v>
      </c>
      <c r="B74">
        <v>7.2901340000000001</v>
      </c>
      <c r="C74">
        <v>1.0307200000000001</v>
      </c>
      <c r="D74">
        <v>6.4975100000000001</v>
      </c>
      <c r="E74">
        <v>6.3618449999999998</v>
      </c>
      <c r="F74">
        <v>3.9078089999999999</v>
      </c>
      <c r="G74">
        <v>5.7125260000000004</v>
      </c>
      <c r="H74">
        <v>3.834219</v>
      </c>
      <c r="I74">
        <v>0.59812299999999996</v>
      </c>
      <c r="J74">
        <v>3.2151869999999998</v>
      </c>
      <c r="K74">
        <v>3.045776</v>
      </c>
      <c r="L74">
        <v>3.1487479999999999</v>
      </c>
      <c r="M74">
        <v>0.32476500000000003</v>
      </c>
    </row>
    <row r="75" spans="1:13">
      <c r="A75" s="82">
        <v>43062</v>
      </c>
      <c r="B75">
        <v>7.2854270000000003</v>
      </c>
      <c r="C75">
        <v>1.0305880000000001</v>
      </c>
      <c r="D75">
        <v>6.4836410000000004</v>
      </c>
      <c r="E75">
        <v>6.3492439999999997</v>
      </c>
      <c r="F75">
        <v>3.8993820000000001</v>
      </c>
      <c r="G75">
        <v>5.7012029999999996</v>
      </c>
      <c r="H75">
        <v>3.826603</v>
      </c>
      <c r="I75">
        <v>0.59895399999999999</v>
      </c>
      <c r="J75">
        <v>3.2122660000000001</v>
      </c>
      <c r="K75">
        <v>3.0452050000000002</v>
      </c>
      <c r="L75">
        <v>3.1452300000000002</v>
      </c>
      <c r="M75">
        <v>0.32452300000000001</v>
      </c>
    </row>
    <row r="76" spans="1:13">
      <c r="A76" s="82">
        <v>43061</v>
      </c>
      <c r="B76">
        <v>7.2810230000000002</v>
      </c>
      <c r="C76">
        <v>1.0304230000000001</v>
      </c>
      <c r="D76">
        <v>6.4787739999999996</v>
      </c>
      <c r="E76">
        <v>6.3443829999999997</v>
      </c>
      <c r="F76">
        <v>3.8962599999999998</v>
      </c>
      <c r="G76">
        <v>5.6965589999999997</v>
      </c>
      <c r="H76">
        <v>3.8234880000000002</v>
      </c>
      <c r="I76">
        <v>0.60265800000000003</v>
      </c>
      <c r="J76">
        <v>3.2103640000000002</v>
      </c>
      <c r="K76">
        <v>3.0436160000000001</v>
      </c>
      <c r="L76">
        <v>3.1431680000000002</v>
      </c>
      <c r="M76">
        <v>0.324324</v>
      </c>
    </row>
    <row r="77" spans="1:13">
      <c r="A77" s="82">
        <v>43060</v>
      </c>
      <c r="B77">
        <v>7.2764949999999997</v>
      </c>
      <c r="C77">
        <v>1.03034</v>
      </c>
      <c r="D77">
        <v>6.4752270000000003</v>
      </c>
      <c r="E77">
        <v>6.3401829999999997</v>
      </c>
      <c r="F77">
        <v>3.8938060000000001</v>
      </c>
      <c r="G77">
        <v>5.6929990000000004</v>
      </c>
      <c r="H77">
        <v>3.821097</v>
      </c>
      <c r="I77">
        <v>0.60221499999999994</v>
      </c>
      <c r="J77">
        <v>3.2084169999999999</v>
      </c>
      <c r="K77">
        <v>3.04203</v>
      </c>
      <c r="L77">
        <v>3.1413690000000001</v>
      </c>
      <c r="M77">
        <v>0.32383800000000001</v>
      </c>
    </row>
    <row r="78" spans="1:13">
      <c r="A78" s="82">
        <v>43056</v>
      </c>
      <c r="B78">
        <v>7.2578630000000004</v>
      </c>
      <c r="C78">
        <v>1.03</v>
      </c>
      <c r="D78">
        <v>6.4698419999999999</v>
      </c>
      <c r="E78">
        <v>6.3336949999999996</v>
      </c>
      <c r="F78">
        <v>3.891311</v>
      </c>
      <c r="G78">
        <v>5.6876220000000002</v>
      </c>
      <c r="H78">
        <v>3.8174510000000001</v>
      </c>
      <c r="I78">
        <v>0.60198700000000005</v>
      </c>
      <c r="J78">
        <v>3.2011880000000001</v>
      </c>
      <c r="K78">
        <v>3.0373399999999999</v>
      </c>
      <c r="L78">
        <v>3.1351529999999999</v>
      </c>
      <c r="M78">
        <v>0.32317699999999999</v>
      </c>
    </row>
    <row r="79" spans="1:13">
      <c r="A79" s="82">
        <v>43055</v>
      </c>
      <c r="B79">
        <v>7.2534169999999998</v>
      </c>
      <c r="C79">
        <v>1.0298259999999999</v>
      </c>
      <c r="D79">
        <v>6.4527520000000003</v>
      </c>
      <c r="E79">
        <v>6.3189359999999999</v>
      </c>
      <c r="F79">
        <v>3.8810959999999999</v>
      </c>
      <c r="G79">
        <v>5.6742350000000004</v>
      </c>
      <c r="H79">
        <v>3.808411</v>
      </c>
      <c r="I79">
        <v>0.60126100000000005</v>
      </c>
      <c r="J79">
        <v>3.1980080000000002</v>
      </c>
      <c r="K79">
        <v>3.0352779999999999</v>
      </c>
      <c r="L79">
        <v>3.1316920000000001</v>
      </c>
      <c r="M79">
        <v>0.32292799999999999</v>
      </c>
    </row>
    <row r="80" spans="1:13">
      <c r="A80" s="82">
        <v>43054</v>
      </c>
      <c r="B80">
        <v>7.2489229999999996</v>
      </c>
      <c r="C80">
        <v>1.02966</v>
      </c>
      <c r="D80">
        <v>6.4461719999999998</v>
      </c>
      <c r="E80">
        <v>6.3133280000000003</v>
      </c>
      <c r="F80">
        <v>3.877659</v>
      </c>
      <c r="G80">
        <v>5.6688520000000002</v>
      </c>
      <c r="H80">
        <v>3.804513</v>
      </c>
      <c r="I80">
        <v>0.60067199999999998</v>
      </c>
      <c r="J80">
        <v>3.1959179999999998</v>
      </c>
      <c r="K80">
        <v>3.0336479999999999</v>
      </c>
      <c r="L80">
        <v>3.1295600000000001</v>
      </c>
      <c r="M80">
        <v>0.32266800000000001</v>
      </c>
    </row>
    <row r="81" spans="1:13">
      <c r="A81" s="82">
        <v>43053</v>
      </c>
      <c r="B81">
        <v>7.2441579999999997</v>
      </c>
      <c r="C81">
        <v>1.0295749999999999</v>
      </c>
      <c r="D81">
        <v>6.4408849999999997</v>
      </c>
      <c r="E81">
        <v>6.3106030000000004</v>
      </c>
      <c r="F81">
        <v>3.8744800000000001</v>
      </c>
      <c r="G81">
        <v>5.6647629999999998</v>
      </c>
      <c r="H81">
        <v>3.802238</v>
      </c>
      <c r="I81">
        <v>0.60059899999999999</v>
      </c>
      <c r="J81">
        <v>3.1938819999999999</v>
      </c>
      <c r="K81">
        <v>3.0320130000000001</v>
      </c>
      <c r="L81">
        <v>3.127643</v>
      </c>
      <c r="M81">
        <v>0.32253599999999999</v>
      </c>
    </row>
    <row r="82" spans="1:13">
      <c r="A82" s="82">
        <v>43052</v>
      </c>
      <c r="B82">
        <v>7.2394639999999999</v>
      </c>
      <c r="C82">
        <v>1.02949</v>
      </c>
      <c r="D82">
        <v>6.4358430000000002</v>
      </c>
      <c r="E82">
        <v>6.3068080000000002</v>
      </c>
      <c r="F82">
        <v>3.8728220000000002</v>
      </c>
      <c r="G82">
        <v>5.6604000000000001</v>
      </c>
      <c r="H82">
        <v>3.8004669999999998</v>
      </c>
      <c r="I82">
        <v>0.60321400000000003</v>
      </c>
      <c r="J82">
        <v>3.191891</v>
      </c>
      <c r="K82">
        <v>3.0303969999999998</v>
      </c>
      <c r="L82">
        <v>3.1256029999999999</v>
      </c>
      <c r="M82">
        <v>0.32230900000000001</v>
      </c>
    </row>
    <row r="83" spans="1:13">
      <c r="A83" s="82">
        <v>43049</v>
      </c>
      <c r="B83">
        <v>7.225339</v>
      </c>
      <c r="C83">
        <v>1.029382</v>
      </c>
      <c r="D83">
        <v>6.4286820000000002</v>
      </c>
      <c r="E83">
        <v>6.2997059999999996</v>
      </c>
      <c r="F83">
        <v>3.86911</v>
      </c>
      <c r="G83">
        <v>5.6551819999999999</v>
      </c>
      <c r="H83">
        <v>3.7968139999999999</v>
      </c>
      <c r="I83">
        <v>0.60280199999999995</v>
      </c>
      <c r="J83">
        <v>3.1869369999999999</v>
      </c>
      <c r="K83">
        <v>3.0258799999999999</v>
      </c>
      <c r="L83">
        <v>3.1207760000000002</v>
      </c>
      <c r="M83">
        <v>0.32177299999999998</v>
      </c>
    </row>
    <row r="84" spans="1:13">
      <c r="A84" s="82">
        <v>43048</v>
      </c>
      <c r="B84">
        <v>7.2207350000000003</v>
      </c>
      <c r="C84">
        <v>1.029245</v>
      </c>
      <c r="D84">
        <v>6.4186930000000002</v>
      </c>
      <c r="E84">
        <v>6.2882600000000002</v>
      </c>
      <c r="F84">
        <v>3.8616899999999998</v>
      </c>
      <c r="G84">
        <v>5.6443110000000001</v>
      </c>
      <c r="H84">
        <v>3.7900230000000001</v>
      </c>
      <c r="I84">
        <v>0.60305399999999998</v>
      </c>
      <c r="J84">
        <v>3.1842769999999998</v>
      </c>
      <c r="K84">
        <v>3.0239910000000001</v>
      </c>
      <c r="L84">
        <v>3.1178129999999999</v>
      </c>
      <c r="M84">
        <v>0.32152700000000001</v>
      </c>
    </row>
    <row r="85" spans="1:13">
      <c r="A85" s="82">
        <v>43047</v>
      </c>
      <c r="B85">
        <v>7.2161340000000003</v>
      </c>
      <c r="C85">
        <v>1.02908</v>
      </c>
      <c r="D85">
        <v>6.4154400000000003</v>
      </c>
      <c r="E85">
        <v>6.2849079999999997</v>
      </c>
      <c r="F85">
        <v>3.859531</v>
      </c>
      <c r="G85">
        <v>5.6416810000000002</v>
      </c>
      <c r="H85">
        <v>3.7890489999999999</v>
      </c>
      <c r="I85">
        <v>0.60266299999999995</v>
      </c>
      <c r="J85">
        <v>3.1811769999999999</v>
      </c>
      <c r="K85">
        <v>3.0223689999999999</v>
      </c>
      <c r="L85">
        <v>3.1158739999999998</v>
      </c>
      <c r="M85">
        <v>0.32131399999999999</v>
      </c>
    </row>
    <row r="86" spans="1:13">
      <c r="A86" s="82">
        <v>43046</v>
      </c>
      <c r="B86">
        <v>7.2117069999999996</v>
      </c>
      <c r="C86">
        <v>1.0289980000000001</v>
      </c>
      <c r="D86">
        <v>6.4172969999999996</v>
      </c>
      <c r="E86">
        <v>6.2839010000000002</v>
      </c>
      <c r="F86">
        <v>3.8578619999999999</v>
      </c>
      <c r="G86">
        <v>5.6398729999999997</v>
      </c>
      <c r="H86">
        <v>3.7887019999999998</v>
      </c>
      <c r="I86">
        <v>0.60436999999999996</v>
      </c>
      <c r="J86">
        <v>3.1823920000000001</v>
      </c>
      <c r="K86">
        <v>3.0211070000000002</v>
      </c>
      <c r="L86">
        <v>3.1141009999999998</v>
      </c>
      <c r="M86">
        <v>0.321189</v>
      </c>
    </row>
    <row r="87" spans="1:13">
      <c r="A87" s="82">
        <v>43042</v>
      </c>
      <c r="B87">
        <v>7.1935919999999998</v>
      </c>
      <c r="C87">
        <v>1.0287299999999999</v>
      </c>
      <c r="D87">
        <v>6.4089429999999998</v>
      </c>
      <c r="E87">
        <v>6.2771549999999996</v>
      </c>
      <c r="F87">
        <v>3.8548629999999999</v>
      </c>
      <c r="G87">
        <v>5.6330910000000003</v>
      </c>
      <c r="H87">
        <v>3.784767</v>
      </c>
      <c r="I87">
        <v>0.60364899999999999</v>
      </c>
      <c r="J87">
        <v>3.174947</v>
      </c>
      <c r="K87">
        <v>3.0145460000000002</v>
      </c>
      <c r="L87">
        <v>3.1079249999999998</v>
      </c>
      <c r="M87">
        <v>0.32052000000000003</v>
      </c>
    </row>
    <row r="88" spans="1:13">
      <c r="A88" s="82">
        <v>43041</v>
      </c>
      <c r="B88">
        <v>7.1890929999999997</v>
      </c>
      <c r="C88">
        <v>1.0285359999999999</v>
      </c>
      <c r="D88">
        <v>6.3994359999999997</v>
      </c>
      <c r="E88">
        <v>6.2622619999999998</v>
      </c>
      <c r="F88">
        <v>3.8443450000000001</v>
      </c>
      <c r="G88">
        <v>5.6189730000000004</v>
      </c>
      <c r="H88">
        <v>3.7762760000000002</v>
      </c>
      <c r="J88">
        <v>3.171881</v>
      </c>
      <c r="K88">
        <v>3.0122599999999999</v>
      </c>
      <c r="L88">
        <v>3.1045829999999999</v>
      </c>
      <c r="M88">
        <v>0.32020599999999999</v>
      </c>
    </row>
    <row r="89" spans="1:13">
      <c r="A89" s="82">
        <v>43040</v>
      </c>
      <c r="B89">
        <v>7.1847320000000003</v>
      </c>
      <c r="C89">
        <v>1.0283709999999999</v>
      </c>
      <c r="D89">
        <v>6.3945590000000001</v>
      </c>
      <c r="E89">
        <v>6.2565189999999999</v>
      </c>
      <c r="F89">
        <v>3.8407140000000002</v>
      </c>
      <c r="G89">
        <v>5.6137059999999996</v>
      </c>
      <c r="H89">
        <v>3.7732450000000002</v>
      </c>
      <c r="J89">
        <v>3.1698460000000002</v>
      </c>
      <c r="K89">
        <v>3.0105550000000001</v>
      </c>
      <c r="L89">
        <v>3.102592</v>
      </c>
      <c r="M89">
        <v>0.32009100000000001</v>
      </c>
    </row>
    <row r="90" spans="1:13">
      <c r="A90" s="82">
        <v>43039</v>
      </c>
      <c r="B90">
        <v>7.1803819999999998</v>
      </c>
      <c r="C90">
        <v>1.028281</v>
      </c>
      <c r="D90">
        <v>6.3919860000000002</v>
      </c>
      <c r="E90">
        <v>6.2532019999999999</v>
      </c>
      <c r="F90">
        <v>3.8387129999999998</v>
      </c>
      <c r="G90">
        <v>5.6113629999999999</v>
      </c>
      <c r="H90">
        <v>3.7716639999999999</v>
      </c>
      <c r="J90">
        <v>3.1683020000000002</v>
      </c>
      <c r="K90">
        <v>3.009109</v>
      </c>
      <c r="L90">
        <v>3.100803</v>
      </c>
      <c r="M90">
        <v>0.31988899999999998</v>
      </c>
    </row>
    <row r="91" spans="1:13">
      <c r="A91" s="82">
        <v>43038</v>
      </c>
      <c r="B91">
        <v>7.1759360000000001</v>
      </c>
      <c r="C91">
        <v>1.028187</v>
      </c>
      <c r="D91">
        <v>6.3881779999999999</v>
      </c>
      <c r="E91">
        <v>6.2487709999999996</v>
      </c>
      <c r="F91">
        <v>3.8361420000000002</v>
      </c>
      <c r="G91">
        <v>5.6076600000000001</v>
      </c>
      <c r="H91">
        <v>3.7702059999999999</v>
      </c>
      <c r="J91">
        <v>3.1664080000000001</v>
      </c>
      <c r="K91">
        <v>3.0075050000000001</v>
      </c>
      <c r="L91">
        <v>3.099116</v>
      </c>
      <c r="M91">
        <v>0.31979600000000002</v>
      </c>
    </row>
    <row r="92" spans="1:13">
      <c r="A92" s="82">
        <v>43035</v>
      </c>
      <c r="B92">
        <v>7.1627720000000004</v>
      </c>
      <c r="C92">
        <v>1.0278940000000001</v>
      </c>
      <c r="D92">
        <v>6.3843870000000003</v>
      </c>
      <c r="E92">
        <v>6.2433009999999998</v>
      </c>
      <c r="F92">
        <v>3.8334100000000002</v>
      </c>
      <c r="G92">
        <v>5.6022150000000002</v>
      </c>
      <c r="H92">
        <v>3.7694890000000001</v>
      </c>
      <c r="J92">
        <v>3.1616629999999999</v>
      </c>
      <c r="K92">
        <v>3.0031099999999999</v>
      </c>
      <c r="L92">
        <v>3.094392</v>
      </c>
      <c r="M92">
        <v>0.31940000000000002</v>
      </c>
    </row>
    <row r="93" spans="1:13">
      <c r="A93" s="82">
        <v>43034</v>
      </c>
      <c r="B93">
        <v>7.1585590000000003</v>
      </c>
      <c r="C93">
        <v>1.027738</v>
      </c>
      <c r="D93">
        <v>6.3778649999999999</v>
      </c>
      <c r="E93">
        <v>6.2360800000000003</v>
      </c>
      <c r="F93">
        <v>3.826794</v>
      </c>
      <c r="G93">
        <v>5.594201</v>
      </c>
      <c r="H93">
        <v>3.7640570000000002</v>
      </c>
      <c r="J93">
        <v>3.1586219999999998</v>
      </c>
      <c r="K93">
        <v>3.0010500000000002</v>
      </c>
      <c r="L93">
        <v>3.0917309999999998</v>
      </c>
      <c r="M93">
        <v>0.31903599999999999</v>
      </c>
    </row>
    <row r="94" spans="1:13">
      <c r="A94" s="82">
        <v>43033</v>
      </c>
      <c r="B94">
        <v>7.1546500000000002</v>
      </c>
      <c r="C94">
        <v>1.0275510000000001</v>
      </c>
      <c r="D94">
        <v>6.376684</v>
      </c>
      <c r="E94">
        <v>6.2338570000000004</v>
      </c>
      <c r="F94">
        <v>3.8254739999999998</v>
      </c>
      <c r="G94">
        <v>5.5904730000000002</v>
      </c>
      <c r="H94">
        <v>3.7631610000000002</v>
      </c>
      <c r="J94">
        <v>3.1578550000000001</v>
      </c>
      <c r="K94">
        <v>3.0001950000000002</v>
      </c>
      <c r="L94">
        <v>3.0897540000000001</v>
      </c>
      <c r="M94">
        <v>0.31894499999999998</v>
      </c>
    </row>
    <row r="95" spans="1:13">
      <c r="A95" s="82">
        <v>43032</v>
      </c>
      <c r="B95">
        <v>7.1504370000000002</v>
      </c>
      <c r="C95">
        <v>1.0274589999999999</v>
      </c>
      <c r="D95">
        <v>6.3762429999999997</v>
      </c>
      <c r="E95">
        <v>6.2311030000000001</v>
      </c>
      <c r="F95">
        <v>3.823658</v>
      </c>
      <c r="G95">
        <v>5.5901050000000003</v>
      </c>
      <c r="H95">
        <v>3.7612070000000002</v>
      </c>
      <c r="J95">
        <v>3.1558220000000001</v>
      </c>
      <c r="K95">
        <v>2.9986120000000001</v>
      </c>
      <c r="L95">
        <v>3.0881660000000002</v>
      </c>
      <c r="M95">
        <v>0.318797</v>
      </c>
    </row>
    <row r="96" spans="1:13">
      <c r="A96" s="82">
        <v>43031</v>
      </c>
      <c r="B96">
        <v>7.1461410000000001</v>
      </c>
      <c r="C96">
        <v>1.0273669999999999</v>
      </c>
      <c r="D96">
        <v>6.3720249999999998</v>
      </c>
      <c r="E96">
        <v>6.2267450000000002</v>
      </c>
      <c r="F96">
        <v>3.8211740000000001</v>
      </c>
      <c r="G96">
        <v>5.5859880000000004</v>
      </c>
      <c r="H96">
        <v>3.758759</v>
      </c>
      <c r="J96">
        <v>3.15395</v>
      </c>
      <c r="K96">
        <v>2.9970490000000001</v>
      </c>
      <c r="L96">
        <v>3.086293</v>
      </c>
      <c r="M96">
        <v>0.31858900000000001</v>
      </c>
    </row>
    <row r="97" spans="1:13">
      <c r="A97" s="82">
        <v>43028</v>
      </c>
      <c r="B97">
        <v>7.1331490000000004</v>
      </c>
      <c r="C97">
        <v>1.0270090000000001</v>
      </c>
      <c r="D97">
        <v>6.3658080000000004</v>
      </c>
      <c r="E97">
        <v>6.2211740000000004</v>
      </c>
      <c r="F97">
        <v>3.818683</v>
      </c>
      <c r="G97">
        <v>5.5813220000000001</v>
      </c>
      <c r="H97">
        <v>3.7559269999999998</v>
      </c>
      <c r="J97">
        <v>3.1491889999999998</v>
      </c>
      <c r="K97">
        <v>2.9927489999999999</v>
      </c>
      <c r="L97">
        <v>3.0815830000000002</v>
      </c>
      <c r="M97">
        <v>0.31814100000000001</v>
      </c>
    </row>
    <row r="98" spans="1:13">
      <c r="A98" s="82">
        <v>43027</v>
      </c>
      <c r="B98">
        <v>7.1289879999999997</v>
      </c>
      <c r="C98">
        <v>1.0268630000000001</v>
      </c>
      <c r="D98">
        <v>6.3563210000000003</v>
      </c>
      <c r="E98">
        <v>6.2113889999999996</v>
      </c>
      <c r="F98">
        <v>3.8115429999999999</v>
      </c>
      <c r="G98">
        <v>5.5718189999999996</v>
      </c>
      <c r="H98">
        <v>3.7498279999999999</v>
      </c>
      <c r="J98">
        <v>3.1464460000000001</v>
      </c>
      <c r="K98">
        <v>2.990761</v>
      </c>
      <c r="L98">
        <v>3.079002</v>
      </c>
      <c r="M98">
        <v>0.31785000000000002</v>
      </c>
    </row>
    <row r="99" spans="1:13">
      <c r="A99" s="82">
        <v>43026</v>
      </c>
      <c r="B99">
        <v>7.1249409999999997</v>
      </c>
      <c r="C99">
        <v>1.02667</v>
      </c>
      <c r="D99">
        <v>6.3528310000000001</v>
      </c>
      <c r="E99">
        <v>6.206124</v>
      </c>
      <c r="F99">
        <v>3.8089189999999999</v>
      </c>
      <c r="G99">
        <v>5.5676550000000002</v>
      </c>
      <c r="H99">
        <v>3.746947</v>
      </c>
      <c r="J99">
        <v>3.1446529999999999</v>
      </c>
      <c r="K99">
        <v>2.9892840000000001</v>
      </c>
      <c r="L99">
        <v>3.0772010000000001</v>
      </c>
      <c r="M99">
        <v>0.31769900000000001</v>
      </c>
    </row>
    <row r="100" spans="1:13">
      <c r="A100" s="82">
        <v>43025</v>
      </c>
      <c r="B100">
        <v>7.12073</v>
      </c>
      <c r="C100">
        <v>1.0265759999999999</v>
      </c>
      <c r="D100">
        <v>6.3470839999999997</v>
      </c>
      <c r="E100">
        <v>6.2030539999999998</v>
      </c>
      <c r="F100">
        <v>3.806368</v>
      </c>
      <c r="G100">
        <v>5.5635830000000004</v>
      </c>
      <c r="H100">
        <v>3.7447659999999998</v>
      </c>
      <c r="J100">
        <v>3.1426880000000001</v>
      </c>
      <c r="K100">
        <v>2.9876849999999999</v>
      </c>
      <c r="L100">
        <v>3.075342</v>
      </c>
      <c r="M100">
        <v>0.31754599999999999</v>
      </c>
    </row>
    <row r="101" spans="1:13">
      <c r="A101" s="82">
        <v>43021</v>
      </c>
      <c r="B101">
        <v>7.1035170000000001</v>
      </c>
      <c r="C101">
        <v>1.0261480000000001</v>
      </c>
      <c r="D101">
        <v>6.3411020000000002</v>
      </c>
      <c r="E101">
        <v>6.195595</v>
      </c>
      <c r="F101">
        <v>3.8036029999999998</v>
      </c>
      <c r="G101">
        <v>5.5581100000000001</v>
      </c>
      <c r="H101">
        <v>3.741123</v>
      </c>
      <c r="J101">
        <v>3.1366589999999999</v>
      </c>
      <c r="K101">
        <v>2.9819170000000002</v>
      </c>
      <c r="L101">
        <v>3.0691999999999999</v>
      </c>
      <c r="M101">
        <v>0.31684899999999999</v>
      </c>
    </row>
    <row r="102" spans="1:13">
      <c r="A102" s="82">
        <v>43020</v>
      </c>
      <c r="B102">
        <v>7.0992430000000004</v>
      </c>
      <c r="C102">
        <v>1.0260069999999999</v>
      </c>
      <c r="D102">
        <v>6.3251720000000002</v>
      </c>
      <c r="E102">
        <v>6.182188</v>
      </c>
      <c r="F102">
        <v>3.7934640000000002</v>
      </c>
      <c r="G102">
        <v>5.5441839999999996</v>
      </c>
      <c r="H102">
        <v>3.7321589999999998</v>
      </c>
      <c r="J102">
        <v>3.1336309999999998</v>
      </c>
      <c r="K102">
        <v>2.9797410000000002</v>
      </c>
      <c r="L102">
        <v>3.0661860000000001</v>
      </c>
      <c r="M102">
        <v>0.31645499999999999</v>
      </c>
    </row>
    <row r="103" spans="1:13">
      <c r="A103" s="82">
        <v>43019</v>
      </c>
      <c r="B103">
        <v>7.0949669999999996</v>
      </c>
      <c r="C103">
        <v>1.025814</v>
      </c>
      <c r="D103">
        <v>6.3210369999999996</v>
      </c>
      <c r="E103">
        <v>6.1781709999999999</v>
      </c>
      <c r="F103">
        <v>3.7909809999999999</v>
      </c>
      <c r="G103">
        <v>5.540483</v>
      </c>
      <c r="H103">
        <v>3.7296849999999999</v>
      </c>
      <c r="J103">
        <v>3.1318419999999998</v>
      </c>
      <c r="K103">
        <v>2.9782500000000001</v>
      </c>
      <c r="L103">
        <v>3.064832</v>
      </c>
      <c r="M103">
        <v>0.31643900000000003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8"/>
  <sheetViews>
    <sheetView workbookViewId="0">
      <selection activeCell="H13" sqref="H13"/>
    </sheetView>
  </sheetViews>
  <sheetFormatPr baseColWidth="10" defaultRowHeight="15"/>
  <cols>
    <col min="1" max="1" width="15.140625" bestFit="1" customWidth="1"/>
    <col min="3" max="3" width="33.5703125" bestFit="1" customWidth="1"/>
    <col min="4" max="4" width="14" bestFit="1" customWidth="1"/>
    <col min="5" max="5" width="13.7109375" bestFit="1" customWidth="1"/>
  </cols>
  <sheetData>
    <row r="1" spans="1:7">
      <c r="A1" s="85" t="s">
        <v>110</v>
      </c>
      <c r="B1" s="85">
        <v>5327</v>
      </c>
      <c r="C1" s="85" t="s">
        <v>204</v>
      </c>
      <c r="D1" s="90">
        <v>170000000</v>
      </c>
      <c r="E1" s="95">
        <v>170000000</v>
      </c>
      <c r="G1" s="92"/>
    </row>
    <row r="2" spans="1:7">
      <c r="A2" s="85" t="s">
        <v>111</v>
      </c>
      <c r="B2" s="85">
        <v>52584</v>
      </c>
      <c r="C2" s="85" t="s">
        <v>112</v>
      </c>
      <c r="D2" s="90">
        <v>24666666</v>
      </c>
      <c r="E2" s="95">
        <v>24666666</v>
      </c>
      <c r="F2" s="85"/>
      <c r="G2" s="92"/>
    </row>
    <row r="3" spans="1:7">
      <c r="A3" s="85"/>
      <c r="B3" s="85">
        <v>46824</v>
      </c>
      <c r="C3" s="85" t="s">
        <v>205</v>
      </c>
      <c r="D3" s="90">
        <v>150000000</v>
      </c>
      <c r="E3" s="95">
        <v>150000000</v>
      </c>
      <c r="F3" s="85"/>
      <c r="G3" s="92"/>
    </row>
    <row r="4" spans="1:7">
      <c r="A4" s="85"/>
      <c r="B4" s="85">
        <v>46825</v>
      </c>
      <c r="C4" s="85" t="s">
        <v>206</v>
      </c>
      <c r="D4" s="90">
        <v>579600000</v>
      </c>
      <c r="E4" s="95">
        <v>579600000</v>
      </c>
      <c r="F4" s="85"/>
      <c r="G4" s="92"/>
    </row>
    <row r="5" spans="1:7">
      <c r="A5" s="85"/>
      <c r="B5" s="85">
        <v>46827</v>
      </c>
      <c r="C5" s="85" t="s">
        <v>207</v>
      </c>
      <c r="D5" s="90">
        <v>220000000</v>
      </c>
      <c r="E5" s="95">
        <v>220000000</v>
      </c>
      <c r="F5" s="85"/>
      <c r="G5" s="92"/>
    </row>
    <row r="6" spans="1:7">
      <c r="A6" s="85" t="s">
        <v>208</v>
      </c>
      <c r="B6" s="85">
        <v>52897</v>
      </c>
      <c r="C6" s="85" t="s">
        <v>209</v>
      </c>
      <c r="D6" s="90">
        <v>10000000</v>
      </c>
      <c r="E6" s="95">
        <v>10000000</v>
      </c>
      <c r="F6" s="85"/>
      <c r="G6" s="92"/>
    </row>
    <row r="7" spans="1:7">
      <c r="A7" s="85"/>
      <c r="B7" s="85">
        <v>46828</v>
      </c>
      <c r="C7" s="85" t="s">
        <v>210</v>
      </c>
      <c r="D7" s="90">
        <v>210000000</v>
      </c>
      <c r="E7" s="95">
        <v>210000000</v>
      </c>
      <c r="F7" s="85"/>
      <c r="G7" s="92"/>
    </row>
    <row r="8" spans="1:7">
      <c r="A8" s="85" t="s">
        <v>211</v>
      </c>
      <c r="B8" s="85">
        <v>53068</v>
      </c>
      <c r="C8" s="85" t="s">
        <v>212</v>
      </c>
      <c r="D8" s="91">
        <v>50000000</v>
      </c>
      <c r="E8" s="95">
        <v>50000000</v>
      </c>
      <c r="F8" s="85"/>
      <c r="G8" s="92"/>
    </row>
    <row r="9" spans="1:7">
      <c r="A9" s="85" t="s">
        <v>113</v>
      </c>
      <c r="B9" s="85">
        <v>2571</v>
      </c>
      <c r="C9" s="85" t="s">
        <v>213</v>
      </c>
      <c r="D9" s="90">
        <v>50000000</v>
      </c>
      <c r="E9" s="95">
        <v>50000000</v>
      </c>
      <c r="F9" s="85"/>
      <c r="G9" s="92"/>
    </row>
    <row r="10" spans="1:7">
      <c r="A10" s="85" t="s">
        <v>114</v>
      </c>
      <c r="B10" s="85">
        <v>2405</v>
      </c>
      <c r="C10" s="85" t="s">
        <v>115</v>
      </c>
      <c r="D10" s="90">
        <v>74344426</v>
      </c>
      <c r="E10" s="95">
        <v>1576101.8311999999</v>
      </c>
      <c r="F10" s="85"/>
      <c r="G10" s="92"/>
    </row>
    <row r="11" spans="1:7">
      <c r="A11" s="85" t="s">
        <v>116</v>
      </c>
      <c r="B11" s="85">
        <v>38678</v>
      </c>
      <c r="C11" s="85" t="s">
        <v>117</v>
      </c>
      <c r="D11" s="90">
        <v>19000000</v>
      </c>
      <c r="E11" s="95">
        <v>19000000</v>
      </c>
      <c r="F11" s="85"/>
      <c r="G11" s="92"/>
    </row>
    <row r="12" spans="1:7">
      <c r="A12" s="85" t="s">
        <v>118</v>
      </c>
      <c r="B12" s="85">
        <v>38679</v>
      </c>
      <c r="C12" s="85" t="s">
        <v>119</v>
      </c>
      <c r="D12" s="90">
        <v>3700000</v>
      </c>
      <c r="E12" s="95">
        <v>3700000</v>
      </c>
      <c r="F12" s="85"/>
      <c r="G12" s="92"/>
    </row>
    <row r="13" spans="1:7">
      <c r="A13" s="85" t="s">
        <v>120</v>
      </c>
      <c r="B13" s="85">
        <v>5454</v>
      </c>
      <c r="C13" s="85" t="s">
        <v>214</v>
      </c>
      <c r="D13" s="90">
        <v>175742532</v>
      </c>
      <c r="E13" s="95">
        <v>175742532</v>
      </c>
      <c r="F13" s="85"/>
      <c r="G13" s="92"/>
    </row>
    <row r="14" spans="1:7">
      <c r="A14" s="85" t="s">
        <v>121</v>
      </c>
      <c r="B14" s="85">
        <v>90154</v>
      </c>
      <c r="C14" s="85" t="s">
        <v>122</v>
      </c>
      <c r="D14" s="90">
        <v>1507000</v>
      </c>
      <c r="E14" s="95">
        <v>1507000</v>
      </c>
      <c r="F14" s="85"/>
      <c r="G14" s="92"/>
    </row>
    <row r="15" spans="1:7">
      <c r="A15" s="85" t="s">
        <v>123</v>
      </c>
      <c r="B15" s="85">
        <v>5462</v>
      </c>
      <c r="C15" s="85" t="s">
        <v>215</v>
      </c>
      <c r="D15" s="90">
        <v>1766398</v>
      </c>
      <c r="E15" s="95">
        <v>1766398</v>
      </c>
      <c r="F15" s="85"/>
      <c r="G15" s="92"/>
    </row>
    <row r="16" spans="1:7">
      <c r="A16" s="85" t="s">
        <v>124</v>
      </c>
      <c r="B16" s="85">
        <v>50108</v>
      </c>
      <c r="C16" s="85" t="s">
        <v>125</v>
      </c>
      <c r="D16" s="90">
        <v>29755000</v>
      </c>
      <c r="E16" s="95">
        <v>29755000</v>
      </c>
      <c r="F16" s="85"/>
      <c r="G16" s="92"/>
    </row>
    <row r="17" spans="1:7">
      <c r="A17" s="85" t="s">
        <v>126</v>
      </c>
      <c r="B17" s="85">
        <v>50879</v>
      </c>
      <c r="C17" s="85" t="s">
        <v>127</v>
      </c>
      <c r="D17" s="90">
        <v>5803165</v>
      </c>
      <c r="E17" s="95">
        <v>5803165</v>
      </c>
      <c r="F17" s="85"/>
      <c r="G17" s="92"/>
    </row>
    <row r="18" spans="1:7">
      <c r="A18" s="85" t="s">
        <v>129</v>
      </c>
      <c r="B18" s="85">
        <v>51035</v>
      </c>
      <c r="C18" s="85" t="s">
        <v>130</v>
      </c>
      <c r="D18" s="90">
        <v>7344309</v>
      </c>
      <c r="E18" s="95">
        <v>7344309</v>
      </c>
      <c r="F18" s="85"/>
      <c r="G18" s="92"/>
    </row>
    <row r="19" spans="1:7">
      <c r="A19" s="85" t="s">
        <v>131</v>
      </c>
      <c r="B19" s="85">
        <v>51097</v>
      </c>
      <c r="C19" s="85" t="s">
        <v>132</v>
      </c>
      <c r="D19" s="90">
        <v>13763244</v>
      </c>
      <c r="E19" s="95">
        <v>13763244</v>
      </c>
      <c r="F19" s="85"/>
      <c r="G19" s="92"/>
    </row>
    <row r="20" spans="1:7">
      <c r="A20" s="85" t="s">
        <v>133</v>
      </c>
      <c r="B20" s="85">
        <v>51296</v>
      </c>
      <c r="C20" s="85" t="s">
        <v>134</v>
      </c>
      <c r="D20" s="90">
        <v>4800000</v>
      </c>
      <c r="E20" s="95">
        <v>1600320</v>
      </c>
      <c r="F20" s="85"/>
      <c r="G20" s="92"/>
    </row>
    <row r="21" spans="1:7">
      <c r="A21" s="85" t="s">
        <v>135</v>
      </c>
      <c r="B21" s="85">
        <v>5475</v>
      </c>
      <c r="C21" s="85" t="s">
        <v>136</v>
      </c>
      <c r="D21" s="90">
        <v>15000000</v>
      </c>
      <c r="E21" s="95">
        <v>15000000</v>
      </c>
      <c r="F21" s="85"/>
      <c r="G21" s="92"/>
    </row>
    <row r="22" spans="1:7">
      <c r="A22" s="85" t="s">
        <v>137</v>
      </c>
      <c r="B22" s="85">
        <v>5476</v>
      </c>
      <c r="C22" s="85" t="s">
        <v>138</v>
      </c>
      <c r="D22" s="90">
        <v>120000000</v>
      </c>
      <c r="E22" s="95">
        <v>120000000</v>
      </c>
      <c r="F22" s="85"/>
      <c r="G22" s="92"/>
    </row>
    <row r="23" spans="1:7">
      <c r="A23" s="85" t="s">
        <v>139</v>
      </c>
      <c r="B23" s="85">
        <v>51350</v>
      </c>
      <c r="C23" s="85" t="s">
        <v>140</v>
      </c>
      <c r="D23" s="90">
        <v>5084982</v>
      </c>
      <c r="E23" s="95">
        <v>5084982</v>
      </c>
      <c r="F23" s="85"/>
      <c r="G23" s="92"/>
    </row>
    <row r="24" spans="1:7">
      <c r="A24" s="85" t="s">
        <v>141</v>
      </c>
      <c r="B24" s="85">
        <v>51579</v>
      </c>
      <c r="C24" s="85" t="s">
        <v>216</v>
      </c>
      <c r="D24" s="90">
        <v>15000000</v>
      </c>
      <c r="E24" s="95">
        <v>15000000</v>
      </c>
      <c r="F24" s="85"/>
      <c r="G24" s="92"/>
    </row>
    <row r="25" spans="1:7">
      <c r="A25" s="85" t="s">
        <v>142</v>
      </c>
      <c r="B25" s="85">
        <v>51630</v>
      </c>
      <c r="C25" s="85" t="s">
        <v>143</v>
      </c>
      <c r="D25" s="90">
        <v>15888888</v>
      </c>
      <c r="E25" s="95">
        <v>15888888</v>
      </c>
      <c r="F25" s="85"/>
      <c r="G25" s="92"/>
    </row>
    <row r="26" spans="1:7">
      <c r="A26" s="85" t="s">
        <v>144</v>
      </c>
      <c r="B26" s="85">
        <v>5315</v>
      </c>
      <c r="C26" s="85" t="s">
        <v>217</v>
      </c>
      <c r="D26" s="90">
        <v>261600000</v>
      </c>
      <c r="E26" s="95">
        <v>261600000</v>
      </c>
      <c r="F26" s="85"/>
      <c r="G26" s="92"/>
    </row>
    <row r="27" spans="1:7">
      <c r="A27" s="85" t="s">
        <v>145</v>
      </c>
      <c r="B27" s="85">
        <v>51685</v>
      </c>
      <c r="C27" s="85" t="s">
        <v>146</v>
      </c>
      <c r="D27" s="90">
        <v>21900000</v>
      </c>
      <c r="E27" s="95">
        <v>21900000</v>
      </c>
      <c r="F27" s="85"/>
      <c r="G27" s="92"/>
    </row>
    <row r="28" spans="1:7">
      <c r="A28" s="85" t="s">
        <v>147</v>
      </c>
      <c r="B28" s="85">
        <v>51730</v>
      </c>
      <c r="C28" s="85" t="s">
        <v>148</v>
      </c>
      <c r="D28" s="90">
        <v>11546000</v>
      </c>
      <c r="E28" s="95">
        <v>11546000</v>
      </c>
      <c r="F28" s="85"/>
      <c r="G28" s="92"/>
    </row>
    <row r="29" spans="1:7">
      <c r="A29" s="85" t="s">
        <v>149</v>
      </c>
      <c r="B29" s="85">
        <v>51734</v>
      </c>
      <c r="C29" s="85" t="s">
        <v>150</v>
      </c>
      <c r="D29" s="90">
        <v>8000000</v>
      </c>
      <c r="E29" s="95">
        <v>8000000</v>
      </c>
      <c r="F29" s="85"/>
      <c r="G29" s="92"/>
    </row>
    <row r="30" spans="1:7">
      <c r="A30" s="85" t="s">
        <v>151</v>
      </c>
      <c r="B30" s="85">
        <v>51769</v>
      </c>
      <c r="C30" s="85" t="s">
        <v>152</v>
      </c>
      <c r="D30" s="90">
        <v>10821428</v>
      </c>
      <c r="E30" s="95">
        <v>10821428</v>
      </c>
      <c r="F30" s="85"/>
      <c r="G30" s="92"/>
    </row>
    <row r="31" spans="1:7">
      <c r="A31" s="85" t="s">
        <v>153</v>
      </c>
      <c r="B31" s="85">
        <v>51856</v>
      </c>
      <c r="C31" s="85" t="s">
        <v>154</v>
      </c>
      <c r="D31" s="90">
        <v>46463333</v>
      </c>
      <c r="E31" s="95">
        <v>46463333</v>
      </c>
      <c r="F31" s="85"/>
      <c r="G31" s="92"/>
    </row>
    <row r="32" spans="1:7">
      <c r="A32" s="85" t="s">
        <v>155</v>
      </c>
      <c r="B32" s="85">
        <v>51863</v>
      </c>
      <c r="C32" s="85" t="s">
        <v>156</v>
      </c>
      <c r="D32" s="90">
        <v>8500000</v>
      </c>
      <c r="E32" s="95">
        <v>8500000</v>
      </c>
      <c r="F32" s="85"/>
      <c r="G32" s="92"/>
    </row>
    <row r="33" spans="1:7">
      <c r="A33" s="85" t="s">
        <v>157</v>
      </c>
      <c r="B33" s="85">
        <v>51916</v>
      </c>
      <c r="C33" s="85" t="s">
        <v>158</v>
      </c>
      <c r="D33" s="90">
        <v>35023666</v>
      </c>
      <c r="E33" s="95">
        <v>35023666</v>
      </c>
      <c r="F33" s="85"/>
      <c r="G33" s="92"/>
    </row>
    <row r="34" spans="1:7">
      <c r="A34" s="85" t="s">
        <v>159</v>
      </c>
      <c r="B34" s="85">
        <v>51938</v>
      </c>
      <c r="C34" s="85" t="s">
        <v>160</v>
      </c>
      <c r="D34" s="90">
        <v>26277777</v>
      </c>
      <c r="E34" s="95">
        <v>26277777</v>
      </c>
      <c r="F34" s="85"/>
      <c r="G34" s="92"/>
    </row>
    <row r="35" spans="1:7">
      <c r="A35" s="85" t="s">
        <v>161</v>
      </c>
      <c r="B35" s="85">
        <v>51988</v>
      </c>
      <c r="C35" s="85" t="s">
        <v>162</v>
      </c>
      <c r="D35" s="90">
        <v>36000000</v>
      </c>
      <c r="E35" s="95">
        <v>36000000</v>
      </c>
      <c r="F35" s="85"/>
      <c r="G35" s="92"/>
    </row>
    <row r="36" spans="1:7">
      <c r="A36" s="85" t="s">
        <v>163</v>
      </c>
      <c r="B36" s="85">
        <v>52167</v>
      </c>
      <c r="C36" s="85" t="s">
        <v>164</v>
      </c>
      <c r="D36" s="90">
        <v>5285714</v>
      </c>
      <c r="E36" s="95">
        <v>5285714</v>
      </c>
      <c r="F36" s="85"/>
      <c r="G36" s="92"/>
    </row>
    <row r="37" spans="1:7">
      <c r="A37" s="85" t="s">
        <v>165</v>
      </c>
      <c r="B37" s="85">
        <v>52186</v>
      </c>
      <c r="C37" s="85" t="s">
        <v>166</v>
      </c>
      <c r="D37" s="90">
        <v>4900000</v>
      </c>
      <c r="E37" s="95">
        <v>4900000</v>
      </c>
      <c r="F37" s="85"/>
      <c r="G37" s="92"/>
    </row>
    <row r="38" spans="1:7">
      <c r="A38" s="85" t="s">
        <v>167</v>
      </c>
      <c r="B38" s="85">
        <v>52259</v>
      </c>
      <c r="C38" s="85" t="s">
        <v>168</v>
      </c>
      <c r="D38" s="90">
        <v>51500000</v>
      </c>
      <c r="E38" s="95">
        <v>51500000</v>
      </c>
      <c r="F38" s="85"/>
      <c r="G38" s="92"/>
    </row>
    <row r="39" spans="1:7">
      <c r="A39" s="85" t="s">
        <v>169</v>
      </c>
      <c r="B39" s="85">
        <v>52261</v>
      </c>
      <c r="C39" s="85" t="s">
        <v>170</v>
      </c>
      <c r="D39" s="90">
        <v>50000000</v>
      </c>
      <c r="E39" s="95">
        <v>50000000</v>
      </c>
      <c r="F39" s="85"/>
      <c r="G39" s="92"/>
    </row>
    <row r="40" spans="1:7">
      <c r="A40" s="85" t="s">
        <v>171</v>
      </c>
      <c r="B40" s="85">
        <v>52320</v>
      </c>
      <c r="C40" s="85" t="s">
        <v>172</v>
      </c>
      <c r="D40" s="90">
        <v>80000000</v>
      </c>
      <c r="E40" s="95">
        <v>80000000</v>
      </c>
      <c r="F40" s="85"/>
      <c r="G40" s="92"/>
    </row>
    <row r="41" spans="1:7">
      <c r="A41" s="85" t="s">
        <v>173</v>
      </c>
      <c r="B41" s="85">
        <v>5480</v>
      </c>
      <c r="C41" s="85" t="s">
        <v>218</v>
      </c>
      <c r="D41" s="90">
        <v>70000000</v>
      </c>
      <c r="E41" s="95">
        <v>70000000</v>
      </c>
      <c r="F41" s="85"/>
      <c r="G41" s="92"/>
    </row>
    <row r="42" spans="1:7">
      <c r="A42" s="85" t="s">
        <v>174</v>
      </c>
      <c r="B42" s="85">
        <v>92583</v>
      </c>
      <c r="C42" s="85" t="s">
        <v>175</v>
      </c>
      <c r="D42" s="90">
        <v>3000000</v>
      </c>
      <c r="E42" s="95">
        <v>3000000</v>
      </c>
      <c r="F42" s="85"/>
      <c r="G42" s="92"/>
    </row>
    <row r="43" spans="1:7">
      <c r="A43" s="85" t="s">
        <v>176</v>
      </c>
      <c r="B43" s="85">
        <v>52407</v>
      </c>
      <c r="C43" s="85" t="s">
        <v>177</v>
      </c>
      <c r="D43" s="90">
        <v>82000000</v>
      </c>
      <c r="E43" s="95">
        <v>82000000</v>
      </c>
      <c r="F43" s="85"/>
      <c r="G43" s="92"/>
    </row>
    <row r="44" spans="1:7">
      <c r="A44" s="85" t="s">
        <v>178</v>
      </c>
      <c r="B44" s="85">
        <v>52435</v>
      </c>
      <c r="C44" s="85" t="s">
        <v>179</v>
      </c>
      <c r="D44" s="90">
        <v>3276500</v>
      </c>
      <c r="E44" s="95">
        <v>3276500</v>
      </c>
      <c r="F44" s="85"/>
      <c r="G44" s="92"/>
    </row>
    <row r="45" spans="1:7">
      <c r="A45" s="85"/>
      <c r="B45" s="85"/>
      <c r="C45" s="85"/>
      <c r="D45" s="90"/>
      <c r="F45" s="85"/>
      <c r="G45" s="92"/>
    </row>
    <row r="46" spans="1:7">
      <c r="A46" s="85"/>
      <c r="B46" s="85"/>
      <c r="C46" s="85"/>
      <c r="D46" s="90"/>
      <c r="F46" s="85"/>
      <c r="G46" s="92"/>
    </row>
    <row r="47" spans="1:7">
      <c r="A47" s="85"/>
      <c r="B47" s="85"/>
      <c r="C47" s="85"/>
      <c r="D47" s="85"/>
    </row>
    <row r="48" spans="1:7">
      <c r="A48" s="85"/>
      <c r="B48" s="85"/>
      <c r="C48" s="85"/>
      <c r="D48" s="8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2"/>
  <sheetViews>
    <sheetView workbookViewId="0">
      <selection activeCell="H18" sqref="H18"/>
    </sheetView>
  </sheetViews>
  <sheetFormatPr baseColWidth="10" defaultRowHeight="15"/>
  <cols>
    <col min="1" max="1" width="15.140625" bestFit="1" customWidth="1"/>
    <col min="3" max="3" width="33.5703125" bestFit="1" customWidth="1"/>
    <col min="4" max="5" width="11.42578125" style="82"/>
  </cols>
  <sheetData>
    <row r="1" spans="1:13">
      <c r="A1" s="83">
        <v>30030</v>
      </c>
      <c r="B1" s="83" t="s">
        <v>183</v>
      </c>
      <c r="C1" s="83" t="s">
        <v>184</v>
      </c>
      <c r="D1" s="84">
        <v>42816</v>
      </c>
      <c r="E1" s="84">
        <v>43179</v>
      </c>
      <c r="F1" s="83">
        <v>363</v>
      </c>
      <c r="G1" s="83">
        <v>2220623</v>
      </c>
      <c r="H1" s="83">
        <v>23300000</v>
      </c>
      <c r="I1" s="83">
        <v>21</v>
      </c>
      <c r="J1" s="83">
        <v>4866188.99</v>
      </c>
      <c r="K1" s="83">
        <v>28166188.989999998</v>
      </c>
      <c r="L1" s="83">
        <v>111195862</v>
      </c>
      <c r="M1" s="83"/>
    </row>
    <row r="2" spans="1:13">
      <c r="A2" s="83">
        <v>30090</v>
      </c>
      <c r="B2" s="83" t="s">
        <v>183</v>
      </c>
      <c r="C2" s="83" t="s">
        <v>185</v>
      </c>
      <c r="D2" s="84">
        <v>42821</v>
      </c>
      <c r="E2" s="84">
        <v>43181</v>
      </c>
      <c r="F2" s="83">
        <v>360</v>
      </c>
      <c r="G2" s="83">
        <v>1507553</v>
      </c>
      <c r="H2" s="83">
        <v>65000000</v>
      </c>
      <c r="I2" s="83">
        <v>21.25</v>
      </c>
      <c r="J2" s="83">
        <v>13623287.67</v>
      </c>
      <c r="K2" s="83">
        <v>78623287.670000002</v>
      </c>
      <c r="L2" s="83">
        <v>111195862</v>
      </c>
      <c r="M2" s="83"/>
    </row>
    <row r="3" spans="1:13">
      <c r="A3" s="83">
        <v>30091</v>
      </c>
      <c r="B3" s="83" t="s">
        <v>183</v>
      </c>
      <c r="C3" s="83" t="s">
        <v>186</v>
      </c>
      <c r="D3" s="84">
        <v>42821</v>
      </c>
      <c r="E3" s="84">
        <v>43181</v>
      </c>
      <c r="F3" s="83">
        <v>360</v>
      </c>
      <c r="G3" s="83">
        <v>7843520</v>
      </c>
      <c r="H3" s="83">
        <v>50000000</v>
      </c>
      <c r="I3" s="83">
        <v>21</v>
      </c>
      <c r="J3" s="83">
        <v>10356164.380000001</v>
      </c>
      <c r="K3" s="83">
        <v>60356164.380000003</v>
      </c>
      <c r="L3" s="83">
        <v>111195862</v>
      </c>
      <c r="M3" s="83"/>
    </row>
    <row r="4" spans="1:13">
      <c r="A4" s="83">
        <v>30114</v>
      </c>
      <c r="B4" s="83" t="s">
        <v>183</v>
      </c>
      <c r="C4" s="83" t="s">
        <v>187</v>
      </c>
      <c r="D4" s="84">
        <v>42824</v>
      </c>
      <c r="E4" s="84">
        <v>43181</v>
      </c>
      <c r="F4" s="83">
        <v>357</v>
      </c>
      <c r="G4" s="83">
        <v>2044407</v>
      </c>
      <c r="H4" s="83">
        <v>15700000</v>
      </c>
      <c r="I4" s="83">
        <v>20.6</v>
      </c>
      <c r="J4" s="83">
        <v>3163313.42</v>
      </c>
      <c r="K4" s="83">
        <v>18863313.420000002</v>
      </c>
      <c r="L4" s="83">
        <v>111195862</v>
      </c>
      <c r="M4" s="83"/>
    </row>
    <row r="5" spans="1:13">
      <c r="A5" s="83">
        <v>30252</v>
      </c>
      <c r="B5" s="83" t="s">
        <v>183</v>
      </c>
      <c r="C5" s="83" t="s">
        <v>187</v>
      </c>
      <c r="D5" s="84">
        <v>42872</v>
      </c>
      <c r="E5" s="84">
        <v>43230</v>
      </c>
      <c r="F5" s="83">
        <v>358</v>
      </c>
      <c r="G5" s="83">
        <v>2113646</v>
      </c>
      <c r="H5" s="83">
        <v>8333000</v>
      </c>
      <c r="I5" s="83">
        <v>22.25</v>
      </c>
      <c r="J5" s="83">
        <v>1818534.56</v>
      </c>
      <c r="K5" s="83">
        <v>10151534.560000001</v>
      </c>
      <c r="L5" s="83">
        <v>111195862</v>
      </c>
      <c r="M5" s="83"/>
    </row>
    <row r="6" spans="1:13">
      <c r="A6" s="83">
        <v>30785</v>
      </c>
      <c r="B6" s="83" t="s">
        <v>183</v>
      </c>
      <c r="C6" s="83" t="s">
        <v>187</v>
      </c>
      <c r="D6" s="84">
        <v>43054</v>
      </c>
      <c r="E6" s="84">
        <v>43234</v>
      </c>
      <c r="F6" s="83">
        <v>180</v>
      </c>
      <c r="G6" s="83">
        <v>2237319</v>
      </c>
      <c r="H6" s="83">
        <v>60973000</v>
      </c>
      <c r="I6" s="83">
        <v>26.8</v>
      </c>
      <c r="J6" s="83">
        <v>8058458.9199999999</v>
      </c>
      <c r="K6" s="83">
        <v>69031458.920000002</v>
      </c>
      <c r="L6" s="83">
        <v>111195862</v>
      </c>
      <c r="M6" s="83"/>
    </row>
    <row r="7" spans="1:13">
      <c r="A7" s="83">
        <v>30786</v>
      </c>
      <c r="B7" s="83" t="s">
        <v>183</v>
      </c>
      <c r="C7" s="83" t="s">
        <v>186</v>
      </c>
      <c r="D7" s="84">
        <v>43055</v>
      </c>
      <c r="E7" s="84">
        <v>43416</v>
      </c>
      <c r="F7" s="83">
        <v>361</v>
      </c>
      <c r="G7" s="83">
        <v>7843914</v>
      </c>
      <c r="H7" s="83">
        <v>40000000</v>
      </c>
      <c r="I7" s="83">
        <v>27</v>
      </c>
      <c r="J7" s="83">
        <v>10681643.84</v>
      </c>
      <c r="K7" s="83">
        <v>50681643.840000004</v>
      </c>
      <c r="L7" s="83">
        <v>111195862</v>
      </c>
      <c r="M7" s="83"/>
    </row>
    <row r="8" spans="1:13">
      <c r="A8" s="83">
        <v>30787</v>
      </c>
      <c r="B8" s="83" t="s">
        <v>183</v>
      </c>
      <c r="C8" s="83" t="s">
        <v>186</v>
      </c>
      <c r="D8" s="84">
        <v>43055</v>
      </c>
      <c r="E8" s="84">
        <v>43416</v>
      </c>
      <c r="F8" s="83">
        <v>361</v>
      </c>
      <c r="G8" s="83">
        <v>7843913</v>
      </c>
      <c r="H8" s="83">
        <v>40000000</v>
      </c>
      <c r="I8" s="83">
        <v>27</v>
      </c>
      <c r="J8" s="83">
        <v>10681643.84</v>
      </c>
      <c r="K8" s="83">
        <v>50681643.840000004</v>
      </c>
      <c r="L8" s="83">
        <v>111195862</v>
      </c>
      <c r="M8" s="83"/>
    </row>
    <row r="9" spans="1:13">
      <c r="A9" s="83">
        <v>30873</v>
      </c>
      <c r="B9" s="83" t="s">
        <v>183</v>
      </c>
      <c r="C9" s="83" t="s">
        <v>187</v>
      </c>
      <c r="D9" s="84">
        <v>43067</v>
      </c>
      <c r="E9" s="84">
        <v>43432</v>
      </c>
      <c r="F9" s="83">
        <v>365</v>
      </c>
      <c r="G9" s="83">
        <v>2237408</v>
      </c>
      <c r="H9" s="83">
        <v>13880000</v>
      </c>
      <c r="I9" s="83">
        <v>26.9</v>
      </c>
      <c r="J9" s="83">
        <v>3733720</v>
      </c>
      <c r="K9" s="83">
        <v>17613720</v>
      </c>
      <c r="L9" s="83">
        <v>111195862</v>
      </c>
      <c r="M9" s="83"/>
    </row>
    <row r="10" spans="1:13">
      <c r="A10" s="83">
        <v>30878</v>
      </c>
      <c r="B10" s="83" t="s">
        <v>183</v>
      </c>
      <c r="C10" s="83" t="s">
        <v>188</v>
      </c>
      <c r="D10" s="84">
        <v>43080</v>
      </c>
      <c r="E10" s="84">
        <v>43110</v>
      </c>
      <c r="F10" s="83">
        <v>30</v>
      </c>
      <c r="G10" s="83">
        <v>2442280</v>
      </c>
      <c r="H10" s="83">
        <v>10247131.289999999</v>
      </c>
      <c r="I10" s="83">
        <v>24</v>
      </c>
      <c r="J10" s="83">
        <v>202135.19</v>
      </c>
      <c r="K10" s="83">
        <v>10449266.48</v>
      </c>
      <c r="L10" s="83">
        <v>111195862</v>
      </c>
      <c r="M10" s="83"/>
    </row>
    <row r="11" spans="1:13">
      <c r="A11" s="83"/>
      <c r="B11" s="83"/>
      <c r="C11" s="83"/>
      <c r="D11" s="84"/>
      <c r="E11" s="84"/>
      <c r="F11" s="83"/>
      <c r="G11" s="83"/>
      <c r="H11" s="83"/>
      <c r="I11" s="83"/>
      <c r="J11" s="83"/>
      <c r="K11" s="83"/>
      <c r="L11" s="83"/>
      <c r="M11" s="83"/>
    </row>
    <row r="12" spans="1:13">
      <c r="A12" s="83"/>
      <c r="B12" s="83"/>
      <c r="C12" s="83"/>
      <c r="D12" s="84"/>
      <c r="E12" s="84"/>
      <c r="F12" s="83"/>
      <c r="G12" s="83"/>
      <c r="H12" s="83"/>
      <c r="I12" s="83"/>
      <c r="J12" s="83"/>
      <c r="K12" s="83"/>
      <c r="L12" s="83"/>
      <c r="M12" s="8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J24" sqref="J24"/>
    </sheetView>
  </sheetViews>
  <sheetFormatPr baseColWidth="10" defaultRowHeight="15"/>
  <cols>
    <col min="1" max="1" width="15.140625" bestFit="1" customWidth="1"/>
    <col min="3" max="3" width="33.5703125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G32" sqref="G32"/>
    </sheetView>
  </sheetViews>
  <sheetFormatPr baseColWidth="10" defaultRowHeight="15"/>
  <cols>
    <col min="1" max="1" width="15.140625" bestFit="1" customWidth="1"/>
    <col min="3" max="3" width="33.5703125" bestFit="1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1"/>
  <sheetViews>
    <sheetView topLeftCell="A16" workbookViewId="0">
      <selection activeCell="A52" sqref="A52"/>
    </sheetView>
  </sheetViews>
  <sheetFormatPr baseColWidth="10" defaultRowHeight="15"/>
  <cols>
    <col min="1" max="1" width="41.42578125" bestFit="1" customWidth="1"/>
    <col min="2" max="2" width="15.140625" bestFit="1" customWidth="1"/>
  </cols>
  <sheetData>
    <row r="1" spans="1:7">
      <c r="A1" t="s">
        <v>27</v>
      </c>
      <c r="B1" t="s">
        <v>110</v>
      </c>
      <c r="C1">
        <v>5327</v>
      </c>
    </row>
    <row r="2" spans="1:7">
      <c r="A2" t="s">
        <v>59</v>
      </c>
      <c r="B2" t="s">
        <v>111</v>
      </c>
      <c r="C2">
        <v>52584</v>
      </c>
      <c r="E2" s="85"/>
      <c r="F2" s="85"/>
      <c r="G2" s="85"/>
    </row>
    <row r="3" spans="1:7">
      <c r="A3" t="s">
        <v>192</v>
      </c>
      <c r="B3">
        <v>0</v>
      </c>
      <c r="C3">
        <v>46824</v>
      </c>
      <c r="E3" s="85"/>
      <c r="F3" s="85"/>
      <c r="G3" s="85"/>
    </row>
    <row r="4" spans="1:7">
      <c r="A4" t="s">
        <v>193</v>
      </c>
      <c r="B4">
        <v>0</v>
      </c>
      <c r="C4">
        <v>46825</v>
      </c>
      <c r="E4" s="85"/>
      <c r="F4" s="85"/>
      <c r="G4" s="85"/>
    </row>
    <row r="5" spans="1:7">
      <c r="A5" t="s">
        <v>194</v>
      </c>
      <c r="B5">
        <v>0</v>
      </c>
      <c r="C5">
        <v>46827</v>
      </c>
      <c r="E5" s="85"/>
      <c r="F5" s="85"/>
      <c r="G5" s="85"/>
    </row>
    <row r="6" spans="1:7" s="85" customFormat="1">
      <c r="A6" s="85" t="s">
        <v>195</v>
      </c>
      <c r="B6" s="85">
        <v>0</v>
      </c>
      <c r="C6" s="85">
        <v>46828</v>
      </c>
    </row>
    <row r="7" spans="1:7">
      <c r="A7" t="s">
        <v>23</v>
      </c>
      <c r="B7" t="s">
        <v>113</v>
      </c>
      <c r="C7">
        <v>2571</v>
      </c>
      <c r="E7" s="85"/>
      <c r="F7" s="85"/>
      <c r="G7" s="85"/>
    </row>
    <row r="8" spans="1:7">
      <c r="A8" t="s">
        <v>33</v>
      </c>
      <c r="B8" t="s">
        <v>114</v>
      </c>
      <c r="C8">
        <v>2405</v>
      </c>
      <c r="E8" s="85"/>
      <c r="F8" s="85"/>
      <c r="G8" s="85"/>
    </row>
    <row r="9" spans="1:7">
      <c r="A9" t="s">
        <v>95</v>
      </c>
      <c r="B9" t="s">
        <v>116</v>
      </c>
      <c r="C9">
        <v>38678</v>
      </c>
      <c r="E9" s="85"/>
      <c r="F9" s="85"/>
      <c r="G9" s="85"/>
    </row>
    <row r="10" spans="1:7">
      <c r="A10" t="str">
        <f>+Valuacion!A85</f>
        <v>IMPSA - OMPE11</v>
      </c>
      <c r="B10" t="s">
        <v>118</v>
      </c>
      <c r="C10">
        <v>38679</v>
      </c>
      <c r="E10" s="85"/>
      <c r="F10" s="85"/>
      <c r="G10" s="85"/>
    </row>
    <row r="11" spans="1:7">
      <c r="A11" t="s">
        <v>16</v>
      </c>
      <c r="B11" t="s">
        <v>120</v>
      </c>
      <c r="C11">
        <v>5454</v>
      </c>
      <c r="E11" s="85"/>
      <c r="F11" s="85"/>
      <c r="G11" s="85"/>
    </row>
    <row r="12" spans="1:7">
      <c r="A12" t="s">
        <v>82</v>
      </c>
      <c r="B12" t="s">
        <v>121</v>
      </c>
      <c r="C12">
        <v>90154</v>
      </c>
      <c r="E12" s="85"/>
      <c r="F12" s="85"/>
      <c r="G12" s="85"/>
    </row>
    <row r="13" spans="1:7">
      <c r="A13" t="s">
        <v>36</v>
      </c>
      <c r="B13" t="s">
        <v>123</v>
      </c>
      <c r="C13">
        <v>5462</v>
      </c>
      <c r="E13" s="85"/>
      <c r="F13" s="85"/>
      <c r="G13" s="85"/>
    </row>
    <row r="14" spans="1:7">
      <c r="A14" s="87" t="s">
        <v>200</v>
      </c>
      <c r="B14" t="s">
        <v>124</v>
      </c>
      <c r="C14">
        <v>50108</v>
      </c>
      <c r="E14" s="85"/>
      <c r="F14" s="85"/>
      <c r="G14" s="85"/>
    </row>
    <row r="15" spans="1:7">
      <c r="A15" t="s">
        <v>93</v>
      </c>
      <c r="B15" t="s">
        <v>126</v>
      </c>
      <c r="C15">
        <v>50879</v>
      </c>
      <c r="E15" s="85"/>
      <c r="F15" s="85"/>
      <c r="G15" s="85"/>
    </row>
    <row r="16" spans="1:7">
      <c r="A16" t="s">
        <v>12</v>
      </c>
      <c r="B16" t="s">
        <v>128</v>
      </c>
      <c r="C16">
        <v>5467</v>
      </c>
      <c r="E16" s="85"/>
      <c r="F16" s="85"/>
      <c r="G16" s="85"/>
    </row>
    <row r="17" spans="1:7">
      <c r="A17" t="s">
        <v>198</v>
      </c>
      <c r="B17" t="s">
        <v>129</v>
      </c>
      <c r="C17">
        <v>51035</v>
      </c>
      <c r="E17" s="85"/>
      <c r="F17" s="85"/>
      <c r="G17" s="85"/>
    </row>
    <row r="18" spans="1:7">
      <c r="A18" t="s">
        <v>199</v>
      </c>
      <c r="B18" t="s">
        <v>131</v>
      </c>
      <c r="C18">
        <v>51097</v>
      </c>
      <c r="E18" s="85"/>
      <c r="F18" s="85"/>
      <c r="G18" s="85"/>
    </row>
    <row r="19" spans="1:7">
      <c r="A19" t="s">
        <v>203</v>
      </c>
      <c r="B19" t="s">
        <v>133</v>
      </c>
      <c r="C19">
        <v>51296</v>
      </c>
      <c r="E19" s="85"/>
      <c r="F19" s="85"/>
      <c r="G19" s="85"/>
    </row>
    <row r="20" spans="1:7">
      <c r="A20" t="s">
        <v>14</v>
      </c>
      <c r="B20" t="s">
        <v>135</v>
      </c>
      <c r="C20">
        <v>5475</v>
      </c>
      <c r="E20" s="85"/>
      <c r="F20" s="85"/>
      <c r="G20" s="85"/>
    </row>
    <row r="21" spans="1:7">
      <c r="A21" t="s">
        <v>18</v>
      </c>
      <c r="B21" t="s">
        <v>137</v>
      </c>
      <c r="C21">
        <v>5476</v>
      </c>
      <c r="E21" s="85"/>
      <c r="F21" s="85"/>
      <c r="G21" s="85"/>
    </row>
    <row r="22" spans="1:7">
      <c r="A22" t="s">
        <v>201</v>
      </c>
      <c r="B22" t="s">
        <v>139</v>
      </c>
      <c r="C22">
        <v>51350</v>
      </c>
      <c r="E22" s="85"/>
      <c r="F22" s="85"/>
      <c r="G22" s="85"/>
    </row>
    <row r="23" spans="1:7">
      <c r="A23" t="s">
        <v>57</v>
      </c>
      <c r="B23" t="s">
        <v>141</v>
      </c>
      <c r="C23">
        <v>51579</v>
      </c>
      <c r="E23" s="85"/>
      <c r="F23" s="85"/>
      <c r="G23" s="85"/>
    </row>
    <row r="24" spans="1:7">
      <c r="A24" t="s">
        <v>50</v>
      </c>
      <c r="B24" t="s">
        <v>142</v>
      </c>
      <c r="C24">
        <v>51630</v>
      </c>
      <c r="E24" s="85"/>
      <c r="F24" s="85"/>
      <c r="G24" s="85"/>
    </row>
    <row r="25" spans="1:7">
      <c r="A25" t="s">
        <v>30</v>
      </c>
      <c r="B25" t="s">
        <v>144</v>
      </c>
      <c r="C25">
        <v>5315</v>
      </c>
      <c r="E25" s="85"/>
      <c r="F25" s="85"/>
      <c r="G25" s="85"/>
    </row>
    <row r="26" spans="1:7">
      <c r="A26" t="s">
        <v>63</v>
      </c>
      <c r="B26" t="s">
        <v>145</v>
      </c>
      <c r="C26">
        <v>51685</v>
      </c>
      <c r="E26" s="85"/>
      <c r="F26" s="85"/>
      <c r="G26" s="85"/>
    </row>
    <row r="27" spans="1:7">
      <c r="A27" t="s">
        <v>52</v>
      </c>
      <c r="B27" t="s">
        <v>147</v>
      </c>
      <c r="C27">
        <v>51730</v>
      </c>
      <c r="E27" s="85"/>
      <c r="F27" s="85"/>
      <c r="G27" s="85"/>
    </row>
    <row r="28" spans="1:7">
      <c r="A28" t="s">
        <v>191</v>
      </c>
      <c r="B28" t="s">
        <v>149</v>
      </c>
      <c r="C28">
        <v>51734</v>
      </c>
      <c r="E28" s="85"/>
      <c r="F28" s="85"/>
      <c r="G28" s="85"/>
    </row>
    <row r="29" spans="1:7">
      <c r="A29" t="s">
        <v>72</v>
      </c>
      <c r="B29" t="s">
        <v>151</v>
      </c>
      <c r="C29">
        <v>51769</v>
      </c>
      <c r="E29" s="85"/>
      <c r="F29" s="85"/>
      <c r="G29" s="85"/>
    </row>
    <row r="30" spans="1:7">
      <c r="A30" t="s">
        <v>66</v>
      </c>
      <c r="B30" t="s">
        <v>153</v>
      </c>
      <c r="C30">
        <v>51856</v>
      </c>
      <c r="E30" s="85"/>
      <c r="F30" s="85"/>
      <c r="G30" s="85"/>
    </row>
    <row r="31" spans="1:7">
      <c r="A31" t="s">
        <v>80</v>
      </c>
      <c r="B31" t="s">
        <v>155</v>
      </c>
      <c r="C31">
        <v>51863</v>
      </c>
      <c r="E31" s="85"/>
      <c r="F31" s="85"/>
      <c r="G31" s="85"/>
    </row>
    <row r="32" spans="1:7">
      <c r="A32" t="s">
        <v>75</v>
      </c>
      <c r="B32" t="s">
        <v>157</v>
      </c>
      <c r="C32">
        <v>51916</v>
      </c>
      <c r="E32" s="85"/>
      <c r="F32" s="85"/>
      <c r="G32" s="85"/>
    </row>
    <row r="33" spans="1:7">
      <c r="A33" t="s">
        <v>190</v>
      </c>
      <c r="B33" t="s">
        <v>159</v>
      </c>
      <c r="C33">
        <v>51938</v>
      </c>
      <c r="E33" s="85"/>
      <c r="F33" s="85"/>
      <c r="G33" s="85"/>
    </row>
    <row r="34" spans="1:7">
      <c r="A34" t="s">
        <v>71</v>
      </c>
      <c r="B34" t="s">
        <v>161</v>
      </c>
      <c r="C34">
        <v>51988</v>
      </c>
      <c r="E34" s="85"/>
      <c r="F34" s="85"/>
      <c r="G34" s="85"/>
    </row>
    <row r="35" spans="1:7">
      <c r="A35" t="s">
        <v>55</v>
      </c>
      <c r="B35" t="s">
        <v>163</v>
      </c>
      <c r="C35">
        <v>52167</v>
      </c>
      <c r="E35" s="85"/>
      <c r="F35" s="85"/>
      <c r="G35" s="85"/>
    </row>
    <row r="36" spans="1:7">
      <c r="A36" t="s">
        <v>69</v>
      </c>
      <c r="B36" t="s">
        <v>165</v>
      </c>
      <c r="C36">
        <v>52186</v>
      </c>
      <c r="E36" s="85"/>
      <c r="F36" s="85"/>
      <c r="G36" s="85"/>
    </row>
    <row r="37" spans="1:7">
      <c r="A37" t="s">
        <v>43</v>
      </c>
      <c r="B37" t="s">
        <v>167</v>
      </c>
      <c r="C37">
        <v>52259</v>
      </c>
      <c r="E37" s="85"/>
      <c r="F37" s="85"/>
      <c r="G37" s="85"/>
    </row>
    <row r="38" spans="1:7">
      <c r="A38" t="s">
        <v>46</v>
      </c>
      <c r="B38" t="s">
        <v>169</v>
      </c>
      <c r="C38">
        <v>52261</v>
      </c>
      <c r="E38" s="85"/>
      <c r="F38" s="85"/>
      <c r="G38" s="85"/>
    </row>
    <row r="39" spans="1:7">
      <c r="A39" t="s">
        <v>42</v>
      </c>
      <c r="B39" t="s">
        <v>171</v>
      </c>
      <c r="C39">
        <v>52320</v>
      </c>
      <c r="E39" s="85"/>
      <c r="F39" s="85"/>
      <c r="G39" s="85"/>
    </row>
    <row r="40" spans="1:7">
      <c r="A40" t="s">
        <v>21</v>
      </c>
      <c r="B40" t="s">
        <v>173</v>
      </c>
      <c r="C40">
        <v>5480</v>
      </c>
      <c r="E40" s="85"/>
      <c r="F40" s="85"/>
      <c r="G40" s="85"/>
    </row>
    <row r="41" spans="1:7">
      <c r="A41" t="s">
        <v>39</v>
      </c>
      <c r="B41" t="s">
        <v>174</v>
      </c>
      <c r="C41">
        <v>92583</v>
      </c>
      <c r="E41" s="85"/>
      <c r="F41" s="85"/>
      <c r="G41" s="85"/>
    </row>
    <row r="42" spans="1:7">
      <c r="A42" t="s">
        <v>202</v>
      </c>
      <c r="B42" t="s">
        <v>176</v>
      </c>
      <c r="C42">
        <v>52407</v>
      </c>
      <c r="E42" s="85"/>
      <c r="F42" s="85"/>
      <c r="G42" s="85"/>
    </row>
    <row r="43" spans="1:7">
      <c r="A43" t="s">
        <v>48</v>
      </c>
      <c r="B43" t="s">
        <v>178</v>
      </c>
      <c r="C43">
        <v>52435</v>
      </c>
      <c r="E43" s="85"/>
      <c r="F43" s="85"/>
      <c r="G43" s="85"/>
    </row>
    <row r="44" spans="1:7">
      <c r="A44" t="s">
        <v>107</v>
      </c>
      <c r="B44" t="s">
        <v>182</v>
      </c>
      <c r="C44">
        <v>5458</v>
      </c>
      <c r="E44" s="85"/>
      <c r="F44" s="85"/>
      <c r="G44" s="85"/>
    </row>
    <row r="45" spans="1:7">
      <c r="A45" t="s">
        <v>223</v>
      </c>
      <c r="B45" t="s">
        <v>208</v>
      </c>
      <c r="C45">
        <v>52897</v>
      </c>
    </row>
    <row r="46" spans="1:7">
      <c r="A46" t="s">
        <v>224</v>
      </c>
      <c r="B46" t="s">
        <v>211</v>
      </c>
      <c r="C46">
        <v>53068</v>
      </c>
    </row>
    <row r="47" spans="1:7">
      <c r="A47" s="85" t="s">
        <v>220</v>
      </c>
      <c r="B47" s="85" t="s">
        <v>219</v>
      </c>
      <c r="C47" s="85">
        <v>99924</v>
      </c>
    </row>
    <row r="48" spans="1:7">
      <c r="A48" s="85" t="s">
        <v>222</v>
      </c>
      <c r="B48" s="85" t="s">
        <v>221</v>
      </c>
      <c r="C48" s="85">
        <v>89545</v>
      </c>
    </row>
    <row r="49" spans="1:3">
      <c r="A49" t="s">
        <v>348</v>
      </c>
      <c r="B49" t="s">
        <v>349</v>
      </c>
      <c r="C49">
        <v>11111</v>
      </c>
    </row>
    <row r="50" spans="1:3">
      <c r="A50" t="s">
        <v>354</v>
      </c>
      <c r="B50" t="s">
        <v>355</v>
      </c>
      <c r="C50" s="103">
        <v>11111</v>
      </c>
    </row>
    <row r="51" spans="1:3">
      <c r="A51" t="s">
        <v>359</v>
      </c>
      <c r="B51" t="s">
        <v>360</v>
      </c>
      <c r="C51" s="103">
        <v>11111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L49"/>
  <sheetViews>
    <sheetView topLeftCell="C10" zoomScale="90" zoomScaleNormal="90" workbookViewId="0">
      <selection activeCell="C45" sqref="C45"/>
    </sheetView>
  </sheetViews>
  <sheetFormatPr baseColWidth="10" defaultRowHeight="15" outlineLevelCol="2"/>
  <cols>
    <col min="1" max="1" width="73.85546875" style="96" hidden="1" customWidth="1" outlineLevel="2"/>
    <col min="2" max="2" width="54" style="96" hidden="1" customWidth="1" outlineLevel="2"/>
    <col min="3" max="3" width="39" style="96" bestFit="1" customWidth="1" collapsed="1"/>
    <col min="4" max="5" width="11.42578125" style="97" customWidth="1"/>
    <col min="6" max="6" width="11.42578125" style="98" customWidth="1"/>
    <col min="7" max="8" width="11.42578125" style="99"/>
    <col min="9" max="9" width="39" style="96" bestFit="1" customWidth="1" collapsed="1"/>
    <col min="10" max="10" width="39" style="96" customWidth="1"/>
    <col min="11" max="248" width="11.42578125" style="85"/>
    <col min="249" max="250" width="0" style="85" hidden="1" customWidth="1"/>
    <col min="251" max="251" width="39" style="85" bestFit="1" customWidth="1"/>
    <col min="252" max="254" width="11.42578125" style="85" customWidth="1"/>
    <col min="255" max="256" width="11.42578125" style="85"/>
    <col min="257" max="257" width="39" style="85" bestFit="1" customWidth="1"/>
    <col min="258" max="258" width="39" style="85" customWidth="1"/>
    <col min="259" max="504" width="11.42578125" style="85"/>
    <col min="505" max="506" width="0" style="85" hidden="1" customWidth="1"/>
    <col min="507" max="507" width="39" style="85" bestFit="1" customWidth="1"/>
    <col min="508" max="510" width="11.42578125" style="85" customWidth="1"/>
    <col min="511" max="512" width="11.42578125" style="85"/>
    <col min="513" max="513" width="39" style="85" bestFit="1" customWidth="1"/>
    <col min="514" max="514" width="39" style="85" customWidth="1"/>
    <col min="515" max="760" width="11.42578125" style="85"/>
    <col min="761" max="762" width="0" style="85" hidden="1" customWidth="1"/>
    <col min="763" max="763" width="39" style="85" bestFit="1" customWidth="1"/>
    <col min="764" max="766" width="11.42578125" style="85" customWidth="1"/>
    <col min="767" max="768" width="11.42578125" style="85"/>
    <col min="769" max="769" width="39" style="85" bestFit="1" customWidth="1"/>
    <col min="770" max="770" width="39" style="85" customWidth="1"/>
    <col min="771" max="1016" width="11.42578125" style="85"/>
    <col min="1017" max="1018" width="0" style="85" hidden="1" customWidth="1"/>
    <col min="1019" max="1019" width="39" style="85" bestFit="1" customWidth="1"/>
    <col min="1020" max="1022" width="11.42578125" style="85" customWidth="1"/>
    <col min="1023" max="1024" width="11.42578125" style="85"/>
    <col min="1025" max="1025" width="39" style="85" bestFit="1" customWidth="1"/>
    <col min="1026" max="1026" width="39" style="85" customWidth="1"/>
    <col min="1027" max="1272" width="11.42578125" style="85"/>
    <col min="1273" max="1274" width="0" style="85" hidden="1" customWidth="1"/>
    <col min="1275" max="1275" width="39" style="85" bestFit="1" customWidth="1"/>
    <col min="1276" max="1278" width="11.42578125" style="85" customWidth="1"/>
    <col min="1279" max="1280" width="11.42578125" style="85"/>
    <col min="1281" max="1281" width="39" style="85" bestFit="1" customWidth="1"/>
    <col min="1282" max="1282" width="39" style="85" customWidth="1"/>
    <col min="1283" max="1528" width="11.42578125" style="85"/>
    <col min="1529" max="1530" width="0" style="85" hidden="1" customWidth="1"/>
    <col min="1531" max="1531" width="39" style="85" bestFit="1" customWidth="1"/>
    <col min="1532" max="1534" width="11.42578125" style="85" customWidth="1"/>
    <col min="1535" max="1536" width="11.42578125" style="85"/>
    <col min="1537" max="1537" width="39" style="85" bestFit="1" customWidth="1"/>
    <col min="1538" max="1538" width="39" style="85" customWidth="1"/>
    <col min="1539" max="1784" width="11.42578125" style="85"/>
    <col min="1785" max="1786" width="0" style="85" hidden="1" customWidth="1"/>
    <col min="1787" max="1787" width="39" style="85" bestFit="1" customWidth="1"/>
    <col min="1788" max="1790" width="11.42578125" style="85" customWidth="1"/>
    <col min="1791" max="1792" width="11.42578125" style="85"/>
    <col min="1793" max="1793" width="39" style="85" bestFit="1" customWidth="1"/>
    <col min="1794" max="1794" width="39" style="85" customWidth="1"/>
    <col min="1795" max="2040" width="11.42578125" style="85"/>
    <col min="2041" max="2042" width="0" style="85" hidden="1" customWidth="1"/>
    <col min="2043" max="2043" width="39" style="85" bestFit="1" customWidth="1"/>
    <col min="2044" max="2046" width="11.42578125" style="85" customWidth="1"/>
    <col min="2047" max="2048" width="11.42578125" style="85"/>
    <col min="2049" max="2049" width="39" style="85" bestFit="1" customWidth="1"/>
    <col min="2050" max="2050" width="39" style="85" customWidth="1"/>
    <col min="2051" max="2296" width="11.42578125" style="85"/>
    <col min="2297" max="2298" width="0" style="85" hidden="1" customWidth="1"/>
    <col min="2299" max="2299" width="39" style="85" bestFit="1" customWidth="1"/>
    <col min="2300" max="2302" width="11.42578125" style="85" customWidth="1"/>
    <col min="2303" max="2304" width="11.42578125" style="85"/>
    <col min="2305" max="2305" width="39" style="85" bestFit="1" customWidth="1"/>
    <col min="2306" max="2306" width="39" style="85" customWidth="1"/>
    <col min="2307" max="2552" width="11.42578125" style="85"/>
    <col min="2553" max="2554" width="0" style="85" hidden="1" customWidth="1"/>
    <col min="2555" max="2555" width="39" style="85" bestFit="1" customWidth="1"/>
    <col min="2556" max="2558" width="11.42578125" style="85" customWidth="1"/>
    <col min="2559" max="2560" width="11.42578125" style="85"/>
    <col min="2561" max="2561" width="39" style="85" bestFit="1" customWidth="1"/>
    <col min="2562" max="2562" width="39" style="85" customWidth="1"/>
    <col min="2563" max="2808" width="11.42578125" style="85"/>
    <col min="2809" max="2810" width="0" style="85" hidden="1" customWidth="1"/>
    <col min="2811" max="2811" width="39" style="85" bestFit="1" customWidth="1"/>
    <col min="2812" max="2814" width="11.42578125" style="85" customWidth="1"/>
    <col min="2815" max="2816" width="11.42578125" style="85"/>
    <col min="2817" max="2817" width="39" style="85" bestFit="1" customWidth="1"/>
    <col min="2818" max="2818" width="39" style="85" customWidth="1"/>
    <col min="2819" max="3064" width="11.42578125" style="85"/>
    <col min="3065" max="3066" width="0" style="85" hidden="1" customWidth="1"/>
    <col min="3067" max="3067" width="39" style="85" bestFit="1" customWidth="1"/>
    <col min="3068" max="3070" width="11.42578125" style="85" customWidth="1"/>
    <col min="3071" max="3072" width="11.42578125" style="85"/>
    <col min="3073" max="3073" width="39" style="85" bestFit="1" customWidth="1"/>
    <col min="3074" max="3074" width="39" style="85" customWidth="1"/>
    <col min="3075" max="3320" width="11.42578125" style="85"/>
    <col min="3321" max="3322" width="0" style="85" hidden="1" customWidth="1"/>
    <col min="3323" max="3323" width="39" style="85" bestFit="1" customWidth="1"/>
    <col min="3324" max="3326" width="11.42578125" style="85" customWidth="1"/>
    <col min="3327" max="3328" width="11.42578125" style="85"/>
    <col min="3329" max="3329" width="39" style="85" bestFit="1" customWidth="1"/>
    <col min="3330" max="3330" width="39" style="85" customWidth="1"/>
    <col min="3331" max="3576" width="11.42578125" style="85"/>
    <col min="3577" max="3578" width="0" style="85" hidden="1" customWidth="1"/>
    <col min="3579" max="3579" width="39" style="85" bestFit="1" customWidth="1"/>
    <col min="3580" max="3582" width="11.42578125" style="85" customWidth="1"/>
    <col min="3583" max="3584" width="11.42578125" style="85"/>
    <col min="3585" max="3585" width="39" style="85" bestFit="1" customWidth="1"/>
    <col min="3586" max="3586" width="39" style="85" customWidth="1"/>
    <col min="3587" max="3832" width="11.42578125" style="85"/>
    <col min="3833" max="3834" width="0" style="85" hidden="1" customWidth="1"/>
    <col min="3835" max="3835" width="39" style="85" bestFit="1" customWidth="1"/>
    <col min="3836" max="3838" width="11.42578125" style="85" customWidth="1"/>
    <col min="3839" max="3840" width="11.42578125" style="85"/>
    <col min="3841" max="3841" width="39" style="85" bestFit="1" customWidth="1"/>
    <col min="3842" max="3842" width="39" style="85" customWidth="1"/>
    <col min="3843" max="4088" width="11.42578125" style="85"/>
    <col min="4089" max="4090" width="0" style="85" hidden="1" customWidth="1"/>
    <col min="4091" max="4091" width="39" style="85" bestFit="1" customWidth="1"/>
    <col min="4092" max="4094" width="11.42578125" style="85" customWidth="1"/>
    <col min="4095" max="4096" width="11.42578125" style="85"/>
    <col min="4097" max="4097" width="39" style="85" bestFit="1" customWidth="1"/>
    <col min="4098" max="4098" width="39" style="85" customWidth="1"/>
    <col min="4099" max="4344" width="11.42578125" style="85"/>
    <col min="4345" max="4346" width="0" style="85" hidden="1" customWidth="1"/>
    <col min="4347" max="4347" width="39" style="85" bestFit="1" customWidth="1"/>
    <col min="4348" max="4350" width="11.42578125" style="85" customWidth="1"/>
    <col min="4351" max="4352" width="11.42578125" style="85"/>
    <col min="4353" max="4353" width="39" style="85" bestFit="1" customWidth="1"/>
    <col min="4354" max="4354" width="39" style="85" customWidth="1"/>
    <col min="4355" max="4600" width="11.42578125" style="85"/>
    <col min="4601" max="4602" width="0" style="85" hidden="1" customWidth="1"/>
    <col min="4603" max="4603" width="39" style="85" bestFit="1" customWidth="1"/>
    <col min="4604" max="4606" width="11.42578125" style="85" customWidth="1"/>
    <col min="4607" max="4608" width="11.42578125" style="85"/>
    <col min="4609" max="4609" width="39" style="85" bestFit="1" customWidth="1"/>
    <col min="4610" max="4610" width="39" style="85" customWidth="1"/>
    <col min="4611" max="4856" width="11.42578125" style="85"/>
    <col min="4857" max="4858" width="0" style="85" hidden="1" customWidth="1"/>
    <col min="4859" max="4859" width="39" style="85" bestFit="1" customWidth="1"/>
    <col min="4860" max="4862" width="11.42578125" style="85" customWidth="1"/>
    <col min="4863" max="4864" width="11.42578125" style="85"/>
    <col min="4865" max="4865" width="39" style="85" bestFit="1" customWidth="1"/>
    <col min="4866" max="4866" width="39" style="85" customWidth="1"/>
    <col min="4867" max="5112" width="11.42578125" style="85"/>
    <col min="5113" max="5114" width="0" style="85" hidden="1" customWidth="1"/>
    <col min="5115" max="5115" width="39" style="85" bestFit="1" customWidth="1"/>
    <col min="5116" max="5118" width="11.42578125" style="85" customWidth="1"/>
    <col min="5119" max="5120" width="11.42578125" style="85"/>
    <col min="5121" max="5121" width="39" style="85" bestFit="1" customWidth="1"/>
    <col min="5122" max="5122" width="39" style="85" customWidth="1"/>
    <col min="5123" max="5368" width="11.42578125" style="85"/>
    <col min="5369" max="5370" width="0" style="85" hidden="1" customWidth="1"/>
    <col min="5371" max="5371" width="39" style="85" bestFit="1" customWidth="1"/>
    <col min="5372" max="5374" width="11.42578125" style="85" customWidth="1"/>
    <col min="5375" max="5376" width="11.42578125" style="85"/>
    <col min="5377" max="5377" width="39" style="85" bestFit="1" customWidth="1"/>
    <col min="5378" max="5378" width="39" style="85" customWidth="1"/>
    <col min="5379" max="5624" width="11.42578125" style="85"/>
    <col min="5625" max="5626" width="0" style="85" hidden="1" customWidth="1"/>
    <col min="5627" max="5627" width="39" style="85" bestFit="1" customWidth="1"/>
    <col min="5628" max="5630" width="11.42578125" style="85" customWidth="1"/>
    <col min="5631" max="5632" width="11.42578125" style="85"/>
    <col min="5633" max="5633" width="39" style="85" bestFit="1" customWidth="1"/>
    <col min="5634" max="5634" width="39" style="85" customWidth="1"/>
    <col min="5635" max="5880" width="11.42578125" style="85"/>
    <col min="5881" max="5882" width="0" style="85" hidden="1" customWidth="1"/>
    <col min="5883" max="5883" width="39" style="85" bestFit="1" customWidth="1"/>
    <col min="5884" max="5886" width="11.42578125" style="85" customWidth="1"/>
    <col min="5887" max="5888" width="11.42578125" style="85"/>
    <col min="5889" max="5889" width="39" style="85" bestFit="1" customWidth="1"/>
    <col min="5890" max="5890" width="39" style="85" customWidth="1"/>
    <col min="5891" max="6136" width="11.42578125" style="85"/>
    <col min="6137" max="6138" width="0" style="85" hidden="1" customWidth="1"/>
    <col min="6139" max="6139" width="39" style="85" bestFit="1" customWidth="1"/>
    <col min="6140" max="6142" width="11.42578125" style="85" customWidth="1"/>
    <col min="6143" max="6144" width="11.42578125" style="85"/>
    <col min="6145" max="6145" width="39" style="85" bestFit="1" customWidth="1"/>
    <col min="6146" max="6146" width="39" style="85" customWidth="1"/>
    <col min="6147" max="6392" width="11.42578125" style="85"/>
    <col min="6393" max="6394" width="0" style="85" hidden="1" customWidth="1"/>
    <col min="6395" max="6395" width="39" style="85" bestFit="1" customWidth="1"/>
    <col min="6396" max="6398" width="11.42578125" style="85" customWidth="1"/>
    <col min="6399" max="6400" width="11.42578125" style="85"/>
    <col min="6401" max="6401" width="39" style="85" bestFit="1" customWidth="1"/>
    <col min="6402" max="6402" width="39" style="85" customWidth="1"/>
    <col min="6403" max="6648" width="11.42578125" style="85"/>
    <col min="6649" max="6650" width="0" style="85" hidden="1" customWidth="1"/>
    <col min="6651" max="6651" width="39" style="85" bestFit="1" customWidth="1"/>
    <col min="6652" max="6654" width="11.42578125" style="85" customWidth="1"/>
    <col min="6655" max="6656" width="11.42578125" style="85"/>
    <col min="6657" max="6657" width="39" style="85" bestFit="1" customWidth="1"/>
    <col min="6658" max="6658" width="39" style="85" customWidth="1"/>
    <col min="6659" max="6904" width="11.42578125" style="85"/>
    <col min="6905" max="6906" width="0" style="85" hidden="1" customWidth="1"/>
    <col min="6907" max="6907" width="39" style="85" bestFit="1" customWidth="1"/>
    <col min="6908" max="6910" width="11.42578125" style="85" customWidth="1"/>
    <col min="6911" max="6912" width="11.42578125" style="85"/>
    <col min="6913" max="6913" width="39" style="85" bestFit="1" customWidth="1"/>
    <col min="6914" max="6914" width="39" style="85" customWidth="1"/>
    <col min="6915" max="7160" width="11.42578125" style="85"/>
    <col min="7161" max="7162" width="0" style="85" hidden="1" customWidth="1"/>
    <col min="7163" max="7163" width="39" style="85" bestFit="1" customWidth="1"/>
    <col min="7164" max="7166" width="11.42578125" style="85" customWidth="1"/>
    <col min="7167" max="7168" width="11.42578125" style="85"/>
    <col min="7169" max="7169" width="39" style="85" bestFit="1" customWidth="1"/>
    <col min="7170" max="7170" width="39" style="85" customWidth="1"/>
    <col min="7171" max="7416" width="11.42578125" style="85"/>
    <col min="7417" max="7418" width="0" style="85" hidden="1" customWidth="1"/>
    <col min="7419" max="7419" width="39" style="85" bestFit="1" customWidth="1"/>
    <col min="7420" max="7422" width="11.42578125" style="85" customWidth="1"/>
    <col min="7423" max="7424" width="11.42578125" style="85"/>
    <col min="7425" max="7425" width="39" style="85" bestFit="1" customWidth="1"/>
    <col min="7426" max="7426" width="39" style="85" customWidth="1"/>
    <col min="7427" max="7672" width="11.42578125" style="85"/>
    <col min="7673" max="7674" width="0" style="85" hidden="1" customWidth="1"/>
    <col min="7675" max="7675" width="39" style="85" bestFit="1" customWidth="1"/>
    <col min="7676" max="7678" width="11.42578125" style="85" customWidth="1"/>
    <col min="7679" max="7680" width="11.42578125" style="85"/>
    <col min="7681" max="7681" width="39" style="85" bestFit="1" customWidth="1"/>
    <col min="7682" max="7682" width="39" style="85" customWidth="1"/>
    <col min="7683" max="7928" width="11.42578125" style="85"/>
    <col min="7929" max="7930" width="0" style="85" hidden="1" customWidth="1"/>
    <col min="7931" max="7931" width="39" style="85" bestFit="1" customWidth="1"/>
    <col min="7932" max="7934" width="11.42578125" style="85" customWidth="1"/>
    <col min="7935" max="7936" width="11.42578125" style="85"/>
    <col min="7937" max="7937" width="39" style="85" bestFit="1" customWidth="1"/>
    <col min="7938" max="7938" width="39" style="85" customWidth="1"/>
    <col min="7939" max="8184" width="11.42578125" style="85"/>
    <col min="8185" max="8186" width="0" style="85" hidden="1" customWidth="1"/>
    <col min="8187" max="8187" width="39" style="85" bestFit="1" customWidth="1"/>
    <col min="8188" max="8190" width="11.42578125" style="85" customWidth="1"/>
    <col min="8191" max="8192" width="11.42578125" style="85"/>
    <col min="8193" max="8193" width="39" style="85" bestFit="1" customWidth="1"/>
    <col min="8194" max="8194" width="39" style="85" customWidth="1"/>
    <col min="8195" max="8440" width="11.42578125" style="85"/>
    <col min="8441" max="8442" width="0" style="85" hidden="1" customWidth="1"/>
    <col min="8443" max="8443" width="39" style="85" bestFit="1" customWidth="1"/>
    <col min="8444" max="8446" width="11.42578125" style="85" customWidth="1"/>
    <col min="8447" max="8448" width="11.42578125" style="85"/>
    <col min="8449" max="8449" width="39" style="85" bestFit="1" customWidth="1"/>
    <col min="8450" max="8450" width="39" style="85" customWidth="1"/>
    <col min="8451" max="8696" width="11.42578125" style="85"/>
    <col min="8697" max="8698" width="0" style="85" hidden="1" customWidth="1"/>
    <col min="8699" max="8699" width="39" style="85" bestFit="1" customWidth="1"/>
    <col min="8700" max="8702" width="11.42578125" style="85" customWidth="1"/>
    <col min="8703" max="8704" width="11.42578125" style="85"/>
    <col min="8705" max="8705" width="39" style="85" bestFit="1" customWidth="1"/>
    <col min="8706" max="8706" width="39" style="85" customWidth="1"/>
    <col min="8707" max="8952" width="11.42578125" style="85"/>
    <col min="8953" max="8954" width="0" style="85" hidden="1" customWidth="1"/>
    <col min="8955" max="8955" width="39" style="85" bestFit="1" customWidth="1"/>
    <col min="8956" max="8958" width="11.42578125" style="85" customWidth="1"/>
    <col min="8959" max="8960" width="11.42578125" style="85"/>
    <col min="8961" max="8961" width="39" style="85" bestFit="1" customWidth="1"/>
    <col min="8962" max="8962" width="39" style="85" customWidth="1"/>
    <col min="8963" max="9208" width="11.42578125" style="85"/>
    <col min="9209" max="9210" width="0" style="85" hidden="1" customWidth="1"/>
    <col min="9211" max="9211" width="39" style="85" bestFit="1" customWidth="1"/>
    <col min="9212" max="9214" width="11.42578125" style="85" customWidth="1"/>
    <col min="9215" max="9216" width="11.42578125" style="85"/>
    <col min="9217" max="9217" width="39" style="85" bestFit="1" customWidth="1"/>
    <col min="9218" max="9218" width="39" style="85" customWidth="1"/>
    <col min="9219" max="9464" width="11.42578125" style="85"/>
    <col min="9465" max="9466" width="0" style="85" hidden="1" customWidth="1"/>
    <col min="9467" max="9467" width="39" style="85" bestFit="1" customWidth="1"/>
    <col min="9468" max="9470" width="11.42578125" style="85" customWidth="1"/>
    <col min="9471" max="9472" width="11.42578125" style="85"/>
    <col min="9473" max="9473" width="39" style="85" bestFit="1" customWidth="1"/>
    <col min="9474" max="9474" width="39" style="85" customWidth="1"/>
    <col min="9475" max="9720" width="11.42578125" style="85"/>
    <col min="9721" max="9722" width="0" style="85" hidden="1" customWidth="1"/>
    <col min="9723" max="9723" width="39" style="85" bestFit="1" customWidth="1"/>
    <col min="9724" max="9726" width="11.42578125" style="85" customWidth="1"/>
    <col min="9727" max="9728" width="11.42578125" style="85"/>
    <col min="9729" max="9729" width="39" style="85" bestFit="1" customWidth="1"/>
    <col min="9730" max="9730" width="39" style="85" customWidth="1"/>
    <col min="9731" max="9976" width="11.42578125" style="85"/>
    <col min="9977" max="9978" width="0" style="85" hidden="1" customWidth="1"/>
    <col min="9979" max="9979" width="39" style="85" bestFit="1" customWidth="1"/>
    <col min="9980" max="9982" width="11.42578125" style="85" customWidth="1"/>
    <col min="9983" max="9984" width="11.42578125" style="85"/>
    <col min="9985" max="9985" width="39" style="85" bestFit="1" customWidth="1"/>
    <col min="9986" max="9986" width="39" style="85" customWidth="1"/>
    <col min="9987" max="10232" width="11.42578125" style="85"/>
    <col min="10233" max="10234" width="0" style="85" hidden="1" customWidth="1"/>
    <col min="10235" max="10235" width="39" style="85" bestFit="1" customWidth="1"/>
    <col min="10236" max="10238" width="11.42578125" style="85" customWidth="1"/>
    <col min="10239" max="10240" width="11.42578125" style="85"/>
    <col min="10241" max="10241" width="39" style="85" bestFit="1" customWidth="1"/>
    <col min="10242" max="10242" width="39" style="85" customWidth="1"/>
    <col min="10243" max="10488" width="11.42578125" style="85"/>
    <col min="10489" max="10490" width="0" style="85" hidden="1" customWidth="1"/>
    <col min="10491" max="10491" width="39" style="85" bestFit="1" customWidth="1"/>
    <col min="10492" max="10494" width="11.42578125" style="85" customWidth="1"/>
    <col min="10495" max="10496" width="11.42578125" style="85"/>
    <col min="10497" max="10497" width="39" style="85" bestFit="1" customWidth="1"/>
    <col min="10498" max="10498" width="39" style="85" customWidth="1"/>
    <col min="10499" max="10744" width="11.42578125" style="85"/>
    <col min="10745" max="10746" width="0" style="85" hidden="1" customWidth="1"/>
    <col min="10747" max="10747" width="39" style="85" bestFit="1" customWidth="1"/>
    <col min="10748" max="10750" width="11.42578125" style="85" customWidth="1"/>
    <col min="10751" max="10752" width="11.42578125" style="85"/>
    <col min="10753" max="10753" width="39" style="85" bestFit="1" customWidth="1"/>
    <col min="10754" max="10754" width="39" style="85" customWidth="1"/>
    <col min="10755" max="11000" width="11.42578125" style="85"/>
    <col min="11001" max="11002" width="0" style="85" hidden="1" customWidth="1"/>
    <col min="11003" max="11003" width="39" style="85" bestFit="1" customWidth="1"/>
    <col min="11004" max="11006" width="11.42578125" style="85" customWidth="1"/>
    <col min="11007" max="11008" width="11.42578125" style="85"/>
    <col min="11009" max="11009" width="39" style="85" bestFit="1" customWidth="1"/>
    <col min="11010" max="11010" width="39" style="85" customWidth="1"/>
    <col min="11011" max="11256" width="11.42578125" style="85"/>
    <col min="11257" max="11258" width="0" style="85" hidden="1" customWidth="1"/>
    <col min="11259" max="11259" width="39" style="85" bestFit="1" customWidth="1"/>
    <col min="11260" max="11262" width="11.42578125" style="85" customWidth="1"/>
    <col min="11263" max="11264" width="11.42578125" style="85"/>
    <col min="11265" max="11265" width="39" style="85" bestFit="1" customWidth="1"/>
    <col min="11266" max="11266" width="39" style="85" customWidth="1"/>
    <col min="11267" max="11512" width="11.42578125" style="85"/>
    <col min="11513" max="11514" width="0" style="85" hidden="1" customWidth="1"/>
    <col min="11515" max="11515" width="39" style="85" bestFit="1" customWidth="1"/>
    <col min="11516" max="11518" width="11.42578125" style="85" customWidth="1"/>
    <col min="11519" max="11520" width="11.42578125" style="85"/>
    <col min="11521" max="11521" width="39" style="85" bestFit="1" customWidth="1"/>
    <col min="11522" max="11522" width="39" style="85" customWidth="1"/>
    <col min="11523" max="11768" width="11.42578125" style="85"/>
    <col min="11769" max="11770" width="0" style="85" hidden="1" customWidth="1"/>
    <col min="11771" max="11771" width="39" style="85" bestFit="1" customWidth="1"/>
    <col min="11772" max="11774" width="11.42578125" style="85" customWidth="1"/>
    <col min="11775" max="11776" width="11.42578125" style="85"/>
    <col min="11777" max="11777" width="39" style="85" bestFit="1" customWidth="1"/>
    <col min="11778" max="11778" width="39" style="85" customWidth="1"/>
    <col min="11779" max="12024" width="11.42578125" style="85"/>
    <col min="12025" max="12026" width="0" style="85" hidden="1" customWidth="1"/>
    <col min="12027" max="12027" width="39" style="85" bestFit="1" customWidth="1"/>
    <col min="12028" max="12030" width="11.42578125" style="85" customWidth="1"/>
    <col min="12031" max="12032" width="11.42578125" style="85"/>
    <col min="12033" max="12033" width="39" style="85" bestFit="1" customWidth="1"/>
    <col min="12034" max="12034" width="39" style="85" customWidth="1"/>
    <col min="12035" max="12280" width="11.42578125" style="85"/>
    <col min="12281" max="12282" width="0" style="85" hidden="1" customWidth="1"/>
    <col min="12283" max="12283" width="39" style="85" bestFit="1" customWidth="1"/>
    <col min="12284" max="12286" width="11.42578125" style="85" customWidth="1"/>
    <col min="12287" max="12288" width="11.42578125" style="85"/>
    <col min="12289" max="12289" width="39" style="85" bestFit="1" customWidth="1"/>
    <col min="12290" max="12290" width="39" style="85" customWidth="1"/>
    <col min="12291" max="12536" width="11.42578125" style="85"/>
    <col min="12537" max="12538" width="0" style="85" hidden="1" customWidth="1"/>
    <col min="12539" max="12539" width="39" style="85" bestFit="1" customWidth="1"/>
    <col min="12540" max="12542" width="11.42578125" style="85" customWidth="1"/>
    <col min="12543" max="12544" width="11.42578125" style="85"/>
    <col min="12545" max="12545" width="39" style="85" bestFit="1" customWidth="1"/>
    <col min="12546" max="12546" width="39" style="85" customWidth="1"/>
    <col min="12547" max="12792" width="11.42578125" style="85"/>
    <col min="12793" max="12794" width="0" style="85" hidden="1" customWidth="1"/>
    <col min="12795" max="12795" width="39" style="85" bestFit="1" customWidth="1"/>
    <col min="12796" max="12798" width="11.42578125" style="85" customWidth="1"/>
    <col min="12799" max="12800" width="11.42578125" style="85"/>
    <col min="12801" max="12801" width="39" style="85" bestFit="1" customWidth="1"/>
    <col min="12802" max="12802" width="39" style="85" customWidth="1"/>
    <col min="12803" max="13048" width="11.42578125" style="85"/>
    <col min="13049" max="13050" width="0" style="85" hidden="1" customWidth="1"/>
    <col min="13051" max="13051" width="39" style="85" bestFit="1" customWidth="1"/>
    <col min="13052" max="13054" width="11.42578125" style="85" customWidth="1"/>
    <col min="13055" max="13056" width="11.42578125" style="85"/>
    <col min="13057" max="13057" width="39" style="85" bestFit="1" customWidth="1"/>
    <col min="13058" max="13058" width="39" style="85" customWidth="1"/>
    <col min="13059" max="13304" width="11.42578125" style="85"/>
    <col min="13305" max="13306" width="0" style="85" hidden="1" customWidth="1"/>
    <col min="13307" max="13307" width="39" style="85" bestFit="1" customWidth="1"/>
    <col min="13308" max="13310" width="11.42578125" style="85" customWidth="1"/>
    <col min="13311" max="13312" width="11.42578125" style="85"/>
    <col min="13313" max="13313" width="39" style="85" bestFit="1" customWidth="1"/>
    <col min="13314" max="13314" width="39" style="85" customWidth="1"/>
    <col min="13315" max="13560" width="11.42578125" style="85"/>
    <col min="13561" max="13562" width="0" style="85" hidden="1" customWidth="1"/>
    <col min="13563" max="13563" width="39" style="85" bestFit="1" customWidth="1"/>
    <col min="13564" max="13566" width="11.42578125" style="85" customWidth="1"/>
    <col min="13567" max="13568" width="11.42578125" style="85"/>
    <col min="13569" max="13569" width="39" style="85" bestFit="1" customWidth="1"/>
    <col min="13570" max="13570" width="39" style="85" customWidth="1"/>
    <col min="13571" max="13816" width="11.42578125" style="85"/>
    <col min="13817" max="13818" width="0" style="85" hidden="1" customWidth="1"/>
    <col min="13819" max="13819" width="39" style="85" bestFit="1" customWidth="1"/>
    <col min="13820" max="13822" width="11.42578125" style="85" customWidth="1"/>
    <col min="13823" max="13824" width="11.42578125" style="85"/>
    <col min="13825" max="13825" width="39" style="85" bestFit="1" customWidth="1"/>
    <col min="13826" max="13826" width="39" style="85" customWidth="1"/>
    <col min="13827" max="14072" width="11.42578125" style="85"/>
    <col min="14073" max="14074" width="0" style="85" hidden="1" customWidth="1"/>
    <col min="14075" max="14075" width="39" style="85" bestFit="1" customWidth="1"/>
    <col min="14076" max="14078" width="11.42578125" style="85" customWidth="1"/>
    <col min="14079" max="14080" width="11.42578125" style="85"/>
    <col min="14081" max="14081" width="39" style="85" bestFit="1" customWidth="1"/>
    <col min="14082" max="14082" width="39" style="85" customWidth="1"/>
    <col min="14083" max="14328" width="11.42578125" style="85"/>
    <col min="14329" max="14330" width="0" style="85" hidden="1" customWidth="1"/>
    <col min="14331" max="14331" width="39" style="85" bestFit="1" customWidth="1"/>
    <col min="14332" max="14334" width="11.42578125" style="85" customWidth="1"/>
    <col min="14335" max="14336" width="11.42578125" style="85"/>
    <col min="14337" max="14337" width="39" style="85" bestFit="1" customWidth="1"/>
    <col min="14338" max="14338" width="39" style="85" customWidth="1"/>
    <col min="14339" max="14584" width="11.42578125" style="85"/>
    <col min="14585" max="14586" width="0" style="85" hidden="1" customWidth="1"/>
    <col min="14587" max="14587" width="39" style="85" bestFit="1" customWidth="1"/>
    <col min="14588" max="14590" width="11.42578125" style="85" customWidth="1"/>
    <col min="14591" max="14592" width="11.42578125" style="85"/>
    <col min="14593" max="14593" width="39" style="85" bestFit="1" customWidth="1"/>
    <col min="14594" max="14594" width="39" style="85" customWidth="1"/>
    <col min="14595" max="14840" width="11.42578125" style="85"/>
    <col min="14841" max="14842" width="0" style="85" hidden="1" customWidth="1"/>
    <col min="14843" max="14843" width="39" style="85" bestFit="1" customWidth="1"/>
    <col min="14844" max="14846" width="11.42578125" style="85" customWidth="1"/>
    <col min="14847" max="14848" width="11.42578125" style="85"/>
    <col min="14849" max="14849" width="39" style="85" bestFit="1" customWidth="1"/>
    <col min="14850" max="14850" width="39" style="85" customWidth="1"/>
    <col min="14851" max="15096" width="11.42578125" style="85"/>
    <col min="15097" max="15098" width="0" style="85" hidden="1" customWidth="1"/>
    <col min="15099" max="15099" width="39" style="85" bestFit="1" customWidth="1"/>
    <col min="15100" max="15102" width="11.42578125" style="85" customWidth="1"/>
    <col min="15103" max="15104" width="11.42578125" style="85"/>
    <col min="15105" max="15105" width="39" style="85" bestFit="1" customWidth="1"/>
    <col min="15106" max="15106" width="39" style="85" customWidth="1"/>
    <col min="15107" max="15352" width="11.42578125" style="85"/>
    <col min="15353" max="15354" width="0" style="85" hidden="1" customWidth="1"/>
    <col min="15355" max="15355" width="39" style="85" bestFit="1" customWidth="1"/>
    <col min="15356" max="15358" width="11.42578125" style="85" customWidth="1"/>
    <col min="15359" max="15360" width="11.42578125" style="85"/>
    <col min="15361" max="15361" width="39" style="85" bestFit="1" customWidth="1"/>
    <col min="15362" max="15362" width="39" style="85" customWidth="1"/>
    <col min="15363" max="15608" width="11.42578125" style="85"/>
    <col min="15609" max="15610" width="0" style="85" hidden="1" customWidth="1"/>
    <col min="15611" max="15611" width="39" style="85" bestFit="1" customWidth="1"/>
    <col min="15612" max="15614" width="11.42578125" style="85" customWidth="1"/>
    <col min="15615" max="15616" width="11.42578125" style="85"/>
    <col min="15617" max="15617" width="39" style="85" bestFit="1" customWidth="1"/>
    <col min="15618" max="15618" width="39" style="85" customWidth="1"/>
    <col min="15619" max="15864" width="11.42578125" style="85"/>
    <col min="15865" max="15866" width="0" style="85" hidden="1" customWidth="1"/>
    <col min="15867" max="15867" width="39" style="85" bestFit="1" customWidth="1"/>
    <col min="15868" max="15870" width="11.42578125" style="85" customWidth="1"/>
    <col min="15871" max="15872" width="11.42578125" style="85"/>
    <col min="15873" max="15873" width="39" style="85" bestFit="1" customWidth="1"/>
    <col min="15874" max="15874" width="39" style="85" customWidth="1"/>
    <col min="15875" max="16120" width="11.42578125" style="85"/>
    <col min="16121" max="16122" width="0" style="85" hidden="1" customWidth="1"/>
    <col min="16123" max="16123" width="39" style="85" bestFit="1" customWidth="1"/>
    <col min="16124" max="16126" width="11.42578125" style="85" customWidth="1"/>
    <col min="16127" max="16128" width="11.42578125" style="85"/>
    <col min="16129" max="16129" width="39" style="85" bestFit="1" customWidth="1"/>
    <col min="16130" max="16130" width="39" style="85" customWidth="1"/>
    <col min="16131" max="16384" width="11.42578125" style="85"/>
  </cols>
  <sheetData>
    <row r="2" spans="1:12">
      <c r="A2" s="175"/>
      <c r="B2" s="175"/>
      <c r="C2" s="177"/>
      <c r="D2" s="175"/>
      <c r="E2" s="175"/>
      <c r="F2" s="175"/>
      <c r="G2" s="175"/>
      <c r="H2" s="175"/>
      <c r="I2" s="177"/>
      <c r="J2" s="192"/>
      <c r="K2" s="175"/>
      <c r="L2" s="175"/>
    </row>
    <row r="3" spans="1:12">
      <c r="A3" s="175"/>
      <c r="B3" s="175"/>
      <c r="C3" s="178" t="s">
        <v>226</v>
      </c>
      <c r="D3" s="182" t="s">
        <v>227</v>
      </c>
      <c r="E3" s="182" t="s">
        <v>226</v>
      </c>
      <c r="F3" s="175"/>
      <c r="G3" s="182" t="s">
        <v>228</v>
      </c>
      <c r="H3" s="182"/>
      <c r="I3" s="178"/>
      <c r="J3" s="178"/>
      <c r="K3" s="178"/>
      <c r="L3" s="175"/>
    </row>
    <row r="4" spans="1:12" ht="15.75" thickBot="1">
      <c r="A4" s="176" t="s">
        <v>229</v>
      </c>
      <c r="B4" s="176" t="s">
        <v>230</v>
      </c>
      <c r="C4" s="180" t="s">
        <v>231</v>
      </c>
      <c r="D4" s="183"/>
      <c r="E4" s="183"/>
      <c r="F4" s="175"/>
      <c r="G4" s="183" t="s">
        <v>232</v>
      </c>
      <c r="H4" s="183" t="s">
        <v>233</v>
      </c>
      <c r="I4" s="180"/>
      <c r="J4" s="180"/>
      <c r="K4" s="180" t="s">
        <v>285</v>
      </c>
      <c r="L4" s="175"/>
    </row>
    <row r="5" spans="1:12">
      <c r="A5" s="176" t="s">
        <v>234</v>
      </c>
      <c r="B5" s="176" t="s">
        <v>235</v>
      </c>
      <c r="C5" s="176" t="s">
        <v>14</v>
      </c>
      <c r="D5" s="181">
        <v>106.8</v>
      </c>
      <c r="E5" s="181">
        <v>106.28</v>
      </c>
      <c r="F5" s="184" t="s">
        <v>236</v>
      </c>
      <c r="G5" s="186">
        <v>106.277</v>
      </c>
      <c r="H5" s="187">
        <v>2.75E-2</v>
      </c>
      <c r="I5" s="176" t="s">
        <v>237</v>
      </c>
      <c r="J5" s="176" t="s">
        <v>238</v>
      </c>
      <c r="K5" s="186">
        <v>0</v>
      </c>
      <c r="L5" s="175"/>
    </row>
    <row r="6" spans="1:12">
      <c r="A6" s="176" t="s">
        <v>234</v>
      </c>
      <c r="B6" s="176" t="s">
        <v>239</v>
      </c>
      <c r="C6" s="176" t="s">
        <v>16</v>
      </c>
      <c r="D6" s="181">
        <v>108.25</v>
      </c>
      <c r="E6" s="181">
        <v>106.69</v>
      </c>
      <c r="F6" s="175"/>
      <c r="G6" s="186">
        <v>108.25</v>
      </c>
      <c r="H6" s="187">
        <v>-3.5999999999999999E-3</v>
      </c>
      <c r="I6" s="176" t="s">
        <v>237</v>
      </c>
      <c r="J6" s="176" t="s">
        <v>240</v>
      </c>
      <c r="K6" s="186">
        <v>0.82199999999999995</v>
      </c>
      <c r="L6" s="176"/>
    </row>
    <row r="7" spans="1:12">
      <c r="A7" s="176" t="s">
        <v>234</v>
      </c>
      <c r="B7" s="176" t="s">
        <v>241</v>
      </c>
      <c r="C7" s="176" t="s">
        <v>18</v>
      </c>
      <c r="D7" s="181">
        <v>107.25</v>
      </c>
      <c r="E7" s="181">
        <v>105.15</v>
      </c>
      <c r="F7" s="175"/>
      <c r="G7" s="186">
        <v>107.25</v>
      </c>
      <c r="H7" s="187">
        <v>-1.21E-2</v>
      </c>
      <c r="I7" s="176" t="s">
        <v>237</v>
      </c>
      <c r="J7" s="176" t="s">
        <v>240</v>
      </c>
      <c r="K7" s="186">
        <v>1.544</v>
      </c>
      <c r="L7" s="176"/>
    </row>
    <row r="8" spans="1:12">
      <c r="A8" s="176" t="s">
        <v>234</v>
      </c>
      <c r="B8" s="176" t="s">
        <v>242</v>
      </c>
      <c r="C8" s="176" t="s">
        <v>21</v>
      </c>
      <c r="D8" s="181">
        <v>110</v>
      </c>
      <c r="E8" s="181">
        <v>104.07</v>
      </c>
      <c r="F8" s="184"/>
      <c r="G8" s="186">
        <v>110</v>
      </c>
      <c r="H8" s="187">
        <v>-2.5999999999999999E-3</v>
      </c>
      <c r="I8" s="176" t="s">
        <v>237</v>
      </c>
      <c r="J8" s="176" t="s">
        <v>240</v>
      </c>
      <c r="K8" s="186">
        <v>2.4089999999999998</v>
      </c>
      <c r="L8" s="176"/>
    </row>
    <row r="9" spans="1:12">
      <c r="A9" s="176" t="s">
        <v>243</v>
      </c>
      <c r="B9" s="176" t="s">
        <v>244</v>
      </c>
      <c r="C9" s="176" t="s">
        <v>23</v>
      </c>
      <c r="D9" s="181">
        <v>174.2</v>
      </c>
      <c r="E9" s="181">
        <v>170.44</v>
      </c>
      <c r="F9" s="175"/>
      <c r="G9" s="186">
        <v>174.2</v>
      </c>
      <c r="H9" s="187">
        <v>2.3599999999999999E-2</v>
      </c>
      <c r="I9" s="176" t="s">
        <v>237</v>
      </c>
      <c r="J9" s="176" t="s">
        <v>240</v>
      </c>
      <c r="K9" s="186">
        <v>2.0230000000000001</v>
      </c>
      <c r="L9" s="176"/>
    </row>
    <row r="10" spans="1:12">
      <c r="A10" s="176" t="s">
        <v>234</v>
      </c>
      <c r="B10" s="176" t="s">
        <v>245</v>
      </c>
      <c r="C10" s="176" t="s">
        <v>27</v>
      </c>
      <c r="D10" s="181">
        <v>114.5</v>
      </c>
      <c r="E10" s="181">
        <v>0</v>
      </c>
      <c r="F10" s="175"/>
      <c r="G10" s="186">
        <v>114.5</v>
      </c>
      <c r="H10" s="187">
        <v>0.2213</v>
      </c>
      <c r="I10" s="175"/>
      <c r="J10" s="176" t="s">
        <v>240</v>
      </c>
      <c r="K10" s="186">
        <v>1.635</v>
      </c>
      <c r="L10" s="176"/>
    </row>
    <row r="11" spans="1:12">
      <c r="A11" s="176" t="s">
        <v>247</v>
      </c>
      <c r="B11" s="176" t="s">
        <v>248</v>
      </c>
      <c r="C11" s="176" t="s">
        <v>30</v>
      </c>
      <c r="D11" s="181">
        <v>135.75</v>
      </c>
      <c r="E11" s="181">
        <v>136.19999999999999</v>
      </c>
      <c r="F11" s="175"/>
      <c r="G11" s="186">
        <v>135.75</v>
      </c>
      <c r="H11" s="187">
        <v>3.8800000000000001E-2</v>
      </c>
      <c r="I11" s="176" t="s">
        <v>246</v>
      </c>
      <c r="J11" s="176" t="s">
        <v>240</v>
      </c>
      <c r="K11" s="186">
        <v>3.2029999999999998</v>
      </c>
      <c r="L11" s="176"/>
    </row>
    <row r="12" spans="1:12">
      <c r="A12" s="176" t="s">
        <v>234</v>
      </c>
      <c r="B12" s="176" t="s">
        <v>249</v>
      </c>
      <c r="C12" s="176" t="s">
        <v>36</v>
      </c>
      <c r="D12" s="181">
        <v>2032</v>
      </c>
      <c r="E12" s="181">
        <v>2014.22</v>
      </c>
      <c r="F12" s="184"/>
      <c r="G12" s="186">
        <v>2032</v>
      </c>
      <c r="H12" s="187">
        <v>3.5400000000000001E-2</v>
      </c>
      <c r="I12" s="176" t="s">
        <v>250</v>
      </c>
      <c r="J12" s="176" t="s">
        <v>240</v>
      </c>
      <c r="K12" s="186">
        <v>0</v>
      </c>
      <c r="L12" s="176"/>
    </row>
    <row r="13" spans="1:12">
      <c r="A13" s="176" t="s">
        <v>234</v>
      </c>
      <c r="B13" s="176" t="s">
        <v>251</v>
      </c>
      <c r="C13" s="177" t="s">
        <v>39</v>
      </c>
      <c r="D13" s="188">
        <v>2060</v>
      </c>
      <c r="E13" s="188">
        <v>2062.21</v>
      </c>
      <c r="F13" s="189"/>
      <c r="G13" s="190">
        <v>2060</v>
      </c>
      <c r="H13" s="191">
        <v>5.1200000000000002E-2</v>
      </c>
      <c r="I13" s="177" t="s">
        <v>250</v>
      </c>
      <c r="J13" s="177" t="s">
        <v>240</v>
      </c>
      <c r="K13" s="190">
        <v>3.456</v>
      </c>
      <c r="L13" s="176"/>
    </row>
    <row r="14" spans="1:12">
      <c r="A14" s="176" t="s">
        <v>252</v>
      </c>
      <c r="B14" s="176" t="s">
        <v>253</v>
      </c>
      <c r="C14" s="176" t="s">
        <v>43</v>
      </c>
      <c r="D14" s="181">
        <v>100.64</v>
      </c>
      <c r="E14" s="181">
        <v>99.01</v>
      </c>
      <c r="F14" s="184" t="s">
        <v>236</v>
      </c>
      <c r="G14" s="186">
        <v>99.007000000000005</v>
      </c>
      <c r="H14" s="187">
        <v>4.3200000000000002E-2</v>
      </c>
      <c r="I14" s="176" t="s">
        <v>237</v>
      </c>
      <c r="J14" s="176" t="s">
        <v>238</v>
      </c>
      <c r="K14" s="186">
        <v>1.49</v>
      </c>
      <c r="L14" s="176"/>
    </row>
    <row r="15" spans="1:12">
      <c r="A15" s="176" t="s">
        <v>252</v>
      </c>
      <c r="B15" s="176" t="s">
        <v>357</v>
      </c>
      <c r="C15" s="176" t="s">
        <v>354</v>
      </c>
      <c r="D15" s="181">
        <v>0</v>
      </c>
      <c r="E15" s="181">
        <v>101.11</v>
      </c>
      <c r="F15" s="184" t="s">
        <v>236</v>
      </c>
      <c r="G15" s="186">
        <v>101.111</v>
      </c>
      <c r="H15" s="187">
        <v>3.5999999999999997E-2</v>
      </c>
      <c r="I15" s="176" t="s">
        <v>237</v>
      </c>
      <c r="J15" s="176" t="s">
        <v>255</v>
      </c>
      <c r="K15" s="186">
        <v>1.4670000000000001</v>
      </c>
      <c r="L15" s="176"/>
    </row>
    <row r="16" spans="1:12">
      <c r="A16" s="176" t="s">
        <v>252</v>
      </c>
      <c r="B16" s="176" t="s">
        <v>254</v>
      </c>
      <c r="C16" s="176" t="s">
        <v>46</v>
      </c>
      <c r="D16" s="181">
        <v>0</v>
      </c>
      <c r="E16" s="181">
        <v>100.53</v>
      </c>
      <c r="F16" s="184" t="s">
        <v>236</v>
      </c>
      <c r="G16" s="186">
        <v>100.529</v>
      </c>
      <c r="H16" s="187">
        <v>2.7699999999999999E-2</v>
      </c>
      <c r="I16" s="176" t="s">
        <v>237</v>
      </c>
      <c r="J16" s="176" t="s">
        <v>255</v>
      </c>
      <c r="K16" s="186">
        <v>1.5029999999999999</v>
      </c>
      <c r="L16" s="176"/>
    </row>
    <row r="17" spans="1:12">
      <c r="A17" s="176" t="s">
        <v>252</v>
      </c>
      <c r="B17" s="176" t="s">
        <v>256</v>
      </c>
      <c r="C17" s="176" t="s">
        <v>42</v>
      </c>
      <c r="D17" s="181">
        <v>0</v>
      </c>
      <c r="E17" s="181">
        <v>104.26</v>
      </c>
      <c r="F17" s="179" t="s">
        <v>236</v>
      </c>
      <c r="G17" s="186">
        <v>104.25700000000001</v>
      </c>
      <c r="H17" s="187">
        <v>2.47E-2</v>
      </c>
      <c r="I17" s="176" t="s">
        <v>237</v>
      </c>
      <c r="J17" s="176" t="s">
        <v>255</v>
      </c>
      <c r="K17" s="186">
        <v>1.494</v>
      </c>
      <c r="L17" s="176"/>
    </row>
    <row r="18" spans="1:12">
      <c r="A18" s="176" t="s">
        <v>252</v>
      </c>
      <c r="B18" s="176" t="s">
        <v>257</v>
      </c>
      <c r="C18" s="176" t="s">
        <v>50</v>
      </c>
      <c r="D18" s="181">
        <v>104.52</v>
      </c>
      <c r="E18" s="181">
        <v>103.83</v>
      </c>
      <c r="F18" s="184" t="s">
        <v>236</v>
      </c>
      <c r="G18" s="186">
        <v>103.82599999999999</v>
      </c>
      <c r="H18" s="187">
        <v>2.87E-2</v>
      </c>
      <c r="I18" s="176" t="s">
        <v>237</v>
      </c>
      <c r="J18" s="176" t="s">
        <v>238</v>
      </c>
      <c r="K18" s="186">
        <v>0.74</v>
      </c>
      <c r="L18" s="176"/>
    </row>
    <row r="19" spans="1:12">
      <c r="A19" s="176" t="s">
        <v>252</v>
      </c>
      <c r="B19" s="176" t="s">
        <v>258</v>
      </c>
      <c r="C19" s="176" t="s">
        <v>52</v>
      </c>
      <c r="D19" s="181">
        <v>105.55</v>
      </c>
      <c r="E19" s="181">
        <v>101.16</v>
      </c>
      <c r="F19" s="184" t="s">
        <v>236</v>
      </c>
      <c r="G19" s="186">
        <v>101.16</v>
      </c>
      <c r="H19" s="187">
        <v>3.5400000000000001E-2</v>
      </c>
      <c r="I19" s="176" t="s">
        <v>237</v>
      </c>
      <c r="J19" s="176" t="s">
        <v>238</v>
      </c>
      <c r="K19" s="186">
        <v>1.1599999999999999</v>
      </c>
      <c r="L19" s="176"/>
    </row>
    <row r="20" spans="1:12">
      <c r="A20" s="176" t="s">
        <v>252</v>
      </c>
      <c r="B20" s="176" t="s">
        <v>259</v>
      </c>
      <c r="C20" s="176" t="s">
        <v>191</v>
      </c>
      <c r="D20" s="181">
        <v>103.4</v>
      </c>
      <c r="E20" s="181">
        <v>67.55</v>
      </c>
      <c r="F20" s="184" t="s">
        <v>236</v>
      </c>
      <c r="G20" s="186">
        <v>67.554000000000002</v>
      </c>
      <c r="H20" s="187">
        <v>2.93E-2</v>
      </c>
      <c r="I20" s="176" t="s">
        <v>237</v>
      </c>
      <c r="J20" s="176" t="s">
        <v>238</v>
      </c>
      <c r="K20" s="186">
        <v>0.433</v>
      </c>
      <c r="L20" s="176"/>
    </row>
    <row r="21" spans="1:12">
      <c r="A21" s="176" t="s">
        <v>252</v>
      </c>
      <c r="B21" s="176" t="s">
        <v>260</v>
      </c>
      <c r="C21" s="176" t="s">
        <v>55</v>
      </c>
      <c r="D21" s="181">
        <v>0</v>
      </c>
      <c r="E21" s="181">
        <v>102.68</v>
      </c>
      <c r="F21" s="184" t="s">
        <v>236</v>
      </c>
      <c r="G21" s="186">
        <v>102.679</v>
      </c>
      <c r="H21" s="187">
        <v>3.44E-2</v>
      </c>
      <c r="I21" s="176" t="s">
        <v>237</v>
      </c>
      <c r="J21" s="176" t="s">
        <v>255</v>
      </c>
      <c r="K21" s="186">
        <v>0.75</v>
      </c>
      <c r="L21" s="176"/>
    </row>
    <row r="22" spans="1:12">
      <c r="A22" s="176" t="s">
        <v>252</v>
      </c>
      <c r="B22" s="176" t="s">
        <v>261</v>
      </c>
      <c r="C22" s="176" t="s">
        <v>57</v>
      </c>
      <c r="D22" s="181">
        <v>103.9</v>
      </c>
      <c r="E22" s="181">
        <v>105.24</v>
      </c>
      <c r="F22" s="184" t="s">
        <v>236</v>
      </c>
      <c r="G22" s="186">
        <v>105.235</v>
      </c>
      <c r="H22" s="187">
        <v>3.8800000000000001E-2</v>
      </c>
      <c r="I22" s="176" t="s">
        <v>237</v>
      </c>
      <c r="J22" s="176" t="s">
        <v>238</v>
      </c>
      <c r="K22" s="186">
        <v>0.98699999999999999</v>
      </c>
      <c r="L22" s="176"/>
    </row>
    <row r="23" spans="1:12">
      <c r="A23" s="176" t="s">
        <v>252</v>
      </c>
      <c r="B23" s="176" t="s">
        <v>262</v>
      </c>
      <c r="C23" s="176" t="s">
        <v>59</v>
      </c>
      <c r="D23" s="181">
        <v>0</v>
      </c>
      <c r="E23" s="181">
        <v>104.73</v>
      </c>
      <c r="F23" s="184" t="s">
        <v>236</v>
      </c>
      <c r="G23" s="186">
        <v>104.73</v>
      </c>
      <c r="H23" s="187">
        <v>3.9699999999999999E-2</v>
      </c>
      <c r="I23" s="176" t="s">
        <v>237</v>
      </c>
      <c r="J23" s="176" t="s">
        <v>255</v>
      </c>
      <c r="K23" s="186">
        <v>1.591</v>
      </c>
      <c r="L23" s="176"/>
    </row>
    <row r="24" spans="1:12">
      <c r="A24" s="176" t="s">
        <v>252</v>
      </c>
      <c r="B24" s="176" t="s">
        <v>263</v>
      </c>
      <c r="C24" s="176" t="s">
        <v>223</v>
      </c>
      <c r="D24" s="181">
        <v>0</v>
      </c>
      <c r="E24" s="181">
        <v>104.08</v>
      </c>
      <c r="F24" s="184" t="s">
        <v>236</v>
      </c>
      <c r="G24" s="186">
        <v>104.078</v>
      </c>
      <c r="H24" s="187">
        <v>4.1700000000000001E-2</v>
      </c>
      <c r="I24" s="176" t="s">
        <v>237</v>
      </c>
      <c r="J24" s="176" t="s">
        <v>255</v>
      </c>
      <c r="K24" s="186">
        <v>1.7330000000000001</v>
      </c>
      <c r="L24" s="176"/>
    </row>
    <row r="25" spans="1:12">
      <c r="A25" s="176" t="s">
        <v>252</v>
      </c>
      <c r="B25" s="176" t="s">
        <v>264</v>
      </c>
      <c r="C25" s="176" t="s">
        <v>201</v>
      </c>
      <c r="D25" s="181">
        <v>0</v>
      </c>
      <c r="E25" s="181">
        <v>104.56</v>
      </c>
      <c r="F25" s="185" t="s">
        <v>236</v>
      </c>
      <c r="G25" s="186">
        <v>104.563</v>
      </c>
      <c r="H25" s="187">
        <v>4.2000000000000003E-2</v>
      </c>
      <c r="I25" s="176" t="s">
        <v>237</v>
      </c>
      <c r="J25" s="176" t="s">
        <v>255</v>
      </c>
      <c r="K25" s="186">
        <v>7.5999999999999998E-2</v>
      </c>
      <c r="L25" s="176"/>
    </row>
    <row r="26" spans="1:12">
      <c r="A26" s="176" t="s">
        <v>252</v>
      </c>
      <c r="B26" s="176" t="s">
        <v>265</v>
      </c>
      <c r="C26" s="176" t="s">
        <v>63</v>
      </c>
      <c r="D26" s="181">
        <v>102.74</v>
      </c>
      <c r="E26" s="181">
        <v>102.35</v>
      </c>
      <c r="F26" s="184" t="s">
        <v>236</v>
      </c>
      <c r="G26" s="186">
        <v>102.35299999999999</v>
      </c>
      <c r="H26" s="187">
        <v>4.02E-2</v>
      </c>
      <c r="I26" s="176" t="s">
        <v>237</v>
      </c>
      <c r="J26" s="176" t="s">
        <v>238</v>
      </c>
      <c r="K26" s="186">
        <v>1.7</v>
      </c>
      <c r="L26" s="176"/>
    </row>
    <row r="27" spans="1:12">
      <c r="A27" s="176" t="s">
        <v>252</v>
      </c>
      <c r="B27" s="176" t="s">
        <v>266</v>
      </c>
      <c r="C27" s="176" t="s">
        <v>66</v>
      </c>
      <c r="D27" s="181">
        <v>104.25</v>
      </c>
      <c r="E27" s="181">
        <v>104.74</v>
      </c>
      <c r="F27" s="184" t="s">
        <v>236</v>
      </c>
      <c r="G27" s="186">
        <v>104.736</v>
      </c>
      <c r="H27" s="187">
        <v>3.9899999999999998E-2</v>
      </c>
      <c r="I27" s="176" t="s">
        <v>237</v>
      </c>
      <c r="J27" s="176" t="s">
        <v>238</v>
      </c>
      <c r="K27" s="186">
        <v>1.7050000000000001</v>
      </c>
      <c r="L27" s="176"/>
    </row>
    <row r="28" spans="1:12">
      <c r="A28" s="176" t="s">
        <v>252</v>
      </c>
      <c r="B28" s="176" t="s">
        <v>267</v>
      </c>
      <c r="C28" s="176" t="s">
        <v>190</v>
      </c>
      <c r="D28" s="181">
        <v>105.25</v>
      </c>
      <c r="E28" s="181">
        <v>102.37</v>
      </c>
      <c r="F28" s="184" t="s">
        <v>236</v>
      </c>
      <c r="G28" s="186">
        <v>102.372</v>
      </c>
      <c r="H28" s="187">
        <v>3.9899999999999998E-2</v>
      </c>
      <c r="I28" s="176" t="s">
        <v>237</v>
      </c>
      <c r="J28" s="176" t="s">
        <v>238</v>
      </c>
      <c r="K28" s="186">
        <v>1.1240000000000001</v>
      </c>
      <c r="L28" s="176"/>
    </row>
    <row r="29" spans="1:12">
      <c r="A29" s="176" t="s">
        <v>252</v>
      </c>
      <c r="B29" s="176" t="s">
        <v>268</v>
      </c>
      <c r="C29" s="176" t="s">
        <v>69</v>
      </c>
      <c r="D29" s="181">
        <v>104.5</v>
      </c>
      <c r="E29" s="181">
        <v>102.26</v>
      </c>
      <c r="F29" s="184" t="s">
        <v>236</v>
      </c>
      <c r="G29" s="186">
        <v>102.26</v>
      </c>
      <c r="H29" s="187">
        <v>3.1E-2</v>
      </c>
      <c r="I29" s="176" t="s">
        <v>237</v>
      </c>
      <c r="J29" s="176" t="s">
        <v>238</v>
      </c>
      <c r="K29" s="186">
        <v>0.67</v>
      </c>
      <c r="L29" s="176"/>
    </row>
    <row r="30" spans="1:12">
      <c r="A30" s="176" t="s">
        <v>252</v>
      </c>
      <c r="B30" s="176" t="s">
        <v>269</v>
      </c>
      <c r="C30" s="176" t="s">
        <v>72</v>
      </c>
      <c r="D30" s="181">
        <v>0</v>
      </c>
      <c r="E30" s="181">
        <v>100.75</v>
      </c>
      <c r="F30" s="184" t="s">
        <v>236</v>
      </c>
      <c r="G30" s="186">
        <v>100.754</v>
      </c>
      <c r="H30" s="187">
        <v>3.2399999999999998E-2</v>
      </c>
      <c r="I30" s="176" t="s">
        <v>237</v>
      </c>
      <c r="J30" s="176" t="s">
        <v>255</v>
      </c>
      <c r="K30" s="186">
        <v>1</v>
      </c>
      <c r="L30" s="176"/>
    </row>
    <row r="31" spans="1:12">
      <c r="A31" s="176" t="s">
        <v>252</v>
      </c>
      <c r="B31" s="176" t="s">
        <v>270</v>
      </c>
      <c r="C31" s="176" t="s">
        <v>202</v>
      </c>
      <c r="D31" s="181">
        <v>0</v>
      </c>
      <c r="E31" s="181">
        <v>101.85</v>
      </c>
      <c r="F31" s="184" t="s">
        <v>236</v>
      </c>
      <c r="G31" s="186">
        <v>101.845</v>
      </c>
      <c r="H31" s="187">
        <v>2.9899999999999999E-2</v>
      </c>
      <c r="I31" s="176" t="s">
        <v>237</v>
      </c>
      <c r="J31" s="176" t="s">
        <v>255</v>
      </c>
      <c r="K31" s="186">
        <v>2.069</v>
      </c>
      <c r="L31" s="176"/>
    </row>
    <row r="32" spans="1:12">
      <c r="A32" s="176" t="s">
        <v>252</v>
      </c>
      <c r="B32" s="176" t="s">
        <v>271</v>
      </c>
      <c r="C32" s="176" t="s">
        <v>75</v>
      </c>
      <c r="D32" s="181">
        <v>103.37</v>
      </c>
      <c r="E32" s="181">
        <v>103.59</v>
      </c>
      <c r="F32" s="185" t="s">
        <v>236</v>
      </c>
      <c r="G32" s="186">
        <v>103.58799999999999</v>
      </c>
      <c r="H32" s="187">
        <v>3.5000000000000003E-2</v>
      </c>
      <c r="I32" s="176" t="s">
        <v>237</v>
      </c>
      <c r="J32" s="176" t="s">
        <v>238</v>
      </c>
      <c r="K32" s="186">
        <v>1.8169999999999999</v>
      </c>
      <c r="L32" s="176"/>
    </row>
    <row r="33" spans="1:12">
      <c r="A33" s="176" t="s">
        <v>252</v>
      </c>
      <c r="B33" s="176" t="s">
        <v>272</v>
      </c>
      <c r="C33" s="176" t="s">
        <v>71</v>
      </c>
      <c r="D33" s="181">
        <v>100.3</v>
      </c>
      <c r="E33" s="181">
        <v>100.1</v>
      </c>
      <c r="F33" s="184" t="s">
        <v>236</v>
      </c>
      <c r="G33" s="186">
        <v>100.096</v>
      </c>
      <c r="H33" s="187">
        <v>7.3999999999999996E-2</v>
      </c>
      <c r="I33" s="176" t="s">
        <v>237</v>
      </c>
      <c r="J33" s="176" t="s">
        <v>238</v>
      </c>
      <c r="K33" s="186">
        <v>0.191</v>
      </c>
      <c r="L33" s="176"/>
    </row>
    <row r="34" spans="1:12">
      <c r="A34" s="176" t="s">
        <v>252</v>
      </c>
      <c r="B34" s="176" t="s">
        <v>273</v>
      </c>
      <c r="C34" s="176" t="s">
        <v>203</v>
      </c>
      <c r="D34" s="181">
        <v>68.010000000000005</v>
      </c>
      <c r="E34" s="181">
        <v>35.56</v>
      </c>
      <c r="F34" s="184" t="s">
        <v>236</v>
      </c>
      <c r="G34" s="186">
        <v>35.558999999999997</v>
      </c>
      <c r="H34" s="187">
        <v>3.9E-2</v>
      </c>
      <c r="I34" s="176" t="s">
        <v>237</v>
      </c>
      <c r="J34" s="176" t="s">
        <v>238</v>
      </c>
      <c r="K34" s="186">
        <v>0</v>
      </c>
      <c r="L34" s="176"/>
    </row>
    <row r="35" spans="1:12">
      <c r="A35" s="176" t="s">
        <v>252</v>
      </c>
      <c r="B35" s="176" t="s">
        <v>274</v>
      </c>
      <c r="C35" s="176" t="s">
        <v>80</v>
      </c>
      <c r="D35" s="181">
        <v>100.4</v>
      </c>
      <c r="E35" s="181">
        <v>104.29</v>
      </c>
      <c r="F35" s="185" t="s">
        <v>236</v>
      </c>
      <c r="G35" s="186">
        <v>104.288</v>
      </c>
      <c r="H35" s="187">
        <v>3.6499999999999998E-2</v>
      </c>
      <c r="I35" s="176" t="s">
        <v>237</v>
      </c>
      <c r="J35" s="176" t="s">
        <v>238</v>
      </c>
      <c r="K35" s="186">
        <v>0.26900000000000002</v>
      </c>
      <c r="L35" s="176"/>
    </row>
    <row r="36" spans="1:12">
      <c r="A36" s="176" t="s">
        <v>275</v>
      </c>
      <c r="B36" s="176" t="s">
        <v>276</v>
      </c>
      <c r="C36" s="176" t="s">
        <v>48</v>
      </c>
      <c r="D36" s="181">
        <v>1994</v>
      </c>
      <c r="E36" s="181">
        <v>2087.54</v>
      </c>
      <c r="F36" s="184" t="s">
        <v>236</v>
      </c>
      <c r="G36" s="186">
        <v>2087.5360000000001</v>
      </c>
      <c r="H36" s="187">
        <v>5.28E-2</v>
      </c>
      <c r="I36" s="176" t="s">
        <v>246</v>
      </c>
      <c r="J36" s="176" t="s">
        <v>238</v>
      </c>
      <c r="K36" s="186">
        <v>2.0310000000000001</v>
      </c>
      <c r="L36" s="176"/>
    </row>
    <row r="37" spans="1:12">
      <c r="A37" s="176" t="s">
        <v>252</v>
      </c>
      <c r="B37" s="176" t="s">
        <v>277</v>
      </c>
      <c r="C37" s="176" t="s">
        <v>200</v>
      </c>
      <c r="D37" s="181">
        <v>112.55</v>
      </c>
      <c r="E37" s="181">
        <v>101.36</v>
      </c>
      <c r="F37" s="184" t="s">
        <v>236</v>
      </c>
      <c r="G37" s="186">
        <v>101.35599999999999</v>
      </c>
      <c r="H37" s="187">
        <v>3.8800000000000001E-2</v>
      </c>
      <c r="I37" s="176" t="s">
        <v>237</v>
      </c>
      <c r="J37" s="176" t="s">
        <v>238</v>
      </c>
      <c r="K37" s="186">
        <v>1.5349999999999999</v>
      </c>
      <c r="L37" s="176"/>
    </row>
    <row r="38" spans="1:12">
      <c r="A38" s="176" t="s">
        <v>252</v>
      </c>
      <c r="B38" s="176" t="s">
        <v>278</v>
      </c>
      <c r="C38" s="176" t="s">
        <v>198</v>
      </c>
      <c r="D38" s="181">
        <v>97.35</v>
      </c>
      <c r="E38" s="181">
        <v>93.63</v>
      </c>
      <c r="F38" s="184" t="s">
        <v>236</v>
      </c>
      <c r="G38" s="186">
        <v>93.634</v>
      </c>
      <c r="H38" s="187">
        <v>3.6600000000000001E-2</v>
      </c>
      <c r="I38" s="176" t="s">
        <v>237</v>
      </c>
      <c r="J38" s="176" t="s">
        <v>238</v>
      </c>
      <c r="K38" s="186">
        <v>1.97</v>
      </c>
      <c r="L38" s="176"/>
    </row>
    <row r="39" spans="1:12">
      <c r="A39" s="176" t="s">
        <v>252</v>
      </c>
      <c r="B39" s="176" t="s">
        <v>279</v>
      </c>
      <c r="C39" s="176" t="s">
        <v>199</v>
      </c>
      <c r="D39" s="181">
        <v>92.9</v>
      </c>
      <c r="E39" s="181">
        <v>97.73</v>
      </c>
      <c r="F39" s="184" t="s">
        <v>236</v>
      </c>
      <c r="G39" s="186">
        <v>97.727999999999994</v>
      </c>
      <c r="H39" s="187">
        <v>3.8600000000000002E-2</v>
      </c>
      <c r="I39" s="176" t="s">
        <v>237</v>
      </c>
      <c r="J39" s="176" t="s">
        <v>238</v>
      </c>
      <c r="K39" s="186">
        <v>1.8819999999999999</v>
      </c>
      <c r="L39" s="176"/>
    </row>
    <row r="40" spans="1:12">
      <c r="A40" s="176" t="s">
        <v>252</v>
      </c>
      <c r="B40" s="176" t="s">
        <v>280</v>
      </c>
      <c r="C40" s="176" t="s">
        <v>93</v>
      </c>
      <c r="D40" s="181">
        <v>102.1</v>
      </c>
      <c r="E40" s="181">
        <v>104.37</v>
      </c>
      <c r="F40" s="185" t="s">
        <v>236</v>
      </c>
      <c r="G40" s="186">
        <v>104.36799999999999</v>
      </c>
      <c r="H40" s="187">
        <v>3.7499999999999999E-2</v>
      </c>
      <c r="I40" s="176" t="s">
        <v>237</v>
      </c>
      <c r="J40" s="176" t="s">
        <v>238</v>
      </c>
      <c r="K40" s="186">
        <v>0.96399999999999997</v>
      </c>
      <c r="L40" s="175"/>
    </row>
    <row r="41" spans="1:12">
      <c r="A41" s="176" t="s">
        <v>275</v>
      </c>
      <c r="B41" s="176" t="s">
        <v>281</v>
      </c>
      <c r="C41" s="176" t="s">
        <v>82</v>
      </c>
      <c r="D41" s="181">
        <v>2320</v>
      </c>
      <c r="E41" s="181">
        <v>2310.0500000000002</v>
      </c>
      <c r="F41" s="185" t="s">
        <v>236</v>
      </c>
      <c r="G41" s="186">
        <v>2310.049</v>
      </c>
      <c r="H41" s="187">
        <v>6.2E-2</v>
      </c>
      <c r="I41" s="176" t="s">
        <v>250</v>
      </c>
      <c r="J41" s="176" t="s">
        <v>238</v>
      </c>
      <c r="K41" s="186">
        <v>4.0730000000000004</v>
      </c>
      <c r="L41" s="175"/>
    </row>
    <row r="42" spans="1:12">
      <c r="A42" s="176" t="s">
        <v>283</v>
      </c>
      <c r="B42" s="176" t="s">
        <v>284</v>
      </c>
      <c r="C42" s="176" t="s">
        <v>224</v>
      </c>
      <c r="D42" s="181">
        <v>104.95</v>
      </c>
      <c r="E42" s="181">
        <v>105.76</v>
      </c>
      <c r="F42" s="185" t="s">
        <v>236</v>
      </c>
      <c r="G42" s="186">
        <v>105.755</v>
      </c>
      <c r="H42" s="187">
        <v>3.9199999999999999E-2</v>
      </c>
      <c r="I42" s="176" t="s">
        <v>250</v>
      </c>
      <c r="J42" s="176" t="s">
        <v>238</v>
      </c>
      <c r="K42" s="186">
        <v>1.825</v>
      </c>
      <c r="L42" s="175"/>
    </row>
    <row r="43" spans="1:12">
      <c r="A43" s="176" t="s">
        <v>283</v>
      </c>
      <c r="B43" s="176" t="s">
        <v>351</v>
      </c>
      <c r="C43" s="176" t="s">
        <v>348</v>
      </c>
      <c r="D43" s="181">
        <v>0</v>
      </c>
      <c r="E43" s="181">
        <v>102.08</v>
      </c>
      <c r="F43" s="184" t="s">
        <v>236</v>
      </c>
      <c r="G43" s="186">
        <v>102.083</v>
      </c>
      <c r="H43" s="187">
        <v>2.75E-2</v>
      </c>
      <c r="I43" s="176" t="s">
        <v>250</v>
      </c>
      <c r="J43" s="176" t="s">
        <v>255</v>
      </c>
      <c r="K43" s="186">
        <v>1.2849999999999999</v>
      </c>
      <c r="L43" s="176"/>
    </row>
    <row r="44" spans="1:12">
      <c r="A44" s="175" t="s">
        <v>275</v>
      </c>
      <c r="B44" s="175" t="s">
        <v>358</v>
      </c>
      <c r="C44" s="175" t="s">
        <v>359</v>
      </c>
      <c r="D44" s="181">
        <v>0</v>
      </c>
      <c r="E44" s="181">
        <v>2204.0300000000002</v>
      </c>
      <c r="F44" s="175" t="s">
        <v>236</v>
      </c>
      <c r="G44" s="175">
        <v>2204.0279999999998</v>
      </c>
      <c r="H44" s="173">
        <v>4.3700000000000003E-2</v>
      </c>
      <c r="I44" s="175" t="s">
        <v>250</v>
      </c>
      <c r="J44" s="175" t="s">
        <v>255</v>
      </c>
      <c r="K44" s="175">
        <v>1.837</v>
      </c>
      <c r="L44" s="175"/>
    </row>
    <row r="45" spans="1:12">
      <c r="A45" s="175"/>
      <c r="B45" s="175"/>
      <c r="C45" s="176"/>
      <c r="D45" s="181"/>
      <c r="E45" s="181"/>
      <c r="F45" s="175"/>
      <c r="G45" s="186"/>
      <c r="H45" s="187"/>
      <c r="I45" s="175"/>
      <c r="J45" s="176"/>
      <c r="K45" s="186"/>
      <c r="L45" s="175"/>
    </row>
    <row r="46" spans="1:12">
      <c r="A46" s="175"/>
      <c r="B46" s="175"/>
      <c r="C46" s="176" t="s">
        <v>192</v>
      </c>
      <c r="D46" s="181">
        <v>96.57</v>
      </c>
      <c r="E46" s="181">
        <v>100</v>
      </c>
      <c r="F46" s="175"/>
      <c r="G46" s="186">
        <v>96.570999999999998</v>
      </c>
      <c r="H46" s="187">
        <v>0.26450000000000001</v>
      </c>
      <c r="I46" s="175"/>
      <c r="J46" s="176" t="s">
        <v>282</v>
      </c>
      <c r="K46" s="186">
        <v>0.106</v>
      </c>
      <c r="L46" s="175"/>
    </row>
    <row r="47" spans="1:12">
      <c r="A47" s="175"/>
      <c r="B47" s="175"/>
      <c r="C47" s="176" t="s">
        <v>193</v>
      </c>
      <c r="D47" s="181">
        <v>94.75</v>
      </c>
      <c r="E47" s="181">
        <v>100</v>
      </c>
      <c r="F47" s="175"/>
      <c r="G47" s="186">
        <v>94.753</v>
      </c>
      <c r="H47" s="187">
        <v>0.26250000000000001</v>
      </c>
      <c r="I47" s="175"/>
      <c r="J47" s="176" t="s">
        <v>282</v>
      </c>
      <c r="K47" s="186">
        <v>0.16700000000000001</v>
      </c>
      <c r="L47" s="175"/>
    </row>
    <row r="48" spans="1:12">
      <c r="A48" s="175"/>
      <c r="B48" s="175"/>
      <c r="C48" s="176" t="s">
        <v>194</v>
      </c>
      <c r="D48" s="181">
        <v>92.6</v>
      </c>
      <c r="E48" s="181">
        <v>100</v>
      </c>
      <c r="F48" s="185"/>
      <c r="G48" s="186">
        <v>92.602999999999994</v>
      </c>
      <c r="H48" s="187">
        <v>0.25800000000000001</v>
      </c>
      <c r="I48" s="175"/>
      <c r="J48" s="176" t="s">
        <v>282</v>
      </c>
      <c r="K48" s="186">
        <v>0.246</v>
      </c>
      <c r="L48" s="175"/>
    </row>
    <row r="49" spans="3:11">
      <c r="C49" s="96" t="s">
        <v>195</v>
      </c>
      <c r="D49" s="97">
        <v>90.87</v>
      </c>
      <c r="E49" s="97">
        <v>90.93</v>
      </c>
      <c r="F49" s="98" t="s">
        <v>236</v>
      </c>
      <c r="G49" s="99">
        <v>90.932000000000002</v>
      </c>
      <c r="H49" s="174">
        <v>0.26</v>
      </c>
      <c r="J49" s="96" t="s">
        <v>238</v>
      </c>
      <c r="K49" s="85">
        <v>0.30399999999999999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30"/>
  <sheetViews>
    <sheetView workbookViewId="0">
      <selection activeCell="H11" sqref="H11"/>
    </sheetView>
  </sheetViews>
  <sheetFormatPr baseColWidth="10" defaultRowHeight="15"/>
  <sheetData>
    <row r="1" spans="1:12" ht="18.75">
      <c r="A1" s="143" t="s">
        <v>300</v>
      </c>
      <c r="B1" s="103"/>
      <c r="C1" s="114"/>
      <c r="D1" s="103"/>
      <c r="E1" s="103"/>
      <c r="F1" s="103"/>
      <c r="G1" s="103"/>
      <c r="H1" s="103"/>
      <c r="I1" s="103"/>
      <c r="J1" s="103"/>
      <c r="K1" s="103"/>
      <c r="L1" s="103"/>
    </row>
    <row r="2" spans="1:12">
      <c r="A2" s="118"/>
      <c r="B2" s="103"/>
      <c r="C2" s="103"/>
      <c r="D2" s="103"/>
      <c r="E2" s="103"/>
      <c r="F2" s="103"/>
      <c r="G2" s="126"/>
      <c r="H2" s="103"/>
      <c r="I2" s="103"/>
      <c r="J2" s="103"/>
      <c r="K2" s="103"/>
      <c r="L2" s="103"/>
    </row>
    <row r="3" spans="1:12">
      <c r="A3" s="119" t="s">
        <v>301</v>
      </c>
      <c r="B3" s="120"/>
      <c r="C3" s="120"/>
      <c r="D3" s="120"/>
      <c r="E3" s="120"/>
      <c r="F3" s="147"/>
      <c r="G3" s="120"/>
      <c r="H3" s="120"/>
      <c r="I3" s="122"/>
      <c r="J3" s="122"/>
      <c r="K3" s="122"/>
      <c r="L3" s="157"/>
    </row>
    <row r="4" spans="1:12">
      <c r="A4" s="119"/>
      <c r="B4" s="120"/>
      <c r="C4" s="120"/>
      <c r="D4" s="120"/>
      <c r="E4" s="120"/>
      <c r="F4" s="147"/>
      <c r="G4" s="120"/>
      <c r="H4" s="120"/>
      <c r="I4" s="122"/>
      <c r="J4" s="122"/>
      <c r="K4" s="122"/>
      <c r="L4" s="157"/>
    </row>
    <row r="5" spans="1:12" ht="30">
      <c r="A5" s="123" t="s">
        <v>0</v>
      </c>
      <c r="B5" s="123" t="s">
        <v>1</v>
      </c>
      <c r="C5" s="123" t="s">
        <v>2</v>
      </c>
      <c r="D5" s="123" t="s">
        <v>3</v>
      </c>
      <c r="E5" s="123" t="s">
        <v>302</v>
      </c>
      <c r="F5" s="148" t="s">
        <v>4</v>
      </c>
      <c r="G5" s="123" t="s">
        <v>303</v>
      </c>
      <c r="H5" s="123" t="s">
        <v>304</v>
      </c>
      <c r="I5" s="124" t="s">
        <v>305</v>
      </c>
      <c r="J5" s="124" t="s">
        <v>306</v>
      </c>
      <c r="K5" s="124" t="s">
        <v>307</v>
      </c>
      <c r="L5" s="158" t="s">
        <v>5</v>
      </c>
    </row>
    <row r="6" spans="1:12">
      <c r="A6" s="160" t="s">
        <v>21</v>
      </c>
      <c r="B6" s="161" t="s">
        <v>22</v>
      </c>
      <c r="C6" s="162">
        <v>44837</v>
      </c>
      <c r="D6" s="163" t="s">
        <v>85</v>
      </c>
      <c r="E6" s="160" t="s">
        <v>301</v>
      </c>
      <c r="F6" s="146">
        <v>70000000</v>
      </c>
      <c r="G6" s="164">
        <v>42879</v>
      </c>
      <c r="H6" s="165">
        <v>0.21039573550224308</v>
      </c>
      <c r="I6" s="156">
        <v>1.0449999999999999</v>
      </c>
      <c r="J6" s="156">
        <v>1.0449999999999999</v>
      </c>
      <c r="K6" s="156">
        <v>1.1066640000000001</v>
      </c>
      <c r="L6" s="156">
        <v>1.1066640000000001</v>
      </c>
    </row>
    <row r="7" spans="1:12">
      <c r="A7" s="160" t="s">
        <v>39</v>
      </c>
      <c r="B7" s="161"/>
      <c r="C7" s="162">
        <v>44587</v>
      </c>
      <c r="D7" s="163" t="s">
        <v>308</v>
      </c>
      <c r="E7" s="160" t="s">
        <v>301</v>
      </c>
      <c r="F7" s="146">
        <v>1000000</v>
      </c>
      <c r="G7" s="164">
        <v>42837</v>
      </c>
      <c r="H7" s="165">
        <v>4.6927347779273987E-2</v>
      </c>
      <c r="I7" s="156">
        <v>1.0434680000000001</v>
      </c>
      <c r="J7" s="156">
        <v>1.0434680000000001</v>
      </c>
      <c r="K7" s="156">
        <v>20.55</v>
      </c>
      <c r="L7" s="156">
        <v>20.55</v>
      </c>
    </row>
    <row r="8" spans="1:12">
      <c r="A8" s="160" t="s">
        <v>39</v>
      </c>
      <c r="B8" s="161"/>
      <c r="C8" s="162">
        <v>44587</v>
      </c>
      <c r="D8" s="163" t="s">
        <v>308</v>
      </c>
      <c r="E8" s="160" t="s">
        <v>301</v>
      </c>
      <c r="F8" s="146">
        <v>1000000</v>
      </c>
      <c r="G8" s="164">
        <v>42836</v>
      </c>
      <c r="H8" s="165">
        <v>4.9420908093452454E-2</v>
      </c>
      <c r="I8" s="156">
        <v>1.0325</v>
      </c>
      <c r="J8" s="156">
        <v>1.0325</v>
      </c>
      <c r="K8" s="156">
        <v>20.55</v>
      </c>
      <c r="L8" s="156">
        <v>20.55</v>
      </c>
    </row>
    <row r="9" spans="1:12">
      <c r="A9" s="160" t="s">
        <v>39</v>
      </c>
      <c r="B9" s="161"/>
      <c r="C9" s="162">
        <v>44587</v>
      </c>
      <c r="D9" s="163" t="s">
        <v>308</v>
      </c>
      <c r="E9" s="160" t="s">
        <v>301</v>
      </c>
      <c r="F9" s="146">
        <v>1000000</v>
      </c>
      <c r="G9" s="164">
        <v>42850</v>
      </c>
      <c r="H9" s="165">
        <v>4.336248934268952E-2</v>
      </c>
      <c r="I9" s="156">
        <v>1.0325</v>
      </c>
      <c r="J9" s="156">
        <v>1.0325</v>
      </c>
      <c r="K9" s="156">
        <v>20.55</v>
      </c>
      <c r="L9" s="156">
        <v>20.55</v>
      </c>
    </row>
    <row r="10" spans="1:12">
      <c r="A10" s="160" t="s">
        <v>18</v>
      </c>
      <c r="B10" s="161" t="s">
        <v>19</v>
      </c>
      <c r="C10" s="162">
        <v>43891</v>
      </c>
      <c r="D10" s="163" t="s">
        <v>85</v>
      </c>
      <c r="E10" s="160" t="s">
        <v>301</v>
      </c>
      <c r="F10" s="146">
        <v>40000000</v>
      </c>
      <c r="G10" s="164">
        <v>42430</v>
      </c>
      <c r="H10" s="165">
        <v>0.35</v>
      </c>
      <c r="I10" s="156">
        <v>0.98799999999999999</v>
      </c>
      <c r="J10" s="156">
        <v>0.98799999999999999</v>
      </c>
      <c r="K10" s="156">
        <v>1.0545869999999999</v>
      </c>
      <c r="L10" s="156">
        <v>1.0545869999999999</v>
      </c>
    </row>
    <row r="11" spans="1:12">
      <c r="A11" s="160" t="s">
        <v>18</v>
      </c>
      <c r="B11" s="161" t="s">
        <v>19</v>
      </c>
      <c r="C11" s="162">
        <v>43891</v>
      </c>
      <c r="D11" s="163" t="s">
        <v>85</v>
      </c>
      <c r="E11" s="160" t="s">
        <v>301</v>
      </c>
      <c r="F11" s="146">
        <v>30000000</v>
      </c>
      <c r="G11" s="164">
        <v>42430</v>
      </c>
      <c r="H11" s="165">
        <v>0.35</v>
      </c>
      <c r="I11" s="156">
        <v>0.98799999999999999</v>
      </c>
      <c r="J11" s="156">
        <v>0.98799999999999999</v>
      </c>
      <c r="K11" s="156">
        <v>1.0545869999999999</v>
      </c>
      <c r="L11" s="156">
        <v>1.0545869999999999</v>
      </c>
    </row>
    <row r="12" spans="1:12">
      <c r="A12" s="160" t="s">
        <v>18</v>
      </c>
      <c r="B12" s="161" t="s">
        <v>19</v>
      </c>
      <c r="C12" s="162">
        <v>43891</v>
      </c>
      <c r="D12" s="163" t="s">
        <v>85</v>
      </c>
      <c r="E12" s="160" t="s">
        <v>301</v>
      </c>
      <c r="F12" s="146">
        <v>20000000</v>
      </c>
      <c r="G12" s="164">
        <v>42502</v>
      </c>
      <c r="H12" s="165">
        <v>0.35</v>
      </c>
      <c r="I12" s="156">
        <v>0.98799999999999999</v>
      </c>
      <c r="J12" s="156">
        <v>0.98799999999999999</v>
      </c>
      <c r="K12" s="156">
        <v>1.0545869999999999</v>
      </c>
      <c r="L12" s="156">
        <v>1.0545869999999999</v>
      </c>
    </row>
    <row r="13" spans="1:12">
      <c r="A13" s="160" t="s">
        <v>18</v>
      </c>
      <c r="B13" s="161" t="s">
        <v>19</v>
      </c>
      <c r="C13" s="162">
        <v>43891</v>
      </c>
      <c r="D13" s="163" t="s">
        <v>85</v>
      </c>
      <c r="E13" s="160" t="s">
        <v>301</v>
      </c>
      <c r="F13" s="146">
        <v>30000000</v>
      </c>
      <c r="G13" s="164">
        <v>42509</v>
      </c>
      <c r="H13" s="165">
        <v>0.35</v>
      </c>
      <c r="I13" s="156">
        <v>0.98799999999999999</v>
      </c>
      <c r="J13" s="156">
        <v>0.98799999999999999</v>
      </c>
      <c r="K13" s="156">
        <v>1.0545869999999999</v>
      </c>
      <c r="L13" s="156">
        <v>1.0545869999999999</v>
      </c>
    </row>
    <row r="14" spans="1:12">
      <c r="A14" s="160" t="s">
        <v>36</v>
      </c>
      <c r="B14" s="161" t="s">
        <v>37</v>
      </c>
      <c r="C14" s="162">
        <v>43174</v>
      </c>
      <c r="D14" s="163" t="s">
        <v>85</v>
      </c>
      <c r="E14" s="160" t="s">
        <v>301</v>
      </c>
      <c r="F14" s="149">
        <v>633000</v>
      </c>
      <c r="G14" s="164">
        <v>41960</v>
      </c>
      <c r="H14" s="165">
        <v>2.4191251397132872E-2</v>
      </c>
      <c r="I14" s="156">
        <v>8.5114999999999998</v>
      </c>
      <c r="J14" s="156">
        <v>8.5114999999999998</v>
      </c>
      <c r="K14" s="156">
        <v>20.32</v>
      </c>
      <c r="L14" s="156">
        <v>20.32</v>
      </c>
    </row>
    <row r="15" spans="1:12">
      <c r="A15" s="160" t="s">
        <v>36</v>
      </c>
      <c r="B15" s="161" t="s">
        <v>37</v>
      </c>
      <c r="C15" s="162">
        <v>43174</v>
      </c>
      <c r="D15" s="163" t="s">
        <v>85</v>
      </c>
      <c r="E15" s="160" t="s">
        <v>301</v>
      </c>
      <c r="F15" s="149">
        <v>1133398</v>
      </c>
      <c r="G15" s="164">
        <v>41960</v>
      </c>
      <c r="H15" s="165">
        <v>2.4191251397132872E-2</v>
      </c>
      <c r="I15" s="156">
        <v>8.5114999999999998</v>
      </c>
      <c r="J15" s="156">
        <v>8.5114999999999998</v>
      </c>
      <c r="K15" s="156">
        <v>20.32</v>
      </c>
      <c r="L15" s="156">
        <v>20.32</v>
      </c>
    </row>
    <row r="16" spans="1:12">
      <c r="A16" s="160" t="s">
        <v>16</v>
      </c>
      <c r="B16" s="161" t="s">
        <v>17</v>
      </c>
      <c r="C16" s="162">
        <v>43535</v>
      </c>
      <c r="D16" s="163" t="s">
        <v>85</v>
      </c>
      <c r="E16" s="160" t="s">
        <v>301</v>
      </c>
      <c r="F16" s="149">
        <v>6456203</v>
      </c>
      <c r="G16" s="164">
        <v>41656</v>
      </c>
      <c r="H16" s="165">
        <v>0.26</v>
      </c>
      <c r="I16" s="156">
        <v>1.0226331</v>
      </c>
      <c r="J16" s="156">
        <v>1.0226331</v>
      </c>
      <c r="K16" s="156">
        <v>1.0709839999999999</v>
      </c>
      <c r="L16" s="156">
        <v>1.0709839999999999</v>
      </c>
    </row>
    <row r="17" spans="1:12">
      <c r="A17" s="160" t="s">
        <v>16</v>
      </c>
      <c r="B17" s="161" t="s">
        <v>17</v>
      </c>
      <c r="C17" s="162">
        <v>43535</v>
      </c>
      <c r="D17" s="163" t="s">
        <v>85</v>
      </c>
      <c r="E17" s="160" t="s">
        <v>301</v>
      </c>
      <c r="F17" s="149">
        <v>40000000</v>
      </c>
      <c r="G17" s="164">
        <v>42510</v>
      </c>
      <c r="H17" s="165">
        <v>0.24366399999999999</v>
      </c>
      <c r="I17" s="156">
        <v>1.0465</v>
      </c>
      <c r="J17" s="156">
        <v>1.0465</v>
      </c>
      <c r="K17" s="156">
        <v>1.0709839999999999</v>
      </c>
      <c r="L17" s="156">
        <v>1.0709839999999999</v>
      </c>
    </row>
    <row r="18" spans="1:12">
      <c r="A18" s="160" t="s">
        <v>16</v>
      </c>
      <c r="B18" s="161" t="s">
        <v>17</v>
      </c>
      <c r="C18" s="162">
        <v>43535</v>
      </c>
      <c r="D18" s="163" t="s">
        <v>85</v>
      </c>
      <c r="E18" s="160" t="s">
        <v>301</v>
      </c>
      <c r="F18" s="146">
        <v>10000000</v>
      </c>
      <c r="G18" s="164">
        <v>42510</v>
      </c>
      <c r="H18" s="165">
        <v>0.24337900000000001</v>
      </c>
      <c r="I18" s="156">
        <v>1.0469999999999999</v>
      </c>
      <c r="J18" s="156">
        <v>1.0469999999999999</v>
      </c>
      <c r="K18" s="156">
        <v>1.0709839999999999</v>
      </c>
      <c r="L18" s="156">
        <v>1.0709839999999999</v>
      </c>
    </row>
    <row r="19" spans="1:12">
      <c r="A19" s="160" t="s">
        <v>16</v>
      </c>
      <c r="B19" s="161" t="s">
        <v>17</v>
      </c>
      <c r="C19" s="162">
        <v>43535</v>
      </c>
      <c r="D19" s="163" t="s">
        <v>85</v>
      </c>
      <c r="E19" s="160" t="s">
        <v>301</v>
      </c>
      <c r="F19" s="146">
        <v>20000000</v>
      </c>
      <c r="G19" s="164">
        <v>42564</v>
      </c>
      <c r="H19" s="165">
        <v>0.23017000000000001</v>
      </c>
      <c r="I19" s="156">
        <v>1.0469999999999999</v>
      </c>
      <c r="J19" s="156">
        <v>1.0469999999999999</v>
      </c>
      <c r="K19" s="156">
        <v>1.0709839999999999</v>
      </c>
      <c r="L19" s="156">
        <v>1.0709839999999999</v>
      </c>
    </row>
    <row r="20" spans="1:12">
      <c r="A20" s="160" t="s">
        <v>16</v>
      </c>
      <c r="B20" s="161" t="s">
        <v>17</v>
      </c>
      <c r="C20" s="162">
        <v>43535</v>
      </c>
      <c r="D20" s="163" t="s">
        <v>85</v>
      </c>
      <c r="E20" s="160" t="s">
        <v>301</v>
      </c>
      <c r="F20" s="146">
        <v>10000000</v>
      </c>
      <c r="G20" s="164">
        <v>42565</v>
      </c>
      <c r="H20" s="165">
        <v>0.235925</v>
      </c>
      <c r="I20" s="156">
        <v>1.0469999999999999</v>
      </c>
      <c r="J20" s="156">
        <v>1.0469999999999999</v>
      </c>
      <c r="K20" s="156">
        <v>1.0709839999999999</v>
      </c>
      <c r="L20" s="156">
        <v>1.0709839999999999</v>
      </c>
    </row>
    <row r="21" spans="1:12">
      <c r="A21" s="160" t="s">
        <v>16</v>
      </c>
      <c r="B21" s="161" t="s">
        <v>309</v>
      </c>
      <c r="C21" s="162">
        <v>43535</v>
      </c>
      <c r="D21" s="163" t="s">
        <v>85</v>
      </c>
      <c r="E21" s="160" t="s">
        <v>301</v>
      </c>
      <c r="F21" s="146">
        <v>20000000</v>
      </c>
      <c r="G21" s="164">
        <v>42604</v>
      </c>
      <c r="H21" s="165">
        <v>0.23649999999999999</v>
      </c>
      <c r="I21" s="156">
        <v>1.077</v>
      </c>
      <c r="J21" s="156">
        <v>1.077</v>
      </c>
      <c r="K21" s="156">
        <v>1.0709839999999999</v>
      </c>
      <c r="L21" s="156">
        <v>1.0709839999999999</v>
      </c>
    </row>
    <row r="22" spans="1:12">
      <c r="A22" s="160" t="s">
        <v>16</v>
      </c>
      <c r="B22" s="161" t="s">
        <v>17</v>
      </c>
      <c r="C22" s="162">
        <v>43535</v>
      </c>
      <c r="D22" s="163" t="s">
        <v>85</v>
      </c>
      <c r="E22" s="160" t="s">
        <v>301</v>
      </c>
      <c r="F22" s="146">
        <v>69286329</v>
      </c>
      <c r="G22" s="164">
        <v>41656</v>
      </c>
      <c r="H22" s="165">
        <v>0.26</v>
      </c>
      <c r="I22" s="156">
        <v>1.0226331</v>
      </c>
      <c r="J22" s="156">
        <v>1.0226331</v>
      </c>
      <c r="K22" s="156">
        <v>1.0709839999999999</v>
      </c>
      <c r="L22" s="156">
        <v>1.0709839999999999</v>
      </c>
    </row>
    <row r="23" spans="1:12">
      <c r="A23" s="160" t="s">
        <v>23</v>
      </c>
      <c r="B23" s="161"/>
      <c r="C23" s="162">
        <v>44838</v>
      </c>
      <c r="D23" s="163" t="s">
        <v>85</v>
      </c>
      <c r="E23" s="160" t="s">
        <v>301</v>
      </c>
      <c r="F23" s="146">
        <v>50000000</v>
      </c>
      <c r="G23" s="164">
        <v>42921</v>
      </c>
      <c r="H23" s="165">
        <v>0.20899999999999999</v>
      </c>
      <c r="I23" s="156">
        <v>1.6</v>
      </c>
      <c r="J23" s="156">
        <v>1.6</v>
      </c>
      <c r="K23" s="156">
        <v>1.79</v>
      </c>
      <c r="L23" s="156">
        <v>1.79</v>
      </c>
    </row>
    <row r="24" spans="1:12">
      <c r="A24" s="160" t="s">
        <v>27</v>
      </c>
      <c r="B24" s="161" t="s">
        <v>17</v>
      </c>
      <c r="C24" s="162">
        <v>44003</v>
      </c>
      <c r="D24" s="163" t="s">
        <v>85</v>
      </c>
      <c r="E24" s="160" t="s">
        <v>301</v>
      </c>
      <c r="F24" s="146">
        <v>170000000</v>
      </c>
      <c r="G24" s="164">
        <v>42905</v>
      </c>
      <c r="H24" s="165">
        <v>0.22108455300331117</v>
      </c>
      <c r="I24" s="156">
        <v>1.01</v>
      </c>
      <c r="J24" s="156">
        <v>1.01</v>
      </c>
      <c r="K24" s="156">
        <v>1.1409</v>
      </c>
      <c r="L24" s="156">
        <v>1.1409</v>
      </c>
    </row>
    <row r="25" spans="1:12">
      <c r="A25" s="160" t="s">
        <v>30</v>
      </c>
      <c r="B25" s="161"/>
      <c r="C25" s="162">
        <v>44399</v>
      </c>
      <c r="D25" s="163" t="s">
        <v>85</v>
      </c>
      <c r="E25" s="160" t="s">
        <v>301</v>
      </c>
      <c r="F25" s="149">
        <v>3400000</v>
      </c>
      <c r="G25" s="164">
        <v>42788</v>
      </c>
      <c r="H25" s="165">
        <v>2.5999999999999999E-2</v>
      </c>
      <c r="I25" s="156">
        <v>1.0414000000000001</v>
      </c>
      <c r="J25" s="156">
        <v>1.0414000000000001</v>
      </c>
      <c r="K25" s="156">
        <v>1.359</v>
      </c>
      <c r="L25" s="156">
        <v>1.359</v>
      </c>
    </row>
    <row r="26" spans="1:12">
      <c r="A26" s="160" t="s">
        <v>30</v>
      </c>
      <c r="B26" s="161"/>
      <c r="C26" s="162">
        <v>44399</v>
      </c>
      <c r="D26" s="163" t="s">
        <v>85</v>
      </c>
      <c r="E26" s="160" t="s">
        <v>301</v>
      </c>
      <c r="F26" s="146">
        <v>35000000</v>
      </c>
      <c r="G26" s="164">
        <v>42590</v>
      </c>
      <c r="H26" s="165">
        <v>2.5999999999999999E-2</v>
      </c>
      <c r="I26" s="156">
        <v>1.0414000000000001</v>
      </c>
      <c r="J26" s="156">
        <v>1.0414000000000001</v>
      </c>
      <c r="K26" s="156">
        <v>1.359</v>
      </c>
      <c r="L26" s="156">
        <v>1.359</v>
      </c>
    </row>
    <row r="27" spans="1:12">
      <c r="A27" s="160" t="s">
        <v>30</v>
      </c>
      <c r="B27" s="161"/>
      <c r="C27" s="162">
        <v>44399</v>
      </c>
      <c r="D27" s="163" t="s">
        <v>85</v>
      </c>
      <c r="E27" s="160" t="s">
        <v>301</v>
      </c>
      <c r="F27" s="146">
        <v>5000000</v>
      </c>
      <c r="G27" s="164">
        <v>42753</v>
      </c>
      <c r="H27" s="165">
        <v>4.391821324825286E-2</v>
      </c>
      <c r="I27" s="156">
        <v>1.1365000000000001</v>
      </c>
      <c r="J27" s="156">
        <v>1.1365000000000001</v>
      </c>
      <c r="K27" s="156">
        <v>1.359</v>
      </c>
      <c r="L27" s="156">
        <v>1.359</v>
      </c>
    </row>
    <row r="28" spans="1:12">
      <c r="A28" s="160" t="s">
        <v>30</v>
      </c>
      <c r="B28" s="161"/>
      <c r="C28" s="162">
        <v>44399</v>
      </c>
      <c r="D28" s="163" t="s">
        <v>85</v>
      </c>
      <c r="E28" s="160" t="s">
        <v>301</v>
      </c>
      <c r="F28" s="146">
        <v>20000000</v>
      </c>
      <c r="G28" s="164">
        <v>42753</v>
      </c>
      <c r="H28" s="165">
        <v>4.391821324825286E-2</v>
      </c>
      <c r="I28" s="156">
        <v>1.135</v>
      </c>
      <c r="J28" s="156">
        <v>1.135</v>
      </c>
      <c r="K28" s="156">
        <v>1.359</v>
      </c>
      <c r="L28" s="156">
        <v>1.359</v>
      </c>
    </row>
    <row r="29" spans="1:12">
      <c r="A29" s="160" t="s">
        <v>30</v>
      </c>
      <c r="B29" s="161"/>
      <c r="C29" s="162">
        <v>44399</v>
      </c>
      <c r="D29" s="163" t="s">
        <v>85</v>
      </c>
      <c r="E29" s="160" t="s">
        <v>301</v>
      </c>
      <c r="F29" s="146">
        <v>6000000</v>
      </c>
      <c r="G29" s="164">
        <v>42587</v>
      </c>
      <c r="H29" s="165">
        <v>2.6200000000000001E-2</v>
      </c>
      <c r="I29" s="156">
        <v>1.0414000000000001</v>
      </c>
      <c r="J29" s="156">
        <v>1.0414000000000001</v>
      </c>
      <c r="K29" s="156">
        <v>1.359</v>
      </c>
      <c r="L29" s="156">
        <v>1.359</v>
      </c>
    </row>
    <row r="30" spans="1:12">
      <c r="A30" s="160" t="s">
        <v>30</v>
      </c>
      <c r="B30" s="161"/>
      <c r="C30" s="162">
        <v>44399</v>
      </c>
      <c r="D30" s="163" t="s">
        <v>85</v>
      </c>
      <c r="E30" s="160" t="s">
        <v>301</v>
      </c>
      <c r="F30" s="146">
        <v>10000000</v>
      </c>
      <c r="G30" s="164">
        <v>42594</v>
      </c>
      <c r="H30" s="165">
        <v>2.6200000000000001E-2</v>
      </c>
      <c r="I30" s="156">
        <v>1.0409999999999999</v>
      </c>
      <c r="J30" s="156">
        <v>1.0409999999999999</v>
      </c>
      <c r="K30" s="156">
        <v>1.359</v>
      </c>
      <c r="L30" s="156">
        <v>1.359</v>
      </c>
    </row>
    <row r="31" spans="1:12">
      <c r="A31" s="160" t="s">
        <v>30</v>
      </c>
      <c r="B31" s="161"/>
      <c r="C31" s="162">
        <v>44399</v>
      </c>
      <c r="D31" s="163" t="s">
        <v>85</v>
      </c>
      <c r="E31" s="160" t="s">
        <v>301</v>
      </c>
      <c r="F31" s="146">
        <v>25000000</v>
      </c>
      <c r="G31" s="164">
        <v>42586</v>
      </c>
      <c r="H31" s="165">
        <v>2.6200000000000001E-2</v>
      </c>
      <c r="I31" s="156">
        <v>1.0409999999999999</v>
      </c>
      <c r="J31" s="156">
        <v>1.0409999999999999</v>
      </c>
      <c r="K31" s="156">
        <v>1.359</v>
      </c>
      <c r="L31" s="156">
        <v>1.359</v>
      </c>
    </row>
    <row r="32" spans="1:12">
      <c r="A32" s="160" t="s">
        <v>30</v>
      </c>
      <c r="B32" s="161"/>
      <c r="C32" s="162">
        <v>44399</v>
      </c>
      <c r="D32" s="163" t="s">
        <v>85</v>
      </c>
      <c r="E32" s="160" t="s">
        <v>301</v>
      </c>
      <c r="F32" s="146">
        <v>10000000</v>
      </c>
      <c r="G32" s="164">
        <v>42619</v>
      </c>
      <c r="H32" s="165">
        <v>2.9899999999999999E-2</v>
      </c>
      <c r="I32" s="156">
        <v>1.0229999999999999</v>
      </c>
      <c r="J32" s="156">
        <v>1.0229999999999999</v>
      </c>
      <c r="K32" s="156">
        <v>1.359</v>
      </c>
      <c r="L32" s="156">
        <v>1.359</v>
      </c>
    </row>
    <row r="33" spans="1:12">
      <c r="A33" s="160" t="s">
        <v>30</v>
      </c>
      <c r="B33" s="161"/>
      <c r="C33" s="162">
        <v>44399</v>
      </c>
      <c r="D33" s="163" t="s">
        <v>85</v>
      </c>
      <c r="E33" s="160" t="s">
        <v>301</v>
      </c>
      <c r="F33" s="146">
        <v>20000000</v>
      </c>
      <c r="G33" s="164">
        <v>42619</v>
      </c>
      <c r="H33" s="165">
        <v>2.9700000000000001E-2</v>
      </c>
      <c r="I33" s="156">
        <v>1.024</v>
      </c>
      <c r="J33" s="156">
        <v>1.024</v>
      </c>
      <c r="K33" s="156">
        <v>1.359</v>
      </c>
      <c r="L33" s="156">
        <v>1.359</v>
      </c>
    </row>
    <row r="34" spans="1:12">
      <c r="A34" s="160" t="s">
        <v>30</v>
      </c>
      <c r="B34" s="161"/>
      <c r="C34" s="162">
        <v>44399</v>
      </c>
      <c r="D34" s="163" t="s">
        <v>85</v>
      </c>
      <c r="E34" s="160" t="s">
        <v>301</v>
      </c>
      <c r="F34" s="146">
        <v>25000000</v>
      </c>
      <c r="G34" s="164">
        <v>42642</v>
      </c>
      <c r="H34" s="165">
        <v>2.1526119E-2</v>
      </c>
      <c r="I34" s="156">
        <v>1.0625</v>
      </c>
      <c r="J34" s="156">
        <v>1.0625</v>
      </c>
      <c r="K34" s="156">
        <v>1.359</v>
      </c>
      <c r="L34" s="156">
        <v>1.359</v>
      </c>
    </row>
    <row r="35" spans="1:12">
      <c r="A35" s="160" t="s">
        <v>30</v>
      </c>
      <c r="B35" s="161"/>
      <c r="C35" s="162">
        <v>44399</v>
      </c>
      <c r="D35" s="163" t="s">
        <v>85</v>
      </c>
      <c r="E35" s="160" t="s">
        <v>301</v>
      </c>
      <c r="F35" s="146">
        <v>20000000</v>
      </c>
      <c r="G35" s="164">
        <v>42706</v>
      </c>
      <c r="H35" s="165">
        <v>2.1000000000000001E-2</v>
      </c>
      <c r="I35" s="156">
        <v>1.1165</v>
      </c>
      <c r="J35" s="156">
        <v>1.1165</v>
      </c>
      <c r="K35" s="156">
        <v>1.359</v>
      </c>
      <c r="L35" s="156">
        <v>1.359</v>
      </c>
    </row>
    <row r="36" spans="1:12">
      <c r="A36" s="160" t="s">
        <v>30</v>
      </c>
      <c r="B36" s="161"/>
      <c r="C36" s="162">
        <v>44399</v>
      </c>
      <c r="D36" s="163" t="s">
        <v>85</v>
      </c>
      <c r="E36" s="160" t="s">
        <v>301</v>
      </c>
      <c r="F36" s="146">
        <v>40000000</v>
      </c>
      <c r="G36" s="164">
        <v>42762</v>
      </c>
      <c r="H36" s="165">
        <v>4.5189574360847473E-2</v>
      </c>
      <c r="I36" s="156">
        <v>1.1274999999999999</v>
      </c>
      <c r="J36" s="156">
        <v>1.1274999999999999</v>
      </c>
      <c r="K36" s="156">
        <v>1.359</v>
      </c>
      <c r="L36" s="156">
        <v>1.359</v>
      </c>
    </row>
    <row r="37" spans="1:12">
      <c r="A37" s="160" t="s">
        <v>30</v>
      </c>
      <c r="B37" s="161"/>
      <c r="C37" s="162">
        <v>44399</v>
      </c>
      <c r="D37" s="163" t="s">
        <v>85</v>
      </c>
      <c r="E37" s="160" t="s">
        <v>301</v>
      </c>
      <c r="F37" s="146">
        <v>42200000</v>
      </c>
      <c r="G37" s="164">
        <v>42642</v>
      </c>
      <c r="H37" s="165">
        <v>2.1526119E-2</v>
      </c>
      <c r="I37" s="156">
        <v>1.0625</v>
      </c>
      <c r="J37" s="156">
        <v>1.0625</v>
      </c>
      <c r="K37" s="156">
        <v>1.359</v>
      </c>
      <c r="L37" s="156">
        <v>1.359</v>
      </c>
    </row>
    <row r="38" spans="1:12">
      <c r="A38" s="103"/>
      <c r="B38" s="103"/>
      <c r="C38" s="106"/>
      <c r="D38" s="103"/>
      <c r="E38" s="103"/>
      <c r="F38" s="103"/>
      <c r="G38" s="126"/>
      <c r="H38" s="103"/>
      <c r="I38" s="103"/>
      <c r="J38" s="103"/>
      <c r="K38" s="103"/>
      <c r="L38" s="103"/>
    </row>
    <row r="39" spans="1:12">
      <c r="A39" s="103"/>
      <c r="B39" s="103"/>
      <c r="C39" s="106"/>
      <c r="D39" s="108"/>
      <c r="E39" s="108"/>
      <c r="F39" s="147"/>
      <c r="G39" s="121"/>
      <c r="H39" s="103"/>
      <c r="I39" s="103"/>
      <c r="J39" s="103"/>
      <c r="K39" s="103"/>
      <c r="L39" s="103"/>
    </row>
    <row r="40" spans="1:12">
      <c r="A40" s="119" t="s">
        <v>310</v>
      </c>
      <c r="B40" s="103"/>
      <c r="C40" s="106"/>
      <c r="D40" s="103"/>
      <c r="E40" s="108"/>
      <c r="F40" s="103"/>
      <c r="G40" s="134"/>
      <c r="H40" s="135"/>
      <c r="I40" s="103"/>
      <c r="J40" s="103"/>
      <c r="K40" s="103"/>
      <c r="L40" s="103"/>
    </row>
    <row r="41" spans="1:12">
      <c r="A41" s="103"/>
      <c r="B41" s="103"/>
      <c r="C41" s="106"/>
      <c r="D41" s="103"/>
      <c r="E41" s="103"/>
      <c r="F41" s="103"/>
      <c r="G41" s="103"/>
      <c r="H41" s="103"/>
      <c r="I41" s="103"/>
      <c r="J41" s="103"/>
      <c r="K41" s="103"/>
      <c r="L41" s="103"/>
    </row>
    <row r="42" spans="1:12" ht="30">
      <c r="A42" s="123" t="s">
        <v>0</v>
      </c>
      <c r="B42" s="123" t="s">
        <v>1</v>
      </c>
      <c r="C42" s="123" t="s">
        <v>2</v>
      </c>
      <c r="D42" s="123" t="s">
        <v>3</v>
      </c>
      <c r="E42" s="123" t="s">
        <v>302</v>
      </c>
      <c r="F42" s="148" t="s">
        <v>4</v>
      </c>
      <c r="G42" s="123" t="s">
        <v>303</v>
      </c>
      <c r="H42" s="123" t="s">
        <v>304</v>
      </c>
      <c r="I42" s="124" t="s">
        <v>305</v>
      </c>
      <c r="J42" s="124" t="s">
        <v>306</v>
      </c>
      <c r="K42" s="124" t="s">
        <v>307</v>
      </c>
      <c r="L42" s="158" t="s">
        <v>5</v>
      </c>
    </row>
    <row r="43" spans="1:12">
      <c r="A43" s="160" t="s">
        <v>311</v>
      </c>
      <c r="B43" s="166"/>
      <c r="C43" s="167">
        <v>43236</v>
      </c>
      <c r="D43" s="163" t="s">
        <v>85</v>
      </c>
      <c r="E43" s="163" t="s">
        <v>312</v>
      </c>
      <c r="F43" s="146">
        <v>579600000</v>
      </c>
      <c r="G43" s="164">
        <v>42958</v>
      </c>
      <c r="H43" s="168">
        <v>0.24368361172693759</v>
      </c>
      <c r="I43" s="156">
        <v>1</v>
      </c>
      <c r="J43" s="156">
        <v>1</v>
      </c>
      <c r="K43" s="156">
        <v>0.94808123</v>
      </c>
      <c r="L43" s="159">
        <v>0.94808123</v>
      </c>
    </row>
    <row r="44" spans="1:12">
      <c r="A44" s="160" t="s">
        <v>313</v>
      </c>
      <c r="B44" s="166"/>
      <c r="C44" s="167">
        <v>43272</v>
      </c>
      <c r="D44" s="163" t="s">
        <v>85</v>
      </c>
      <c r="E44" s="163" t="s">
        <v>312</v>
      </c>
      <c r="F44" s="146">
        <v>220000000</v>
      </c>
      <c r="G44" s="164">
        <v>42998</v>
      </c>
      <c r="H44" s="168">
        <v>0.20480567695535343</v>
      </c>
      <c r="I44" s="156">
        <v>1</v>
      </c>
      <c r="J44" s="156">
        <v>1</v>
      </c>
      <c r="K44" s="156">
        <v>0.92624600000000001</v>
      </c>
      <c r="L44" s="159">
        <v>0.92624600000000001</v>
      </c>
    </row>
    <row r="45" spans="1:12">
      <c r="A45" s="160" t="s">
        <v>314</v>
      </c>
      <c r="B45" s="166"/>
      <c r="C45" s="167">
        <v>43299</v>
      </c>
      <c r="D45" s="163" t="s">
        <v>85</v>
      </c>
      <c r="E45" s="163" t="s">
        <v>312</v>
      </c>
      <c r="F45" s="146">
        <v>210000000</v>
      </c>
      <c r="G45" s="164">
        <v>43026</v>
      </c>
      <c r="H45" s="168">
        <v>0.27349918022027686</v>
      </c>
      <c r="I45" s="156">
        <v>1</v>
      </c>
      <c r="J45" s="156">
        <v>1</v>
      </c>
      <c r="K45" s="156">
        <v>0.91116960000000002</v>
      </c>
      <c r="L45" s="159">
        <v>0.91116960000000002</v>
      </c>
    </row>
    <row r="46" spans="1:12">
      <c r="A46" s="160" t="s">
        <v>315</v>
      </c>
      <c r="B46" s="166"/>
      <c r="C46" s="167">
        <v>43208</v>
      </c>
      <c r="D46" s="163" t="s">
        <v>85</v>
      </c>
      <c r="E46" s="163" t="s">
        <v>312</v>
      </c>
      <c r="F46" s="146">
        <v>150000000</v>
      </c>
      <c r="G46" s="164">
        <v>42958</v>
      </c>
      <c r="H46" s="168">
        <v>0.25500192056721921</v>
      </c>
      <c r="I46" s="156">
        <v>1</v>
      </c>
      <c r="J46" s="156">
        <v>1</v>
      </c>
      <c r="K46" s="156">
        <v>0.96630000000000005</v>
      </c>
      <c r="L46" s="159">
        <v>0.96630000000000005</v>
      </c>
    </row>
    <row r="47" spans="1:12">
      <c r="A47" s="103"/>
      <c r="B47" s="103"/>
      <c r="C47" s="106"/>
      <c r="D47" s="103"/>
      <c r="E47" s="103"/>
      <c r="F47" s="103"/>
      <c r="G47" s="103"/>
      <c r="H47" s="103"/>
      <c r="I47" s="103"/>
      <c r="J47" s="103"/>
      <c r="K47" s="103"/>
      <c r="L47" s="103"/>
    </row>
    <row r="48" spans="1:12">
      <c r="A48" s="119" t="s">
        <v>316</v>
      </c>
      <c r="B48" s="120"/>
      <c r="C48" s="103"/>
      <c r="D48" s="120"/>
      <c r="E48" s="120"/>
      <c r="F48" s="103"/>
      <c r="G48" s="103"/>
      <c r="H48" s="120"/>
      <c r="I48" s="122"/>
      <c r="J48" s="122"/>
      <c r="K48" s="122"/>
      <c r="L48" s="157"/>
    </row>
    <row r="49" spans="1:12">
      <c r="A49" s="103"/>
      <c r="B49" s="103"/>
      <c r="C49" s="106"/>
      <c r="D49" s="103"/>
      <c r="E49" s="108"/>
      <c r="F49" s="103"/>
      <c r="G49" s="103"/>
      <c r="H49" s="103"/>
      <c r="I49" s="103"/>
      <c r="J49" s="103"/>
      <c r="K49" s="103"/>
      <c r="L49" s="103"/>
    </row>
    <row r="50" spans="1:12" ht="30">
      <c r="A50" s="123" t="s">
        <v>0</v>
      </c>
      <c r="B50" s="123" t="s">
        <v>1</v>
      </c>
      <c r="C50" s="123" t="s">
        <v>2</v>
      </c>
      <c r="D50" s="123" t="s">
        <v>3</v>
      </c>
      <c r="E50" s="123" t="s">
        <v>302</v>
      </c>
      <c r="F50" s="148" t="s">
        <v>4</v>
      </c>
      <c r="G50" s="123" t="s">
        <v>303</v>
      </c>
      <c r="H50" s="123" t="s">
        <v>304</v>
      </c>
      <c r="I50" s="124" t="s">
        <v>305</v>
      </c>
      <c r="J50" s="124" t="s">
        <v>306</v>
      </c>
      <c r="K50" s="124" t="s">
        <v>307</v>
      </c>
      <c r="L50" s="158" t="s">
        <v>5</v>
      </c>
    </row>
    <row r="51" spans="1:12">
      <c r="A51" s="142" t="s">
        <v>43</v>
      </c>
      <c r="B51" s="104" t="s">
        <v>44</v>
      </c>
      <c r="C51" s="131">
        <v>43881</v>
      </c>
      <c r="D51" s="107" t="s">
        <v>85</v>
      </c>
      <c r="E51" s="127" t="s">
        <v>317</v>
      </c>
      <c r="F51" s="150">
        <v>51500000</v>
      </c>
      <c r="G51" s="116">
        <v>42781</v>
      </c>
      <c r="H51" s="104" t="s">
        <v>44</v>
      </c>
      <c r="I51" s="113">
        <v>1</v>
      </c>
      <c r="J51" s="113">
        <v>1</v>
      </c>
      <c r="K51" s="113">
        <v>1.0001180000000001</v>
      </c>
      <c r="L51" s="156">
        <v>1.0001180000000001</v>
      </c>
    </row>
    <row r="52" spans="1:12">
      <c r="A52" s="170" t="s">
        <v>48</v>
      </c>
      <c r="B52" s="161" t="s">
        <v>15</v>
      </c>
      <c r="C52" s="167">
        <v>43959</v>
      </c>
      <c r="D52" s="163" t="s">
        <v>85</v>
      </c>
      <c r="E52" s="169" t="s">
        <v>317</v>
      </c>
      <c r="F52" s="150">
        <v>3276500</v>
      </c>
      <c r="G52" s="164">
        <v>42860</v>
      </c>
      <c r="H52" s="161" t="s">
        <v>15</v>
      </c>
      <c r="I52" s="156">
        <v>1</v>
      </c>
      <c r="J52" s="156">
        <v>1</v>
      </c>
      <c r="K52" s="156">
        <v>21.886263</v>
      </c>
      <c r="L52" s="156">
        <v>21.886263</v>
      </c>
    </row>
    <row r="53" spans="1:12">
      <c r="A53" s="142" t="s">
        <v>318</v>
      </c>
      <c r="B53" s="104" t="s">
        <v>319</v>
      </c>
      <c r="C53" s="131">
        <v>43875</v>
      </c>
      <c r="D53" s="107" t="s">
        <v>85</v>
      </c>
      <c r="E53" s="127" t="s">
        <v>317</v>
      </c>
      <c r="F53" s="150">
        <v>15000000</v>
      </c>
      <c r="G53" s="116">
        <v>43145</v>
      </c>
      <c r="H53" s="104" t="s">
        <v>319</v>
      </c>
      <c r="I53" s="113">
        <v>1</v>
      </c>
      <c r="J53" s="113">
        <v>1</v>
      </c>
      <c r="K53" s="113">
        <v>1.0091349999999999</v>
      </c>
      <c r="L53" s="156">
        <v>1.0091349999999999</v>
      </c>
    </row>
    <row r="54" spans="1:12">
      <c r="A54" s="170" t="s">
        <v>46</v>
      </c>
      <c r="B54" s="161" t="s">
        <v>47</v>
      </c>
      <c r="C54" s="167">
        <v>43885</v>
      </c>
      <c r="D54" s="163" t="s">
        <v>85</v>
      </c>
      <c r="E54" s="169" t="s">
        <v>317</v>
      </c>
      <c r="F54" s="150">
        <v>50000000</v>
      </c>
      <c r="G54" s="164">
        <v>42788</v>
      </c>
      <c r="H54" s="161" t="s">
        <v>47</v>
      </c>
      <c r="I54" s="156">
        <v>1</v>
      </c>
      <c r="J54" s="156">
        <v>1</v>
      </c>
      <c r="K54" s="156">
        <v>1.062271</v>
      </c>
      <c r="L54" s="156">
        <v>1.062271</v>
      </c>
    </row>
    <row r="55" spans="1:12">
      <c r="A55" s="170" t="s">
        <v>42</v>
      </c>
      <c r="B55" s="161" t="s">
        <v>49</v>
      </c>
      <c r="C55" s="167">
        <v>43922</v>
      </c>
      <c r="D55" s="163" t="s">
        <v>85</v>
      </c>
      <c r="E55" s="169" t="s">
        <v>317</v>
      </c>
      <c r="F55" s="150">
        <v>80000000</v>
      </c>
      <c r="G55" s="164">
        <v>42823</v>
      </c>
      <c r="H55" s="161" t="s">
        <v>49</v>
      </c>
      <c r="I55" s="156">
        <v>1</v>
      </c>
      <c r="J55" s="156">
        <v>1</v>
      </c>
      <c r="K55" s="156">
        <v>1.039447</v>
      </c>
      <c r="L55" s="156">
        <v>1.039447</v>
      </c>
    </row>
    <row r="56" spans="1:12">
      <c r="A56" s="170" t="s">
        <v>50</v>
      </c>
      <c r="B56" s="161" t="s">
        <v>51</v>
      </c>
      <c r="C56" s="167">
        <v>43659</v>
      </c>
      <c r="D56" s="163" t="s">
        <v>85</v>
      </c>
      <c r="E56" s="169" t="s">
        <v>317</v>
      </c>
      <c r="F56" s="150">
        <v>15888888</v>
      </c>
      <c r="G56" s="164">
        <v>42563</v>
      </c>
      <c r="H56" s="161" t="s">
        <v>51</v>
      </c>
      <c r="I56" s="156">
        <v>1</v>
      </c>
      <c r="J56" s="156">
        <v>1</v>
      </c>
      <c r="K56" s="156">
        <v>1.0235110000000001</v>
      </c>
      <c r="L56" s="156">
        <v>1.0235110000000001</v>
      </c>
    </row>
    <row r="57" spans="1:12">
      <c r="A57" s="170" t="s">
        <v>52</v>
      </c>
      <c r="B57" s="161" t="s">
        <v>53</v>
      </c>
      <c r="C57" s="167">
        <v>43685</v>
      </c>
      <c r="D57" s="163" t="s">
        <v>85</v>
      </c>
      <c r="E57" s="169" t="s">
        <v>317</v>
      </c>
      <c r="F57" s="150">
        <v>11546000</v>
      </c>
      <c r="G57" s="164">
        <v>42590</v>
      </c>
      <c r="H57" s="161" t="s">
        <v>53</v>
      </c>
      <c r="I57" s="156">
        <v>1</v>
      </c>
      <c r="J57" s="156">
        <v>1</v>
      </c>
      <c r="K57" s="156">
        <v>1.0034099999999999</v>
      </c>
      <c r="L57" s="156">
        <v>1.0034099999999999</v>
      </c>
    </row>
    <row r="58" spans="1:12">
      <c r="A58" s="170" t="s">
        <v>320</v>
      </c>
      <c r="B58" s="161" t="s">
        <v>54</v>
      </c>
      <c r="C58" s="167">
        <v>43322</v>
      </c>
      <c r="D58" s="163" t="s">
        <v>85</v>
      </c>
      <c r="E58" s="169" t="s">
        <v>321</v>
      </c>
      <c r="F58" s="150">
        <v>8000000</v>
      </c>
      <c r="G58" s="164">
        <v>42591</v>
      </c>
      <c r="H58" s="161" t="s">
        <v>54</v>
      </c>
      <c r="I58" s="156">
        <v>1</v>
      </c>
      <c r="J58" s="156">
        <v>1</v>
      </c>
      <c r="K58" s="156">
        <v>0.66853200000000002</v>
      </c>
      <c r="L58" s="156">
        <v>0.66853200000000002</v>
      </c>
    </row>
    <row r="59" spans="1:12">
      <c r="A59" s="160" t="s">
        <v>55</v>
      </c>
      <c r="B59" s="161" t="s">
        <v>56</v>
      </c>
      <c r="C59" s="167">
        <v>43489</v>
      </c>
      <c r="D59" s="163" t="s">
        <v>85</v>
      </c>
      <c r="E59" s="169" t="s">
        <v>321</v>
      </c>
      <c r="F59" s="150">
        <v>5285714</v>
      </c>
      <c r="G59" s="164">
        <v>42759</v>
      </c>
      <c r="H59" s="161" t="s">
        <v>56</v>
      </c>
      <c r="I59" s="156">
        <v>1</v>
      </c>
      <c r="J59" s="156">
        <v>1</v>
      </c>
      <c r="K59" s="156">
        <v>1.021126</v>
      </c>
      <c r="L59" s="156">
        <v>1.021126</v>
      </c>
    </row>
    <row r="60" spans="1:12">
      <c r="A60" s="160" t="s">
        <v>57</v>
      </c>
      <c r="B60" s="161" t="s">
        <v>322</v>
      </c>
      <c r="C60" s="167">
        <v>43630</v>
      </c>
      <c r="D60" s="163" t="s">
        <v>85</v>
      </c>
      <c r="E60" s="169" t="s">
        <v>321</v>
      </c>
      <c r="F60" s="150">
        <v>15000000</v>
      </c>
      <c r="G60" s="164">
        <v>42535</v>
      </c>
      <c r="H60" s="161" t="s">
        <v>322</v>
      </c>
      <c r="I60" s="156">
        <v>1</v>
      </c>
      <c r="J60" s="156">
        <v>1</v>
      </c>
      <c r="K60" s="156">
        <v>1.050006</v>
      </c>
      <c r="L60" s="156">
        <v>1.050006</v>
      </c>
    </row>
    <row r="61" spans="1:12">
      <c r="A61" s="160" t="s">
        <v>59</v>
      </c>
      <c r="B61" s="161" t="s">
        <v>60</v>
      </c>
      <c r="C61" s="167">
        <v>44009</v>
      </c>
      <c r="D61" s="163" t="s">
        <v>85</v>
      </c>
      <c r="E61" s="169" t="s">
        <v>321</v>
      </c>
      <c r="F61" s="150">
        <v>24666666</v>
      </c>
      <c r="G61" s="164">
        <v>42912</v>
      </c>
      <c r="H61" s="161" t="s">
        <v>60</v>
      </c>
      <c r="I61" s="156">
        <v>1</v>
      </c>
      <c r="J61" s="156">
        <v>1</v>
      </c>
      <c r="K61" s="156">
        <v>1.0396890000000001</v>
      </c>
      <c r="L61" s="156">
        <v>1.0396890000000001</v>
      </c>
    </row>
    <row r="62" spans="1:12">
      <c r="A62" s="160" t="s">
        <v>323</v>
      </c>
      <c r="B62" s="161" t="s">
        <v>324</v>
      </c>
      <c r="C62" s="167">
        <v>44109</v>
      </c>
      <c r="D62" s="163" t="s">
        <v>85</v>
      </c>
      <c r="E62" s="169" t="s">
        <v>321</v>
      </c>
      <c r="F62" s="150">
        <v>10000000</v>
      </c>
      <c r="G62" s="164">
        <v>43012</v>
      </c>
      <c r="H62" s="161" t="s">
        <v>324</v>
      </c>
      <c r="I62" s="156">
        <v>1</v>
      </c>
      <c r="J62" s="156">
        <v>1</v>
      </c>
      <c r="K62" s="156">
        <v>1.0340009999999999</v>
      </c>
      <c r="L62" s="156">
        <v>1.0340009999999999</v>
      </c>
    </row>
    <row r="63" spans="1:12">
      <c r="A63" s="160" t="s">
        <v>325</v>
      </c>
      <c r="B63" s="161" t="s">
        <v>326</v>
      </c>
      <c r="C63" s="167">
        <v>44172</v>
      </c>
      <c r="D63" s="163" t="s">
        <v>85</v>
      </c>
      <c r="E63" s="169" t="s">
        <v>317</v>
      </c>
      <c r="F63" s="150">
        <v>50000000</v>
      </c>
      <c r="G63" s="164">
        <v>43074</v>
      </c>
      <c r="H63" s="161" t="s">
        <v>326</v>
      </c>
      <c r="I63" s="156">
        <v>1</v>
      </c>
      <c r="J63" s="156">
        <v>1</v>
      </c>
      <c r="K63" s="156">
        <v>1.052751</v>
      </c>
      <c r="L63" s="156">
        <v>1.052751</v>
      </c>
    </row>
    <row r="64" spans="1:12">
      <c r="A64" s="170" t="s">
        <v>327</v>
      </c>
      <c r="B64" s="161" t="s">
        <v>62</v>
      </c>
      <c r="C64" s="167">
        <v>43189</v>
      </c>
      <c r="D64" s="163" t="s">
        <v>85</v>
      </c>
      <c r="E64" s="169" t="s">
        <v>321</v>
      </c>
      <c r="F64" s="150">
        <v>5084982</v>
      </c>
      <c r="G64" s="164">
        <v>42458</v>
      </c>
      <c r="H64" s="161" t="s">
        <v>62</v>
      </c>
      <c r="I64" s="156">
        <v>1</v>
      </c>
      <c r="J64" s="156">
        <v>1</v>
      </c>
      <c r="K64" s="156">
        <v>1.041248</v>
      </c>
      <c r="L64" s="156">
        <v>1.041248</v>
      </c>
    </row>
    <row r="65" spans="1:12">
      <c r="A65" s="105" t="s">
        <v>328</v>
      </c>
      <c r="B65" s="104" t="s">
        <v>329</v>
      </c>
      <c r="C65" s="131">
        <v>43868</v>
      </c>
      <c r="D65" s="107" t="s">
        <v>85</v>
      </c>
      <c r="E65" s="127" t="s">
        <v>317</v>
      </c>
      <c r="F65" s="150">
        <v>1155268</v>
      </c>
      <c r="G65" s="116">
        <v>43138</v>
      </c>
      <c r="H65" s="104" t="s">
        <v>329</v>
      </c>
      <c r="I65" s="113">
        <v>1</v>
      </c>
      <c r="J65" s="113">
        <v>1</v>
      </c>
      <c r="K65" s="113">
        <v>21.906074</v>
      </c>
      <c r="L65" s="156">
        <v>21.906074</v>
      </c>
    </row>
    <row r="66" spans="1:12">
      <c r="A66" s="142" t="s">
        <v>330</v>
      </c>
      <c r="B66" s="104" t="s">
        <v>15</v>
      </c>
      <c r="C66" s="131">
        <v>43864</v>
      </c>
      <c r="D66" s="107" t="s">
        <v>85</v>
      </c>
      <c r="E66" s="127" t="s">
        <v>321</v>
      </c>
      <c r="F66" s="150">
        <v>15000000</v>
      </c>
      <c r="G66" s="116">
        <v>43132</v>
      </c>
      <c r="H66" s="104" t="s">
        <v>15</v>
      </c>
      <c r="I66" s="113">
        <v>1</v>
      </c>
      <c r="J66" s="113">
        <v>1</v>
      </c>
      <c r="K66" s="113">
        <v>1.0178020000000001</v>
      </c>
      <c r="L66" s="156">
        <v>1.0178020000000001</v>
      </c>
    </row>
    <row r="67" spans="1:12">
      <c r="A67" s="160" t="s">
        <v>331</v>
      </c>
      <c r="B67" s="161" t="s">
        <v>68</v>
      </c>
      <c r="C67" s="167">
        <v>43766</v>
      </c>
      <c r="D67" s="163" t="s">
        <v>85</v>
      </c>
      <c r="E67" s="169" t="s">
        <v>321</v>
      </c>
      <c r="F67" s="146">
        <v>26277777</v>
      </c>
      <c r="G67" s="164">
        <v>42671</v>
      </c>
      <c r="H67" s="161" t="s">
        <v>68</v>
      </c>
      <c r="I67" s="156">
        <v>1</v>
      </c>
      <c r="J67" s="156">
        <v>1</v>
      </c>
      <c r="K67" s="156">
        <v>1.015803</v>
      </c>
      <c r="L67" s="156">
        <v>1.015803</v>
      </c>
    </row>
    <row r="68" spans="1:12">
      <c r="A68" s="160" t="s">
        <v>69</v>
      </c>
      <c r="B68" s="161" t="s">
        <v>70</v>
      </c>
      <c r="C68" s="167">
        <v>43495</v>
      </c>
      <c r="D68" s="163" t="s">
        <v>85</v>
      </c>
      <c r="E68" s="169" t="s">
        <v>321</v>
      </c>
      <c r="F68" s="146">
        <v>4900000</v>
      </c>
      <c r="G68" s="164">
        <v>42765</v>
      </c>
      <c r="H68" s="161" t="s">
        <v>70</v>
      </c>
      <c r="I68" s="156">
        <v>1</v>
      </c>
      <c r="J68" s="156">
        <v>1</v>
      </c>
      <c r="K68" s="156">
        <v>1.0150650000000001</v>
      </c>
      <c r="L68" s="156">
        <v>1.0150650000000001</v>
      </c>
    </row>
    <row r="69" spans="1:12">
      <c r="A69" s="160" t="s">
        <v>72</v>
      </c>
      <c r="B69" s="161" t="s">
        <v>70</v>
      </c>
      <c r="C69" s="167">
        <v>43696</v>
      </c>
      <c r="D69" s="163" t="s">
        <v>85</v>
      </c>
      <c r="E69" s="169" t="s">
        <v>321</v>
      </c>
      <c r="F69" s="150">
        <v>10821428</v>
      </c>
      <c r="G69" s="164">
        <v>42601</v>
      </c>
      <c r="H69" s="161" t="s">
        <v>70</v>
      </c>
      <c r="I69" s="156">
        <v>1</v>
      </c>
      <c r="J69" s="156">
        <v>1</v>
      </c>
      <c r="K69" s="156">
        <v>1.0013000000000001</v>
      </c>
      <c r="L69" s="156">
        <v>1.0013000000000001</v>
      </c>
    </row>
    <row r="70" spans="1:12">
      <c r="A70" s="160" t="s">
        <v>332</v>
      </c>
      <c r="B70" s="161" t="s">
        <v>74</v>
      </c>
      <c r="C70" s="167">
        <v>44319</v>
      </c>
      <c r="D70" s="163" t="s">
        <v>85</v>
      </c>
      <c r="E70" s="169" t="s">
        <v>321</v>
      </c>
      <c r="F70" s="150">
        <v>82000000</v>
      </c>
      <c r="G70" s="164">
        <v>42857</v>
      </c>
      <c r="H70" s="161" t="s">
        <v>74</v>
      </c>
      <c r="I70" s="156">
        <v>1</v>
      </c>
      <c r="J70" s="156">
        <v>1</v>
      </c>
      <c r="K70" s="156">
        <v>1.011431</v>
      </c>
      <c r="L70" s="156">
        <v>1.011431</v>
      </c>
    </row>
    <row r="71" spans="1:12">
      <c r="A71" s="160" t="s">
        <v>66</v>
      </c>
      <c r="B71" s="161" t="s">
        <v>67</v>
      </c>
      <c r="C71" s="171">
        <v>44102</v>
      </c>
      <c r="D71" s="163" t="s">
        <v>85</v>
      </c>
      <c r="E71" s="169" t="s">
        <v>321</v>
      </c>
      <c r="F71" s="146">
        <v>46463333</v>
      </c>
      <c r="G71" s="164">
        <v>42640</v>
      </c>
      <c r="H71" s="161" t="s">
        <v>67</v>
      </c>
      <c r="I71" s="156">
        <v>1</v>
      </c>
      <c r="J71" s="156">
        <v>1</v>
      </c>
      <c r="K71" s="156">
        <v>1.042535</v>
      </c>
      <c r="L71" s="156">
        <v>1.042535</v>
      </c>
    </row>
    <row r="72" spans="1:12">
      <c r="A72" s="160" t="s">
        <v>63</v>
      </c>
      <c r="B72" s="161" t="s">
        <v>333</v>
      </c>
      <c r="C72" s="167">
        <v>44039</v>
      </c>
      <c r="D72" s="163" t="s">
        <v>85</v>
      </c>
      <c r="E72" s="169" t="s">
        <v>321</v>
      </c>
      <c r="F72" s="150">
        <v>21900000</v>
      </c>
      <c r="G72" s="164">
        <v>42572</v>
      </c>
      <c r="H72" s="161" t="s">
        <v>333</v>
      </c>
      <c r="I72" s="156">
        <v>1</v>
      </c>
      <c r="J72" s="156">
        <v>1</v>
      </c>
      <c r="K72" s="156">
        <v>1.0205850000000001</v>
      </c>
      <c r="L72" s="156">
        <v>1.0205850000000001</v>
      </c>
    </row>
    <row r="73" spans="1:12">
      <c r="A73" s="160" t="s">
        <v>75</v>
      </c>
      <c r="B73" s="161" t="s">
        <v>76</v>
      </c>
      <c r="C73" s="167">
        <v>44130</v>
      </c>
      <c r="D73" s="163" t="s">
        <v>85</v>
      </c>
      <c r="E73" s="169" t="s">
        <v>321</v>
      </c>
      <c r="F73" s="150">
        <v>35023666</v>
      </c>
      <c r="G73" s="164">
        <v>42667</v>
      </c>
      <c r="H73" s="161" t="s">
        <v>76</v>
      </c>
      <c r="I73" s="156">
        <v>1</v>
      </c>
      <c r="J73" s="156">
        <v>1</v>
      </c>
      <c r="K73" s="156">
        <v>1.020831</v>
      </c>
      <c r="L73" s="156">
        <v>1.020831</v>
      </c>
    </row>
    <row r="74" spans="1:12">
      <c r="A74" s="160" t="s">
        <v>71</v>
      </c>
      <c r="B74" s="161" t="s">
        <v>77</v>
      </c>
      <c r="C74" s="167">
        <v>43236</v>
      </c>
      <c r="D74" s="163" t="s">
        <v>85</v>
      </c>
      <c r="E74" s="169" t="s">
        <v>321</v>
      </c>
      <c r="F74" s="150">
        <v>36000000</v>
      </c>
      <c r="G74" s="164">
        <v>42690</v>
      </c>
      <c r="H74" s="161" t="s">
        <v>77</v>
      </c>
      <c r="I74" s="156">
        <v>1</v>
      </c>
      <c r="J74" s="156">
        <v>1</v>
      </c>
      <c r="K74" s="156">
        <v>1.004462</v>
      </c>
      <c r="L74" s="156">
        <v>1.004462</v>
      </c>
    </row>
    <row r="75" spans="1:12">
      <c r="A75" s="170" t="s">
        <v>334</v>
      </c>
      <c r="B75" s="161" t="s">
        <v>79</v>
      </c>
      <c r="C75" s="167">
        <v>43159</v>
      </c>
      <c r="D75" s="163" t="s">
        <v>85</v>
      </c>
      <c r="E75" s="169" t="s">
        <v>321</v>
      </c>
      <c r="F75" s="150">
        <v>4800000</v>
      </c>
      <c r="G75" s="164">
        <v>42425</v>
      </c>
      <c r="H75" s="161" t="s">
        <v>79</v>
      </c>
      <c r="I75" s="156">
        <v>1</v>
      </c>
      <c r="J75" s="156">
        <v>1</v>
      </c>
      <c r="K75" s="156">
        <v>0.35553899999999999</v>
      </c>
      <c r="L75" s="156">
        <v>0.35553899999999999</v>
      </c>
    </row>
    <row r="76" spans="1:12">
      <c r="A76" s="160" t="s">
        <v>80</v>
      </c>
      <c r="B76" s="161" t="s">
        <v>81</v>
      </c>
      <c r="C76" s="171">
        <v>43371</v>
      </c>
      <c r="D76" s="163" t="s">
        <v>85</v>
      </c>
      <c r="E76" s="169" t="s">
        <v>321</v>
      </c>
      <c r="F76" s="146">
        <v>8500000</v>
      </c>
      <c r="G76" s="164">
        <v>42640</v>
      </c>
      <c r="H76" s="161" t="s">
        <v>81</v>
      </c>
      <c r="I76" s="156">
        <v>1</v>
      </c>
      <c r="J76" s="156">
        <v>1</v>
      </c>
      <c r="K76" s="156">
        <v>1.0393749999999999</v>
      </c>
      <c r="L76" s="156">
        <v>1.0393749999999999</v>
      </c>
    </row>
    <row r="77" spans="1:12">
      <c r="A77" s="103"/>
      <c r="B77" s="103"/>
      <c r="C77" s="106"/>
      <c r="D77" s="103"/>
      <c r="E77" s="103"/>
      <c r="F77" s="103"/>
      <c r="G77" s="108"/>
      <c r="H77" s="103"/>
      <c r="I77" s="103"/>
      <c r="J77" s="103"/>
      <c r="K77" s="103"/>
      <c r="L77" s="103"/>
    </row>
    <row r="78" spans="1:12">
      <c r="A78" s="119" t="s">
        <v>84</v>
      </c>
      <c r="B78" s="120"/>
      <c r="C78" s="120"/>
      <c r="D78" s="120"/>
      <c r="E78" s="120"/>
      <c r="F78" s="103"/>
      <c r="G78" s="120"/>
      <c r="H78" s="120"/>
      <c r="I78" s="122"/>
      <c r="J78" s="122"/>
      <c r="K78" s="122"/>
      <c r="L78" s="157"/>
    </row>
    <row r="79" spans="1:12">
      <c r="A79" s="119"/>
      <c r="B79" s="120"/>
      <c r="C79" s="120"/>
      <c r="D79" s="120"/>
      <c r="E79" s="120"/>
      <c r="F79" s="103"/>
      <c r="G79" s="120"/>
      <c r="H79" s="120"/>
      <c r="I79" s="122"/>
      <c r="J79" s="122"/>
      <c r="K79" s="122"/>
      <c r="L79" s="157"/>
    </row>
    <row r="80" spans="1:12">
      <c r="A80" s="103"/>
      <c r="B80" s="103"/>
      <c r="C80" s="106"/>
      <c r="D80" s="103"/>
      <c r="E80" s="103"/>
      <c r="F80" s="103"/>
      <c r="G80" s="103"/>
      <c r="H80" s="103"/>
      <c r="I80" s="103"/>
      <c r="J80" s="103"/>
      <c r="K80" s="103"/>
      <c r="L80" s="103"/>
    </row>
    <row r="81" spans="1:12" ht="30">
      <c r="A81" s="123" t="s">
        <v>0</v>
      </c>
      <c r="B81" s="123" t="s">
        <v>1</v>
      </c>
      <c r="C81" s="123" t="s">
        <v>2</v>
      </c>
      <c r="D81" s="123" t="s">
        <v>3</v>
      </c>
      <c r="E81" s="123" t="s">
        <v>302</v>
      </c>
      <c r="F81" s="148" t="s">
        <v>4</v>
      </c>
      <c r="G81" s="123" t="s">
        <v>303</v>
      </c>
      <c r="H81" s="123" t="s">
        <v>304</v>
      </c>
      <c r="I81" s="124" t="s">
        <v>305</v>
      </c>
      <c r="J81" s="124" t="s">
        <v>306</v>
      </c>
      <c r="K81" s="124" t="s">
        <v>307</v>
      </c>
      <c r="L81" s="158" t="s">
        <v>5</v>
      </c>
    </row>
    <row r="82" spans="1:12">
      <c r="A82" s="112" t="s">
        <v>293</v>
      </c>
      <c r="B82" s="104">
        <v>0.21</v>
      </c>
      <c r="C82" s="106">
        <v>43181</v>
      </c>
      <c r="D82" s="107" t="s">
        <v>85</v>
      </c>
      <c r="E82" s="107" t="s">
        <v>84</v>
      </c>
      <c r="F82" s="151">
        <v>50000000</v>
      </c>
      <c r="G82" s="114">
        <v>42821</v>
      </c>
      <c r="H82" s="109">
        <v>0.21</v>
      </c>
      <c r="I82" s="113">
        <v>1</v>
      </c>
      <c r="J82" s="113">
        <v>1</v>
      </c>
      <c r="K82" s="113">
        <v>1.1944657534246574</v>
      </c>
      <c r="L82" s="156">
        <v>1.1944657534246574</v>
      </c>
    </row>
    <row r="83" spans="1:12">
      <c r="A83" s="105" t="s">
        <v>32</v>
      </c>
      <c r="B83" s="104">
        <v>0.26900000000000002</v>
      </c>
      <c r="C83" s="106">
        <v>43432</v>
      </c>
      <c r="D83" s="107" t="s">
        <v>85</v>
      </c>
      <c r="E83" s="107" t="s">
        <v>84</v>
      </c>
      <c r="F83" s="151">
        <v>13880000</v>
      </c>
      <c r="G83" s="114">
        <v>43067</v>
      </c>
      <c r="H83" s="109">
        <v>0.26900000000000002</v>
      </c>
      <c r="I83" s="113">
        <v>1</v>
      </c>
      <c r="J83" s="113">
        <v>1</v>
      </c>
      <c r="K83" s="113">
        <v>1.0678027397260275</v>
      </c>
      <c r="L83" s="156">
        <v>1.0678027397260275</v>
      </c>
    </row>
    <row r="84" spans="1:12">
      <c r="A84" s="112" t="s">
        <v>293</v>
      </c>
      <c r="B84" s="104">
        <v>0.27</v>
      </c>
      <c r="C84" s="106">
        <v>43416</v>
      </c>
      <c r="D84" s="107" t="s">
        <v>85</v>
      </c>
      <c r="E84" s="107" t="s">
        <v>84</v>
      </c>
      <c r="F84" s="151">
        <v>40000000</v>
      </c>
      <c r="G84" s="114">
        <v>43055</v>
      </c>
      <c r="H84" s="109">
        <v>0.27</v>
      </c>
      <c r="I84" s="113">
        <v>1</v>
      </c>
      <c r="J84" s="113">
        <v>1</v>
      </c>
      <c r="K84" s="113">
        <v>1.076931506849315</v>
      </c>
      <c r="L84" s="156">
        <v>1.076931506849315</v>
      </c>
    </row>
    <row r="85" spans="1:12">
      <c r="A85" s="112" t="s">
        <v>293</v>
      </c>
      <c r="B85" s="104">
        <v>0.27</v>
      </c>
      <c r="C85" s="106">
        <v>43416</v>
      </c>
      <c r="D85" s="107" t="s">
        <v>85</v>
      </c>
      <c r="E85" s="107" t="s">
        <v>84</v>
      </c>
      <c r="F85" s="151">
        <v>40000000</v>
      </c>
      <c r="G85" s="114">
        <v>43055</v>
      </c>
      <c r="H85" s="109">
        <v>0.27</v>
      </c>
      <c r="I85" s="113">
        <v>1</v>
      </c>
      <c r="J85" s="113">
        <v>1</v>
      </c>
      <c r="K85" s="113">
        <v>1.076931506849315</v>
      </c>
      <c r="L85" s="156">
        <v>1.076931506849315</v>
      </c>
    </row>
    <row r="86" spans="1:12">
      <c r="A86" s="105" t="s">
        <v>292</v>
      </c>
      <c r="B86" s="104">
        <v>0.21</v>
      </c>
      <c r="C86" s="106">
        <v>43179</v>
      </c>
      <c r="D86" s="107" t="s">
        <v>85</v>
      </c>
      <c r="E86" s="107" t="s">
        <v>84</v>
      </c>
      <c r="F86" s="151">
        <v>23300000</v>
      </c>
      <c r="G86" s="114">
        <v>42816</v>
      </c>
      <c r="H86" s="109">
        <v>0.21</v>
      </c>
      <c r="I86" s="113">
        <v>1</v>
      </c>
      <c r="J86" s="113">
        <v>1</v>
      </c>
      <c r="K86" s="113">
        <v>1.1973424657534246</v>
      </c>
      <c r="L86" s="156">
        <v>1.1973424657534246</v>
      </c>
    </row>
    <row r="87" spans="1:12">
      <c r="A87" s="105" t="s">
        <v>32</v>
      </c>
      <c r="B87" s="104">
        <v>0.2225</v>
      </c>
      <c r="C87" s="106">
        <v>43230</v>
      </c>
      <c r="D87" s="107" t="s">
        <v>85</v>
      </c>
      <c r="E87" s="107" t="s">
        <v>84</v>
      </c>
      <c r="F87" s="151">
        <v>8333000</v>
      </c>
      <c r="G87" s="114">
        <v>42872</v>
      </c>
      <c r="H87" s="109">
        <v>0.2225</v>
      </c>
      <c r="I87" s="113">
        <v>1</v>
      </c>
      <c r="J87" s="113">
        <v>1</v>
      </c>
      <c r="K87" s="113">
        <v>1.1749520547945205</v>
      </c>
      <c r="L87" s="156">
        <v>1.1749520547945205</v>
      </c>
    </row>
    <row r="88" spans="1:12">
      <c r="A88" s="105" t="s">
        <v>32</v>
      </c>
      <c r="B88" s="104">
        <v>0.20599999999999999</v>
      </c>
      <c r="C88" s="106">
        <v>43181</v>
      </c>
      <c r="D88" s="107" t="s">
        <v>85</v>
      </c>
      <c r="E88" s="107" t="s">
        <v>84</v>
      </c>
      <c r="F88" s="151">
        <v>15700000</v>
      </c>
      <c r="G88" s="114">
        <v>42824</v>
      </c>
      <c r="H88" s="109">
        <v>0.20599999999999999</v>
      </c>
      <c r="I88" s="113">
        <v>1</v>
      </c>
      <c r="J88" s="113">
        <v>1</v>
      </c>
      <c r="K88" s="113">
        <v>1.189068493150685</v>
      </c>
      <c r="L88" s="156">
        <v>1.189068493150685</v>
      </c>
    </row>
    <row r="89" spans="1:12">
      <c r="A89" s="105" t="s">
        <v>32</v>
      </c>
      <c r="B89" s="104">
        <v>0.26800000000000002</v>
      </c>
      <c r="C89" s="106">
        <v>43234</v>
      </c>
      <c r="D89" s="107" t="s">
        <v>85</v>
      </c>
      <c r="E89" s="107" t="s">
        <v>84</v>
      </c>
      <c r="F89" s="151">
        <v>60973000</v>
      </c>
      <c r="G89" s="114">
        <v>43054</v>
      </c>
      <c r="H89" s="109">
        <v>0.26800000000000002</v>
      </c>
      <c r="I89" s="113">
        <v>1</v>
      </c>
      <c r="J89" s="113">
        <v>1</v>
      </c>
      <c r="K89" s="113">
        <v>1.0770958904109589</v>
      </c>
      <c r="L89" s="156">
        <v>1.0770958904109589</v>
      </c>
    </row>
    <row r="90" spans="1:12">
      <c r="A90" s="105" t="s">
        <v>335</v>
      </c>
      <c r="B90" s="104">
        <v>0.21249999999999999</v>
      </c>
      <c r="C90" s="106">
        <v>43181</v>
      </c>
      <c r="D90" s="107" t="s">
        <v>85</v>
      </c>
      <c r="E90" s="107" t="s">
        <v>84</v>
      </c>
      <c r="F90" s="151">
        <v>65000000</v>
      </c>
      <c r="G90" s="114">
        <v>42821</v>
      </c>
      <c r="H90" s="109">
        <v>0.21249999999999999</v>
      </c>
      <c r="I90" s="113">
        <v>1</v>
      </c>
      <c r="J90" s="113">
        <v>1</v>
      </c>
      <c r="K90" s="113">
        <v>1.1967808219178082</v>
      </c>
      <c r="L90" s="156">
        <v>1.1967808219178082</v>
      </c>
    </row>
    <row r="91" spans="1:12">
      <c r="A91" s="136" t="s">
        <v>294</v>
      </c>
      <c r="B91" s="104">
        <v>0.27</v>
      </c>
      <c r="C91" s="106">
        <v>43479</v>
      </c>
      <c r="D91" s="107" t="s">
        <v>85</v>
      </c>
      <c r="E91" s="107" t="s">
        <v>84</v>
      </c>
      <c r="F91" s="151">
        <v>16100000</v>
      </c>
      <c r="G91" s="114">
        <v>43118</v>
      </c>
      <c r="H91" s="109">
        <v>0.27</v>
      </c>
      <c r="I91" s="113">
        <v>1</v>
      </c>
      <c r="J91" s="113">
        <v>1</v>
      </c>
      <c r="K91" s="113">
        <v>1.0303287671232877</v>
      </c>
      <c r="L91" s="156">
        <v>1.0303287671232877</v>
      </c>
    </row>
    <row r="92" spans="1:12">
      <c r="A92" s="105" t="s">
        <v>336</v>
      </c>
      <c r="B92" s="104">
        <v>0.23</v>
      </c>
      <c r="C92" s="106">
        <v>43180</v>
      </c>
      <c r="D92" s="107" t="s">
        <v>85</v>
      </c>
      <c r="E92" s="107" t="s">
        <v>84</v>
      </c>
      <c r="F92" s="151">
        <v>10673138.439999999</v>
      </c>
      <c r="G92" s="114">
        <v>43145</v>
      </c>
      <c r="H92" s="109">
        <v>0.23</v>
      </c>
      <c r="I92" s="113">
        <v>1</v>
      </c>
      <c r="J92" s="113">
        <v>1</v>
      </c>
      <c r="K92" s="113">
        <v>1.0088219178082192</v>
      </c>
      <c r="L92" s="156">
        <v>1.0088219178082192</v>
      </c>
    </row>
    <row r="93" spans="1:12">
      <c r="A93" s="136" t="s">
        <v>294</v>
      </c>
      <c r="B93" s="104">
        <v>0.26800000000000002</v>
      </c>
      <c r="C93" s="106">
        <v>43486</v>
      </c>
      <c r="D93" s="107" t="s">
        <v>85</v>
      </c>
      <c r="E93" s="107" t="s">
        <v>84</v>
      </c>
      <c r="F93" s="151">
        <v>22000000</v>
      </c>
      <c r="G93" s="114">
        <v>43126</v>
      </c>
      <c r="H93" s="109">
        <v>0.26800000000000002</v>
      </c>
      <c r="I93" s="113">
        <v>1</v>
      </c>
      <c r="J93" s="113">
        <v>1</v>
      </c>
      <c r="K93" s="113">
        <v>1.0242301369863014</v>
      </c>
      <c r="L93" s="156">
        <v>1.0242301369863014</v>
      </c>
    </row>
    <row r="94" spans="1:12">
      <c r="A94" s="103"/>
      <c r="B94" s="107"/>
      <c r="C94" s="106"/>
      <c r="D94" s="107"/>
      <c r="E94" s="103"/>
      <c r="F94" s="151"/>
      <c r="G94" s="138"/>
      <c r="H94" s="141"/>
      <c r="I94" s="103"/>
      <c r="J94" s="103"/>
      <c r="K94" s="103"/>
      <c r="L94" s="103"/>
    </row>
    <row r="95" spans="1:12">
      <c r="A95" s="103"/>
      <c r="B95" s="120"/>
      <c r="C95" s="120"/>
      <c r="D95" s="120"/>
      <c r="E95" s="120"/>
      <c r="F95" s="152"/>
      <c r="G95" s="139"/>
      <c r="H95" s="140"/>
      <c r="I95" s="122"/>
      <c r="J95" s="122"/>
      <c r="K95" s="122"/>
      <c r="L95" s="157"/>
    </row>
    <row r="96" spans="1:12">
      <c r="A96" s="119" t="s">
        <v>87</v>
      </c>
      <c r="B96" s="120"/>
      <c r="C96" s="120"/>
      <c r="D96" s="120"/>
      <c r="E96" s="120"/>
      <c r="F96" s="152"/>
      <c r="G96" s="139"/>
      <c r="H96" s="140"/>
      <c r="I96" s="122"/>
      <c r="J96" s="122"/>
      <c r="K96" s="122"/>
      <c r="L96" s="157"/>
    </row>
    <row r="97" spans="1:12">
      <c r="A97" s="103"/>
      <c r="B97" s="103"/>
      <c r="C97" s="106"/>
      <c r="D97" s="103"/>
      <c r="E97" s="103"/>
      <c r="F97" s="103"/>
      <c r="G97" s="103"/>
      <c r="H97" s="103"/>
      <c r="I97" s="103"/>
      <c r="J97" s="103"/>
      <c r="K97" s="103"/>
      <c r="L97" s="103"/>
    </row>
    <row r="98" spans="1:12" ht="30">
      <c r="A98" s="123" t="s">
        <v>0</v>
      </c>
      <c r="B98" s="123" t="s">
        <v>337</v>
      </c>
      <c r="C98" s="123" t="s">
        <v>2</v>
      </c>
      <c r="D98" s="123" t="s">
        <v>3</v>
      </c>
      <c r="E98" s="123" t="s">
        <v>302</v>
      </c>
      <c r="F98" s="148" t="s">
        <v>4</v>
      </c>
      <c r="G98" s="123" t="s">
        <v>303</v>
      </c>
      <c r="H98" s="123" t="s">
        <v>304</v>
      </c>
      <c r="I98" s="124" t="s">
        <v>305</v>
      </c>
      <c r="J98" s="124" t="s">
        <v>306</v>
      </c>
      <c r="K98" s="124" t="s">
        <v>307</v>
      </c>
      <c r="L98" s="158" t="s">
        <v>5</v>
      </c>
    </row>
    <row r="99" spans="1:12">
      <c r="A99" s="105" t="s">
        <v>78</v>
      </c>
      <c r="B99" s="107"/>
      <c r="C99" s="106"/>
      <c r="D99" s="107" t="s">
        <v>85</v>
      </c>
      <c r="E99" s="107" t="s">
        <v>338</v>
      </c>
      <c r="F99" s="150">
        <v>31623854</v>
      </c>
      <c r="G99" s="116">
        <v>42164</v>
      </c>
      <c r="H99" s="103"/>
      <c r="I99" s="113">
        <v>4.6634459999999995</v>
      </c>
      <c r="J99" s="113">
        <v>4.6634459999999995</v>
      </c>
      <c r="K99" s="113">
        <v>7.757924</v>
      </c>
      <c r="L99" s="156">
        <v>7.757924</v>
      </c>
    </row>
    <row r="100" spans="1:12">
      <c r="A100" s="105" t="s">
        <v>45</v>
      </c>
      <c r="B100" s="107"/>
      <c r="C100" s="106"/>
      <c r="D100" s="107" t="s">
        <v>38</v>
      </c>
      <c r="E100" s="107" t="s">
        <v>338</v>
      </c>
      <c r="F100" s="150">
        <v>365586</v>
      </c>
      <c r="G100" s="116">
        <v>42843</v>
      </c>
      <c r="H100" s="103"/>
      <c r="I100" s="113">
        <v>1.0075370000000001</v>
      </c>
      <c r="J100" s="113">
        <v>1.0075370000000001</v>
      </c>
      <c r="K100" s="145">
        <v>1.038875</v>
      </c>
      <c r="L100" s="156">
        <v>20.896970624999998</v>
      </c>
    </row>
    <row r="101" spans="1:12">
      <c r="A101" s="105" t="s">
        <v>339</v>
      </c>
      <c r="B101" s="107"/>
      <c r="C101" s="106"/>
      <c r="D101" s="107" t="s">
        <v>85</v>
      </c>
      <c r="E101" s="107" t="s">
        <v>338</v>
      </c>
      <c r="F101" s="150">
        <v>37223</v>
      </c>
      <c r="G101" s="116">
        <v>41376</v>
      </c>
      <c r="H101" s="103"/>
      <c r="I101" s="113">
        <v>5.215503</v>
      </c>
      <c r="J101" s="113">
        <v>5.215503</v>
      </c>
      <c r="K101" s="113">
        <v>6.8114249999999998</v>
      </c>
      <c r="L101" s="156">
        <v>6.8114249999999998</v>
      </c>
    </row>
    <row r="102" spans="1:12">
      <c r="A102" s="105" t="s">
        <v>340</v>
      </c>
      <c r="B102" s="107"/>
      <c r="C102" s="106"/>
      <c r="D102" s="107" t="s">
        <v>85</v>
      </c>
      <c r="E102" s="107" t="s">
        <v>338</v>
      </c>
      <c r="F102" s="150">
        <v>3222.9952999999887</v>
      </c>
      <c r="G102" s="116">
        <v>41376</v>
      </c>
      <c r="H102" s="103"/>
      <c r="I102" s="113">
        <v>3.1899839999999999</v>
      </c>
      <c r="J102" s="113">
        <v>3.1899839999999999</v>
      </c>
      <c r="K102" s="113">
        <v>4.1829499999999999</v>
      </c>
      <c r="L102" s="156">
        <v>4.1829499999999999</v>
      </c>
    </row>
    <row r="103" spans="1:12">
      <c r="A103" s="105" t="s">
        <v>40</v>
      </c>
      <c r="B103" s="107"/>
      <c r="C103" s="106"/>
      <c r="D103" s="107" t="s">
        <v>85</v>
      </c>
      <c r="E103" s="107" t="s">
        <v>338</v>
      </c>
      <c r="F103" s="150">
        <v>13425677.124300003</v>
      </c>
      <c r="G103" s="116">
        <v>41376</v>
      </c>
      <c r="H103" s="103"/>
      <c r="I103" s="113">
        <v>4.6545269999999999</v>
      </c>
      <c r="J103" s="113">
        <v>4.6545269999999999</v>
      </c>
      <c r="K103" s="113">
        <v>6.1210170000000002</v>
      </c>
      <c r="L103" s="156">
        <v>6.1210170000000002</v>
      </c>
    </row>
    <row r="104" spans="1:12">
      <c r="A104" s="105" t="s">
        <v>90</v>
      </c>
      <c r="B104" s="107"/>
      <c r="C104" s="106"/>
      <c r="D104" s="107" t="s">
        <v>85</v>
      </c>
      <c r="E104" s="107" t="s">
        <v>338</v>
      </c>
      <c r="F104" s="146">
        <v>7826</v>
      </c>
      <c r="G104" s="116">
        <v>41376</v>
      </c>
      <c r="H104" s="103"/>
      <c r="I104" s="113">
        <v>3.1507939999999999</v>
      </c>
      <c r="J104" s="113">
        <v>3.1507939999999999</v>
      </c>
      <c r="K104" s="113">
        <v>4.1061710000000007</v>
      </c>
      <c r="L104" s="156">
        <v>4.1061710000000007</v>
      </c>
    </row>
    <row r="105" spans="1:12">
      <c r="A105" s="103"/>
      <c r="B105" s="103"/>
      <c r="C105" s="106"/>
      <c r="D105" s="103"/>
      <c r="E105" s="108"/>
      <c r="F105" s="103"/>
      <c r="G105" s="103"/>
      <c r="H105" s="103"/>
      <c r="I105" s="103"/>
      <c r="J105" s="103"/>
      <c r="K105" s="103"/>
      <c r="L105" s="103"/>
    </row>
    <row r="106" spans="1:12">
      <c r="A106" s="119" t="s">
        <v>91</v>
      </c>
      <c r="B106" s="120"/>
      <c r="C106" s="120"/>
      <c r="D106" s="120"/>
      <c r="E106" s="137"/>
      <c r="F106" s="147"/>
      <c r="G106" s="120"/>
      <c r="H106" s="120"/>
      <c r="I106" s="103"/>
      <c r="J106" s="122"/>
      <c r="K106" s="122"/>
      <c r="L106" s="157"/>
    </row>
    <row r="107" spans="1:12">
      <c r="A107" s="103"/>
      <c r="B107" s="103"/>
      <c r="C107" s="106"/>
      <c r="D107" s="103"/>
      <c r="E107" s="103"/>
      <c r="F107" s="103"/>
      <c r="G107" s="103"/>
      <c r="H107" s="103"/>
      <c r="I107" s="103"/>
      <c r="J107" s="103"/>
      <c r="K107" s="103"/>
      <c r="L107" s="103"/>
    </row>
    <row r="108" spans="1:12" ht="30">
      <c r="A108" s="123" t="s">
        <v>0</v>
      </c>
      <c r="B108" s="123" t="s">
        <v>337</v>
      </c>
      <c r="C108" s="123" t="s">
        <v>2</v>
      </c>
      <c r="D108" s="123" t="s">
        <v>3</v>
      </c>
      <c r="E108" s="123" t="s">
        <v>302</v>
      </c>
      <c r="F108" s="148" t="s">
        <v>4</v>
      </c>
      <c r="G108" s="123" t="s">
        <v>303</v>
      </c>
      <c r="H108" s="123" t="s">
        <v>304</v>
      </c>
      <c r="I108" s="124" t="s">
        <v>305</v>
      </c>
      <c r="J108" s="124" t="s">
        <v>306</v>
      </c>
      <c r="K108" s="124" t="s">
        <v>307</v>
      </c>
      <c r="L108" s="158" t="s">
        <v>5</v>
      </c>
    </row>
    <row r="109" spans="1:12">
      <c r="A109" s="105" t="s">
        <v>341</v>
      </c>
      <c r="B109" s="107"/>
      <c r="C109" s="106"/>
      <c r="D109" s="107" t="s">
        <v>85</v>
      </c>
      <c r="E109" s="107" t="s">
        <v>338</v>
      </c>
      <c r="F109" s="150">
        <v>7523358</v>
      </c>
      <c r="G109" s="116">
        <v>41376</v>
      </c>
      <c r="H109" s="103"/>
      <c r="I109" s="113">
        <v>0.51928999999999992</v>
      </c>
      <c r="J109" s="113">
        <v>0.51928999999999992</v>
      </c>
      <c r="K109" s="113">
        <v>0.70578799999999997</v>
      </c>
      <c r="L109" s="156">
        <v>0.70578799999999997</v>
      </c>
    </row>
    <row r="110" spans="1:12">
      <c r="A110" s="105" t="s">
        <v>65</v>
      </c>
      <c r="B110" s="104"/>
      <c r="C110" s="114"/>
      <c r="D110" s="107" t="s">
        <v>85</v>
      </c>
      <c r="E110" s="107" t="s">
        <v>338</v>
      </c>
      <c r="F110" s="150">
        <v>1163.5558000002056</v>
      </c>
      <c r="G110" s="116">
        <v>41911</v>
      </c>
      <c r="H110" s="125"/>
      <c r="I110" s="113">
        <v>2.1310189999999998</v>
      </c>
      <c r="J110" s="113">
        <v>2.1310189999999998</v>
      </c>
      <c r="K110" s="113">
        <v>3.4169890000000001</v>
      </c>
      <c r="L110" s="156">
        <v>3.4169890000000001</v>
      </c>
    </row>
    <row r="111" spans="1:12">
      <c r="A111" s="105" t="s">
        <v>95</v>
      </c>
      <c r="B111" s="104">
        <v>3.7400000000000003E-2</v>
      </c>
      <c r="C111" s="114"/>
      <c r="D111" s="107" t="s">
        <v>85</v>
      </c>
      <c r="E111" s="127" t="s">
        <v>342</v>
      </c>
      <c r="F111" s="146">
        <v>19000000</v>
      </c>
      <c r="G111" s="116">
        <v>41443</v>
      </c>
      <c r="H111" s="125">
        <v>0.20169999999999999</v>
      </c>
      <c r="I111" s="113">
        <v>1</v>
      </c>
      <c r="J111" s="113">
        <v>1</v>
      </c>
      <c r="K111" s="113">
        <v>4.971414367387522E-8</v>
      </c>
      <c r="L111" s="156">
        <v>9.9999999999999995E-7</v>
      </c>
    </row>
    <row r="112" spans="1:12">
      <c r="A112" s="105" t="s">
        <v>96</v>
      </c>
      <c r="B112" s="104">
        <v>0.03</v>
      </c>
      <c r="C112" s="114"/>
      <c r="D112" s="107" t="s">
        <v>85</v>
      </c>
      <c r="E112" s="127" t="s">
        <v>342</v>
      </c>
      <c r="F112" s="146">
        <v>3700000</v>
      </c>
      <c r="G112" s="116">
        <v>41443</v>
      </c>
      <c r="H112" s="125">
        <v>3.0300000000000001E-2</v>
      </c>
      <c r="I112" s="113">
        <v>1</v>
      </c>
      <c r="J112" s="113">
        <v>5.3103999999999996</v>
      </c>
      <c r="K112" s="113">
        <v>4.971414367387522E-8</v>
      </c>
      <c r="L112" s="156">
        <v>9.9999999999999995E-7</v>
      </c>
    </row>
    <row r="113" spans="1:12">
      <c r="A113" s="160" t="s">
        <v>343</v>
      </c>
      <c r="B113" s="161">
        <v>4.7399999999999998E-2</v>
      </c>
      <c r="C113" s="162">
        <v>43871</v>
      </c>
      <c r="D113" s="163" t="s">
        <v>85</v>
      </c>
      <c r="E113" s="169" t="s">
        <v>342</v>
      </c>
      <c r="F113" s="146">
        <v>29755000</v>
      </c>
      <c r="G113" s="164">
        <v>42044</v>
      </c>
      <c r="H113" s="165"/>
      <c r="I113" s="156">
        <v>1</v>
      </c>
      <c r="J113" s="156">
        <v>1</v>
      </c>
      <c r="K113" s="156">
        <v>5.0480288342033323E-2</v>
      </c>
      <c r="L113" s="156">
        <v>1.0154110000000001</v>
      </c>
    </row>
    <row r="114" spans="1:12">
      <c r="A114" s="160" t="s">
        <v>344</v>
      </c>
      <c r="B114" s="161"/>
      <c r="C114" s="162">
        <v>44155</v>
      </c>
      <c r="D114" s="163" t="s">
        <v>85</v>
      </c>
      <c r="E114" s="169" t="s">
        <v>342</v>
      </c>
      <c r="F114" s="146">
        <v>7344309</v>
      </c>
      <c r="G114" s="164">
        <v>42326</v>
      </c>
      <c r="H114" s="165"/>
      <c r="I114" s="156">
        <v>1</v>
      </c>
      <c r="J114" s="156">
        <v>1</v>
      </c>
      <c r="K114" s="156">
        <v>4.6591648023862793E-2</v>
      </c>
      <c r="L114" s="156">
        <v>0.937191</v>
      </c>
    </row>
    <row r="115" spans="1:12">
      <c r="A115" s="160" t="s">
        <v>345</v>
      </c>
      <c r="B115" s="161"/>
      <c r="C115" s="162">
        <v>44175</v>
      </c>
      <c r="D115" s="163" t="s">
        <v>85</v>
      </c>
      <c r="E115" s="169" t="s">
        <v>342</v>
      </c>
      <c r="F115" s="146">
        <v>13763244</v>
      </c>
      <c r="G115" s="164">
        <v>42347</v>
      </c>
      <c r="H115" s="165">
        <v>0.239375</v>
      </c>
      <c r="I115" s="156">
        <v>1</v>
      </c>
      <c r="J115" s="156">
        <v>1</v>
      </c>
      <c r="K115" s="156">
        <v>4.8456574695500874E-2</v>
      </c>
      <c r="L115" s="156">
        <v>0.97470400000000001</v>
      </c>
    </row>
    <row r="116" spans="1:12">
      <c r="A116" s="160" t="s">
        <v>82</v>
      </c>
      <c r="B116" s="161">
        <v>8.7499999999999994E-2</v>
      </c>
      <c r="C116" s="162">
        <v>45386</v>
      </c>
      <c r="D116" s="163" t="s">
        <v>38</v>
      </c>
      <c r="E116" s="169" t="s">
        <v>342</v>
      </c>
      <c r="F116" s="150">
        <v>1507000</v>
      </c>
      <c r="G116" s="164">
        <v>42661</v>
      </c>
      <c r="H116" s="172"/>
      <c r="I116" s="156">
        <v>1</v>
      </c>
      <c r="J116" s="156">
        <v>1</v>
      </c>
      <c r="K116" s="156">
        <v>1.1737545612726825</v>
      </c>
      <c r="L116" s="156">
        <v>23.610073000000003</v>
      </c>
    </row>
    <row r="117" spans="1:12">
      <c r="A117" s="105" t="s">
        <v>93</v>
      </c>
      <c r="B117" s="104" t="s">
        <v>97</v>
      </c>
      <c r="C117" s="114">
        <v>44094</v>
      </c>
      <c r="D117" s="107" t="s">
        <v>85</v>
      </c>
      <c r="E117" s="127" t="s">
        <v>342</v>
      </c>
      <c r="F117" s="146">
        <v>5803165</v>
      </c>
      <c r="G117" s="116">
        <v>42270</v>
      </c>
      <c r="H117" s="109"/>
      <c r="I117" s="113">
        <v>1</v>
      </c>
      <c r="J117" s="113">
        <v>1</v>
      </c>
      <c r="K117" s="113">
        <v>5.117534178473776E-2</v>
      </c>
      <c r="L117" s="156">
        <v>1.0293920000000001</v>
      </c>
    </row>
    <row r="118" spans="1:12">
      <c r="A118" s="103"/>
      <c r="B118" s="107"/>
      <c r="C118" s="106"/>
      <c r="D118" s="107"/>
      <c r="E118" s="103"/>
      <c r="F118" s="103"/>
      <c r="G118" s="103"/>
      <c r="H118" s="103"/>
      <c r="I118" s="103"/>
      <c r="J118" s="103"/>
      <c r="K118" s="103"/>
      <c r="L118" s="103"/>
    </row>
    <row r="119" spans="1:12">
      <c r="A119" s="103"/>
      <c r="B119" s="107"/>
      <c r="C119" s="106"/>
      <c r="D119" s="107"/>
      <c r="E119" s="103"/>
      <c r="F119" s="103"/>
      <c r="G119" s="103"/>
      <c r="H119" s="103"/>
      <c r="I119" s="103"/>
      <c r="J119" s="103"/>
      <c r="K119" s="103"/>
      <c r="L119" s="103"/>
    </row>
    <row r="120" spans="1:12">
      <c r="A120" s="119" t="s">
        <v>99</v>
      </c>
      <c r="B120" s="120"/>
      <c r="C120" s="120"/>
      <c r="D120" s="120"/>
      <c r="E120" s="137"/>
      <c r="F120" s="147"/>
      <c r="G120" s="120"/>
      <c r="H120" s="120"/>
      <c r="I120" s="103"/>
      <c r="J120" s="122"/>
      <c r="K120" s="122"/>
      <c r="L120" s="157"/>
    </row>
    <row r="121" spans="1:12">
      <c r="A121" s="103"/>
      <c r="B121" s="103"/>
      <c r="C121" s="106"/>
      <c r="D121" s="103"/>
      <c r="E121" s="103"/>
      <c r="F121" s="103"/>
      <c r="G121" s="103"/>
      <c r="H121" s="103"/>
      <c r="I121" s="103"/>
      <c r="J121" s="103"/>
      <c r="K121" s="103"/>
      <c r="L121" s="103"/>
    </row>
    <row r="122" spans="1:12" ht="30">
      <c r="A122" s="123" t="s">
        <v>0</v>
      </c>
      <c r="B122" s="123" t="s">
        <v>337</v>
      </c>
      <c r="C122" s="123" t="s">
        <v>2</v>
      </c>
      <c r="D122" s="123" t="s">
        <v>3</v>
      </c>
      <c r="E122" s="123" t="s">
        <v>302</v>
      </c>
      <c r="F122" s="148" t="s">
        <v>4</v>
      </c>
      <c r="G122" s="123" t="s">
        <v>303</v>
      </c>
      <c r="H122" s="123" t="s">
        <v>304</v>
      </c>
      <c r="I122" s="124" t="s">
        <v>305</v>
      </c>
      <c r="J122" s="124" t="s">
        <v>306</v>
      </c>
      <c r="K122" s="124" t="s">
        <v>307</v>
      </c>
      <c r="L122" s="158" t="s">
        <v>5</v>
      </c>
    </row>
    <row r="123" spans="1:12">
      <c r="A123" s="105" t="s">
        <v>86</v>
      </c>
      <c r="B123" s="104"/>
      <c r="C123" s="114"/>
      <c r="D123" s="107" t="s">
        <v>85</v>
      </c>
      <c r="E123" s="107" t="s">
        <v>338</v>
      </c>
      <c r="F123" s="150">
        <v>7424458.8693000004</v>
      </c>
      <c r="G123" s="116">
        <v>41911</v>
      </c>
      <c r="H123" s="125"/>
      <c r="I123" s="113">
        <v>2.993865</v>
      </c>
      <c r="J123" s="113">
        <v>2.993865</v>
      </c>
      <c r="K123" s="113">
        <v>3.341011</v>
      </c>
      <c r="L123" s="156">
        <v>3.341011</v>
      </c>
    </row>
    <row r="124" spans="1:12">
      <c r="A124" s="105" t="s">
        <v>73</v>
      </c>
      <c r="B124" s="104"/>
      <c r="C124" s="114"/>
      <c r="D124" s="107" t="s">
        <v>85</v>
      </c>
      <c r="E124" s="107" t="s">
        <v>338</v>
      </c>
      <c r="F124" s="150">
        <v>13240445.999699999</v>
      </c>
      <c r="G124" s="116">
        <v>41911</v>
      </c>
      <c r="H124" s="125"/>
      <c r="I124" s="113">
        <v>1.9681659999999999</v>
      </c>
      <c r="J124" s="113">
        <v>1.9681659999999999</v>
      </c>
      <c r="K124" s="113">
        <v>3.2014520000000002</v>
      </c>
      <c r="L124" s="156">
        <v>3.2014520000000002</v>
      </c>
    </row>
    <row r="125" spans="1:12">
      <c r="A125" s="105" t="s">
        <v>346</v>
      </c>
      <c r="B125" s="104"/>
      <c r="C125" s="114"/>
      <c r="D125" s="107" t="s">
        <v>85</v>
      </c>
      <c r="E125" s="107" t="s">
        <v>338</v>
      </c>
      <c r="F125" s="150">
        <v>155782526.82949999</v>
      </c>
      <c r="G125" s="116">
        <v>42184</v>
      </c>
      <c r="H125" s="125"/>
      <c r="I125" s="113">
        <v>0.197246</v>
      </c>
      <c r="J125" s="113">
        <v>0.197246</v>
      </c>
      <c r="K125" s="113">
        <v>0.345725</v>
      </c>
      <c r="L125" s="156">
        <v>0.345725</v>
      </c>
    </row>
    <row r="126" spans="1:12">
      <c r="A126" s="103"/>
      <c r="B126" s="104"/>
      <c r="C126" s="114"/>
      <c r="D126" s="107"/>
      <c r="E126" s="103"/>
      <c r="F126" s="150"/>
      <c r="G126" s="116"/>
      <c r="H126" s="125"/>
      <c r="I126" s="103"/>
      <c r="J126" s="103"/>
      <c r="K126" s="103"/>
      <c r="L126" s="103"/>
    </row>
    <row r="127" spans="1:12">
      <c r="A127" s="119" t="s">
        <v>101</v>
      </c>
      <c r="B127" s="120"/>
      <c r="C127" s="120"/>
      <c r="D127" s="120"/>
      <c r="E127" s="120"/>
      <c r="F127" s="147"/>
      <c r="G127" s="120"/>
      <c r="H127" s="120"/>
      <c r="I127" s="122"/>
      <c r="J127" s="122"/>
      <c r="K127" s="103"/>
      <c r="L127" s="157"/>
    </row>
    <row r="128" spans="1:12">
      <c r="A128" s="103"/>
      <c r="B128" s="103"/>
      <c r="C128" s="106"/>
      <c r="D128" s="103"/>
      <c r="E128" s="103"/>
      <c r="F128" s="103"/>
      <c r="G128" s="103"/>
      <c r="H128" s="103"/>
      <c r="I128" s="103"/>
      <c r="J128" s="103"/>
      <c r="K128" s="103"/>
      <c r="L128" s="103"/>
    </row>
    <row r="129" spans="1:12">
      <c r="A129" s="123" t="s">
        <v>0</v>
      </c>
      <c r="B129" s="123" t="s">
        <v>337</v>
      </c>
      <c r="C129" s="123" t="s">
        <v>2</v>
      </c>
      <c r="D129" s="123" t="s">
        <v>3</v>
      </c>
      <c r="E129" s="123" t="s">
        <v>302</v>
      </c>
      <c r="F129" s="148" t="s">
        <v>4</v>
      </c>
      <c r="G129" s="123"/>
      <c r="H129" s="123"/>
      <c r="I129" s="124" t="s">
        <v>305</v>
      </c>
      <c r="J129" s="124" t="s">
        <v>306</v>
      </c>
      <c r="K129" s="124" t="s">
        <v>307</v>
      </c>
      <c r="L129" s="158" t="s">
        <v>5</v>
      </c>
    </row>
    <row r="130" spans="1:12">
      <c r="A130" s="105" t="s">
        <v>32</v>
      </c>
      <c r="B130" s="103"/>
      <c r="C130" s="103"/>
      <c r="D130" s="107" t="s">
        <v>38</v>
      </c>
      <c r="E130" s="103"/>
      <c r="F130" s="150">
        <v>16864.19000000017</v>
      </c>
      <c r="G130" s="103"/>
      <c r="H130" s="103"/>
      <c r="I130" s="113">
        <v>1</v>
      </c>
      <c r="J130" s="113">
        <v>1</v>
      </c>
      <c r="K130" s="113">
        <v>1</v>
      </c>
      <c r="L130" s="156">
        <v>20.114999999999998</v>
      </c>
    </row>
    <row r="131" spans="1:12">
      <c r="A131" s="105" t="s">
        <v>32</v>
      </c>
      <c r="B131" s="103"/>
      <c r="C131" s="103"/>
      <c r="D131" s="107" t="s">
        <v>85</v>
      </c>
      <c r="E131" s="103"/>
      <c r="F131" s="150">
        <v>44928.243499951437</v>
      </c>
      <c r="G131" s="103"/>
      <c r="H131" s="103"/>
      <c r="I131" s="113">
        <v>1</v>
      </c>
      <c r="J131" s="113">
        <v>1</v>
      </c>
      <c r="K131" s="113">
        <v>1</v>
      </c>
      <c r="L131" s="156">
        <v>1</v>
      </c>
    </row>
    <row r="132" spans="1:12">
      <c r="A132" s="105" t="s">
        <v>100</v>
      </c>
      <c r="B132" s="103"/>
      <c r="C132" s="103"/>
      <c r="D132" s="107" t="s">
        <v>85</v>
      </c>
      <c r="E132" s="103"/>
      <c r="F132" s="152">
        <v>23719785.600000001</v>
      </c>
      <c r="G132" s="103"/>
      <c r="H132" s="103"/>
      <c r="I132" s="113">
        <v>1</v>
      </c>
      <c r="J132" s="113">
        <v>1</v>
      </c>
      <c r="K132" s="113">
        <v>1</v>
      </c>
      <c r="L132" s="156">
        <v>1</v>
      </c>
    </row>
    <row r="133" spans="1:12">
      <c r="A133" s="103"/>
      <c r="B133" s="103"/>
      <c r="C133" s="106"/>
      <c r="D133" s="103"/>
      <c r="E133" s="103"/>
      <c r="F133" s="152"/>
      <c r="G133" s="103"/>
      <c r="H133" s="103"/>
      <c r="I133" s="103"/>
      <c r="J133" s="103"/>
      <c r="K133" s="103"/>
      <c r="L133" s="103"/>
    </row>
    <row r="134" spans="1:12">
      <c r="A134" s="103"/>
      <c r="B134" s="103"/>
      <c r="C134" s="111"/>
      <c r="D134" s="103"/>
      <c r="E134" s="128"/>
      <c r="F134" s="150"/>
      <c r="G134" s="103"/>
      <c r="H134" s="103"/>
      <c r="I134" s="103"/>
      <c r="J134" s="103"/>
      <c r="K134" s="103"/>
      <c r="L134" s="103"/>
    </row>
    <row r="135" spans="1:12" ht="18.75">
      <c r="A135" s="117" t="s">
        <v>347</v>
      </c>
      <c r="B135" s="132"/>
      <c r="C135" s="111"/>
      <c r="D135" s="103"/>
      <c r="E135" s="108"/>
      <c r="F135" s="153"/>
      <c r="G135" s="110"/>
      <c r="H135" s="111"/>
      <c r="I135" s="103"/>
      <c r="J135" s="103"/>
      <c r="K135" s="103"/>
      <c r="L135" s="103"/>
    </row>
    <row r="136" spans="1:12">
      <c r="A136" s="103"/>
      <c r="B136" s="103"/>
      <c r="C136" s="103"/>
      <c r="D136" s="103"/>
      <c r="E136" s="111"/>
      <c r="F136" s="154"/>
      <c r="G136" s="110"/>
      <c r="H136" s="111"/>
      <c r="I136" s="103"/>
      <c r="J136" s="103"/>
      <c r="K136" s="103"/>
      <c r="L136" s="103"/>
    </row>
    <row r="137" spans="1:12">
      <c r="A137" s="103"/>
      <c r="B137" s="103"/>
      <c r="C137" s="111"/>
      <c r="D137" s="103"/>
      <c r="E137" s="130"/>
      <c r="F137" s="155"/>
      <c r="G137" s="110"/>
      <c r="H137" s="111"/>
      <c r="I137" s="103"/>
      <c r="J137" s="103"/>
      <c r="K137" s="103"/>
      <c r="L137" s="103"/>
    </row>
    <row r="138" spans="1:12">
      <c r="A138" s="103"/>
      <c r="B138" s="103"/>
      <c r="C138" s="103"/>
      <c r="D138" s="111"/>
      <c r="E138" s="128"/>
      <c r="F138" s="155"/>
      <c r="G138" s="115"/>
      <c r="H138" s="103"/>
      <c r="I138" s="103"/>
      <c r="J138" s="103"/>
      <c r="K138" s="103"/>
      <c r="L138" s="103"/>
    </row>
    <row r="139" spans="1:12">
      <c r="A139" s="103"/>
      <c r="B139" s="103"/>
      <c r="C139" s="103"/>
      <c r="D139" s="103"/>
      <c r="E139" s="111"/>
      <c r="F139" s="152"/>
      <c r="G139" s="133"/>
      <c r="H139" s="103"/>
      <c r="I139" s="103"/>
      <c r="J139" s="103"/>
      <c r="K139" s="103"/>
      <c r="L139" s="103"/>
    </row>
    <row r="140" spans="1:12">
      <c r="A140" s="103"/>
      <c r="B140" s="103"/>
      <c r="C140" s="103"/>
      <c r="D140" s="103"/>
      <c r="E140" s="129"/>
      <c r="F140" s="150"/>
      <c r="G140" s="110"/>
      <c r="H140" s="103"/>
      <c r="I140" s="103"/>
      <c r="J140" s="103"/>
      <c r="K140" s="103"/>
      <c r="L140" s="103"/>
    </row>
    <row r="141" spans="1:12">
      <c r="A141" s="103"/>
      <c r="B141" s="103"/>
      <c r="C141" s="103"/>
      <c r="D141" s="103"/>
      <c r="E141" s="103"/>
      <c r="F141" s="150"/>
      <c r="G141" s="110"/>
      <c r="H141" s="103"/>
      <c r="I141" s="103"/>
      <c r="J141" s="103"/>
      <c r="K141" s="103"/>
      <c r="L141" s="103"/>
    </row>
    <row r="142" spans="1:12">
      <c r="A142" s="103"/>
      <c r="B142" s="103"/>
      <c r="C142" s="103"/>
      <c r="D142" s="103"/>
      <c r="E142" s="103"/>
      <c r="F142" s="103"/>
      <c r="G142" s="103"/>
      <c r="H142" s="103"/>
      <c r="I142" s="103"/>
      <c r="J142" s="103"/>
      <c r="K142" s="103"/>
      <c r="L142" s="103"/>
    </row>
    <row r="143" spans="1:12">
      <c r="A143" s="103"/>
      <c r="B143" s="103"/>
      <c r="C143" s="103"/>
      <c r="D143" s="103"/>
      <c r="E143" s="103"/>
      <c r="F143" s="103"/>
      <c r="G143" s="103"/>
      <c r="H143" s="103"/>
      <c r="I143" s="103"/>
      <c r="J143" s="103"/>
      <c r="K143" s="103"/>
      <c r="L143" s="103"/>
    </row>
    <row r="144" spans="1:12">
      <c r="A144" s="103"/>
      <c r="B144" s="103"/>
      <c r="C144" s="103"/>
      <c r="D144" s="103"/>
      <c r="E144" s="103"/>
      <c r="F144" s="103"/>
      <c r="G144" s="103"/>
      <c r="H144" s="103"/>
      <c r="I144" s="103"/>
      <c r="J144" s="103"/>
      <c r="K144" s="103"/>
      <c r="L144" s="103"/>
    </row>
    <row r="145" spans="1:12">
      <c r="A145" s="103"/>
      <c r="B145" s="103"/>
      <c r="C145" s="103"/>
      <c r="D145" s="103"/>
      <c r="E145" s="103"/>
      <c r="F145" s="103"/>
      <c r="G145" s="103"/>
      <c r="H145" s="103"/>
      <c r="I145" s="103"/>
      <c r="J145" s="103"/>
      <c r="K145" s="103"/>
      <c r="L145" s="103"/>
    </row>
    <row r="146" spans="1:12">
      <c r="A146" s="103"/>
      <c r="B146" s="103"/>
      <c r="C146" s="103"/>
      <c r="D146" s="103"/>
      <c r="E146" s="111"/>
      <c r="F146" s="103"/>
      <c r="G146" s="103"/>
      <c r="H146" s="103"/>
      <c r="I146" s="103"/>
      <c r="J146" s="103"/>
      <c r="K146" s="103"/>
      <c r="L146" s="103"/>
    </row>
    <row r="147" spans="1:12">
      <c r="A147" s="103"/>
      <c r="B147" s="103"/>
      <c r="C147" s="103"/>
      <c r="D147" s="103"/>
      <c r="E147" s="111"/>
      <c r="F147" s="103"/>
      <c r="G147" s="103"/>
      <c r="H147" s="103"/>
      <c r="I147" s="103"/>
      <c r="J147" s="103"/>
      <c r="K147" s="103"/>
      <c r="L147" s="103"/>
    </row>
    <row r="148" spans="1:12">
      <c r="A148" s="103"/>
      <c r="B148" s="103"/>
      <c r="C148" s="108"/>
      <c r="D148" s="103"/>
      <c r="E148" s="111"/>
      <c r="F148" s="103"/>
      <c r="G148" s="103"/>
      <c r="H148" s="103"/>
      <c r="I148" s="103"/>
      <c r="J148" s="103"/>
      <c r="K148" s="103"/>
      <c r="L148" s="103"/>
    </row>
    <row r="149" spans="1:12">
      <c r="A149" s="103"/>
      <c r="B149" s="103"/>
      <c r="C149" s="103"/>
      <c r="D149" s="103"/>
      <c r="E149" s="111"/>
      <c r="F149" s="103"/>
      <c r="G149" s="103"/>
      <c r="H149" s="103"/>
      <c r="I149" s="103"/>
      <c r="J149" s="103"/>
      <c r="K149" s="103"/>
      <c r="L149" s="103"/>
    </row>
    <row r="150" spans="1:12">
      <c r="A150" s="103"/>
      <c r="B150" s="103"/>
      <c r="C150" s="103"/>
      <c r="D150" s="103"/>
      <c r="E150" s="111"/>
      <c r="F150" s="103"/>
      <c r="G150" s="103"/>
      <c r="H150" s="103"/>
      <c r="I150" s="144"/>
      <c r="J150" s="103"/>
      <c r="K150" s="103"/>
      <c r="L150" s="103"/>
    </row>
    <row r="151" spans="1:12">
      <c r="A151" s="103"/>
      <c r="B151" s="103"/>
      <c r="C151" s="103"/>
      <c r="D151" s="103"/>
      <c r="E151" s="111"/>
      <c r="F151" s="103"/>
      <c r="G151" s="103"/>
      <c r="H151" s="103"/>
      <c r="I151" s="103"/>
      <c r="J151" s="103"/>
      <c r="K151" s="103"/>
      <c r="L151" s="103"/>
    </row>
    <row r="152" spans="1:12">
      <c r="A152" s="103"/>
      <c r="B152" s="103"/>
      <c r="C152" s="103"/>
      <c r="D152" s="103"/>
      <c r="E152" s="111"/>
      <c r="F152" s="103"/>
      <c r="G152" s="103"/>
      <c r="H152" s="103"/>
      <c r="I152" s="103"/>
      <c r="J152" s="103"/>
      <c r="K152" s="103"/>
      <c r="L152" s="103"/>
    </row>
    <row r="153" spans="1:12">
      <c r="A153" s="103"/>
      <c r="B153" s="103"/>
      <c r="C153" s="103"/>
      <c r="D153" s="103"/>
      <c r="E153" s="111"/>
      <c r="F153" s="103"/>
      <c r="G153" s="103"/>
      <c r="H153" s="103"/>
      <c r="I153" s="103"/>
      <c r="J153" s="103"/>
      <c r="K153" s="103"/>
      <c r="L153" s="103"/>
    </row>
    <row r="154" spans="1:12">
      <c r="A154" s="103"/>
      <c r="B154" s="103"/>
      <c r="C154" s="103"/>
      <c r="D154" s="103"/>
      <c r="E154" s="111"/>
      <c r="F154" s="103"/>
      <c r="G154" s="103"/>
      <c r="H154" s="103"/>
      <c r="I154" s="103"/>
      <c r="J154" s="103"/>
      <c r="K154" s="103"/>
      <c r="L154" s="103"/>
    </row>
    <row r="155" spans="1:12">
      <c r="A155" s="103"/>
      <c r="B155" s="103"/>
      <c r="C155" s="103"/>
      <c r="D155" s="103"/>
      <c r="E155" s="111"/>
      <c r="F155" s="103"/>
      <c r="G155" s="103"/>
      <c r="H155" s="103"/>
      <c r="I155" s="103"/>
      <c r="J155" s="103"/>
      <c r="K155" s="103"/>
      <c r="L155" s="103"/>
    </row>
    <row r="156" spans="1:12">
      <c r="A156" s="111"/>
      <c r="B156" s="103"/>
      <c r="C156" s="103"/>
      <c r="D156" s="103"/>
      <c r="E156" s="111"/>
      <c r="F156" s="103"/>
      <c r="G156" s="103"/>
      <c r="H156" s="103"/>
      <c r="I156" s="103"/>
      <c r="J156" s="103"/>
      <c r="K156" s="103"/>
      <c r="L156" s="103"/>
    </row>
    <row r="157" spans="1:12">
      <c r="A157" s="111"/>
      <c r="B157" s="103"/>
      <c r="C157" s="103"/>
      <c r="D157" s="103"/>
      <c r="E157" s="111"/>
      <c r="F157" s="103"/>
      <c r="G157" s="103"/>
      <c r="H157" s="103"/>
      <c r="I157" s="103"/>
      <c r="J157" s="103"/>
      <c r="K157" s="103"/>
      <c r="L157" s="103"/>
    </row>
    <row r="158" spans="1:12">
      <c r="A158" s="103"/>
      <c r="B158" s="111"/>
      <c r="C158" s="103"/>
      <c r="D158" s="103"/>
      <c r="E158" s="111"/>
      <c r="F158" s="103"/>
      <c r="G158" s="103"/>
      <c r="H158" s="103"/>
      <c r="I158" s="103"/>
      <c r="J158" s="103"/>
      <c r="K158" s="103"/>
      <c r="L158" s="103"/>
    </row>
    <row r="159" spans="1:12">
      <c r="A159" s="103"/>
      <c r="B159" s="111"/>
      <c r="C159" s="103"/>
      <c r="D159" s="103"/>
      <c r="E159" s="111"/>
      <c r="F159" s="103"/>
      <c r="G159" s="103"/>
      <c r="H159" s="103"/>
      <c r="I159" s="103"/>
      <c r="J159" s="103"/>
      <c r="K159" s="103"/>
      <c r="L159" s="103"/>
    </row>
    <row r="160" spans="1:12">
      <c r="A160" s="103"/>
      <c r="B160" s="103"/>
      <c r="C160" s="103"/>
      <c r="D160" s="103"/>
      <c r="E160" s="111"/>
      <c r="F160" s="103"/>
      <c r="G160" s="103"/>
      <c r="H160" s="103"/>
      <c r="I160" s="103"/>
      <c r="J160" s="103"/>
      <c r="K160" s="103"/>
      <c r="L160" s="103"/>
    </row>
    <row r="161" spans="5:5">
      <c r="E161" s="111"/>
    </row>
    <row r="164" spans="5:5">
      <c r="E164" s="111"/>
    </row>
    <row r="165" spans="5:5">
      <c r="E165" s="111"/>
    </row>
    <row r="166" spans="5:5">
      <c r="E166" s="111"/>
    </row>
    <row r="167" spans="5:5">
      <c r="E167" s="111"/>
    </row>
    <row r="168" spans="5:5">
      <c r="E168" s="111"/>
    </row>
    <row r="169" spans="5:5">
      <c r="E169" s="111"/>
    </row>
    <row r="172" spans="5:5">
      <c r="E172" s="111"/>
    </row>
    <row r="173" spans="5:5">
      <c r="E173" s="111"/>
    </row>
    <row r="174" spans="5:5">
      <c r="E174" s="111"/>
    </row>
    <row r="175" spans="5:5">
      <c r="E175" s="111"/>
    </row>
    <row r="176" spans="5:5">
      <c r="E176" s="111"/>
    </row>
    <row r="177" spans="5:5">
      <c r="E177" s="111"/>
    </row>
    <row r="180" spans="5:5">
      <c r="E180" s="111"/>
    </row>
    <row r="181" spans="5:5">
      <c r="E181" s="111"/>
    </row>
    <row r="182" spans="5:5">
      <c r="E182" s="111"/>
    </row>
    <row r="183" spans="5:5">
      <c r="E183" s="111"/>
    </row>
    <row r="184" spans="5:5">
      <c r="E184" s="111"/>
    </row>
    <row r="185" spans="5:5">
      <c r="E185" s="111"/>
    </row>
    <row r="186" spans="5:5">
      <c r="E186" s="111"/>
    </row>
    <row r="187" spans="5:5">
      <c r="E187" s="111"/>
    </row>
    <row r="188" spans="5:5">
      <c r="E188" s="111"/>
    </row>
    <row r="193" spans="5:5">
      <c r="E193" s="111"/>
    </row>
    <row r="194" spans="5:5">
      <c r="E194" s="111"/>
    </row>
    <row r="195" spans="5:5">
      <c r="E195" s="111"/>
    </row>
    <row r="196" spans="5:5">
      <c r="E196" s="111"/>
    </row>
    <row r="197" spans="5:5">
      <c r="E197" s="111"/>
    </row>
    <row r="198" spans="5:5">
      <c r="E198" s="111"/>
    </row>
    <row r="201" spans="5:5">
      <c r="E201" s="111"/>
    </row>
    <row r="202" spans="5:5">
      <c r="E202" s="111"/>
    </row>
    <row r="203" spans="5:5">
      <c r="E203" s="111"/>
    </row>
    <row r="204" spans="5:5">
      <c r="E204" s="111"/>
    </row>
    <row r="205" spans="5:5">
      <c r="E205" s="111"/>
    </row>
    <row r="206" spans="5:5">
      <c r="E206" s="111"/>
    </row>
    <row r="207" spans="5:5">
      <c r="E207" s="111"/>
    </row>
    <row r="208" spans="5:5">
      <c r="E208" s="111"/>
    </row>
    <row r="209" spans="5:5">
      <c r="E209" s="111"/>
    </row>
    <row r="210" spans="5:5">
      <c r="E210" s="111"/>
    </row>
    <row r="211" spans="5:5">
      <c r="E211" s="111"/>
    </row>
    <row r="212" spans="5:5">
      <c r="E212" s="111"/>
    </row>
    <row r="213" spans="5:5">
      <c r="E213" s="111"/>
    </row>
    <row r="216" spans="5:5">
      <c r="E216" s="111"/>
    </row>
    <row r="217" spans="5:5">
      <c r="E217" s="111"/>
    </row>
    <row r="218" spans="5:5">
      <c r="E218" s="111"/>
    </row>
    <row r="219" spans="5:5">
      <c r="E219" s="111"/>
    </row>
    <row r="220" spans="5:5">
      <c r="E220" s="111"/>
    </row>
    <row r="221" spans="5:5">
      <c r="E221" s="111"/>
    </row>
    <row r="222" spans="5:5">
      <c r="E222" s="111"/>
    </row>
    <row r="223" spans="5:5">
      <c r="E223" s="111"/>
    </row>
    <row r="224" spans="5:5">
      <c r="E224" s="111"/>
    </row>
    <row r="225" spans="5:5">
      <c r="E225" s="111"/>
    </row>
    <row r="227" spans="5:5">
      <c r="E227" s="111"/>
    </row>
    <row r="228" spans="5:5">
      <c r="E228" s="111"/>
    </row>
    <row r="229" spans="5:5">
      <c r="E229" s="111"/>
    </row>
    <row r="230" spans="5:5">
      <c r="E230" s="1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4</vt:i4>
      </vt:variant>
    </vt:vector>
  </HeadingPairs>
  <TitlesOfParts>
    <vt:vector size="13" baseType="lpstr">
      <vt:lpstr>Valuacion</vt:lpstr>
      <vt:lpstr>FCI</vt:lpstr>
      <vt:lpstr>Pos Tit Sura</vt:lpstr>
      <vt:lpstr>Pos PF Sura</vt:lpstr>
      <vt:lpstr>Pos Tit ACG</vt:lpstr>
      <vt:lpstr>Pos PF ACG</vt:lpstr>
      <vt:lpstr>Identidad de Codigos</vt:lpstr>
      <vt:lpstr>Precios para Valuar</vt:lpstr>
      <vt:lpstr>Hoja1</vt:lpstr>
      <vt:lpstr>Badlar</vt:lpstr>
      <vt:lpstr>CER</vt:lpstr>
      <vt:lpstr>Dev</vt:lpstr>
      <vt:lpstr>Tasatm20</vt:lpstr>
    </vt:vector>
  </TitlesOfParts>
  <Company>Shiffel Corp.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Veronica Otaegui</dc:creator>
  <cp:lastModifiedBy>Veronica Otaegui</cp:lastModifiedBy>
  <dcterms:created xsi:type="dcterms:W3CDTF">2017-10-09T13:57:45Z</dcterms:created>
  <dcterms:modified xsi:type="dcterms:W3CDTF">2018-03-16T20:34:06Z</dcterms:modified>
</cp:coreProperties>
</file>