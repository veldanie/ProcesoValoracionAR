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Inversiones Internacionales Grupo Sura S.A\Argentina\valoración\tpcg\"/>
    </mc:Choice>
  </mc:AlternateContent>
  <bookViews>
    <workbookView xWindow="240" yWindow="45" windowWidth="28380" windowHeight="12660"/>
  </bookViews>
  <sheets>
    <sheet name="Valuacion" sheetId="1" r:id="rId1"/>
    <sheet name="FCI" sheetId="9" r:id="rId2"/>
    <sheet name="Pos Tit Sura" sheetId="4" r:id="rId3"/>
    <sheet name="Pos PF Sura" sheetId="7" r:id="rId4"/>
    <sheet name="Pos Tit ACG" sheetId="6" r:id="rId5"/>
    <sheet name="Pos PF ACG" sheetId="8" r:id="rId6"/>
    <sheet name="Identidad de Codigos" sheetId="5" r:id="rId7"/>
    <sheet name="Precios para Valuar" sheetId="10" r:id="rId8"/>
  </sheets>
  <definedNames>
    <definedName name="Badlar">Valuacion!$B$92</definedName>
    <definedName name="cccccccccccccc">Valuacion!#REF!</definedName>
    <definedName name="CER">Valuacion!$B$93</definedName>
    <definedName name="dev" localSheetId="5">Valuacion!#REF!</definedName>
    <definedName name="dev" localSheetId="3">Valuacion!#REF!</definedName>
    <definedName name="dev" localSheetId="4">Valuacion!#REF!</definedName>
    <definedName name="Dev">Valuacion!$B$94</definedName>
    <definedName name="inf" localSheetId="5">Valuacion!#REF!</definedName>
    <definedName name="inf" localSheetId="3">Valuacion!#REF!</definedName>
    <definedName name="inf" localSheetId="4">Valuacion!#REF!</definedName>
    <definedName name="inf">Valuacion!#REF!</definedName>
  </definedNames>
  <calcPr calcId="171027"/>
</workbook>
</file>

<file path=xl/calcChain.xml><?xml version="1.0" encoding="utf-8"?>
<calcChain xmlns="http://schemas.openxmlformats.org/spreadsheetml/2006/main">
  <c r="P77" i="1" l="1"/>
  <c r="P74" i="1"/>
  <c r="P73" i="1"/>
  <c r="P72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1" i="1"/>
  <c r="P20" i="1"/>
  <c r="P19" i="1"/>
  <c r="P18" i="1"/>
  <c r="P15" i="1"/>
  <c r="P14" i="1"/>
  <c r="P12" i="1"/>
  <c r="P10" i="1"/>
  <c r="P8" i="1"/>
  <c r="P7" i="1"/>
  <c r="P6" i="1"/>
  <c r="P5" i="1"/>
  <c r="S77" i="1" l="1"/>
  <c r="N77" i="1"/>
  <c r="O77" i="1" s="1"/>
  <c r="S75" i="1"/>
  <c r="N75" i="1"/>
  <c r="O75" i="1" s="1"/>
  <c r="S74" i="1"/>
  <c r="N74" i="1"/>
  <c r="O74" i="1" s="1"/>
  <c r="S73" i="1"/>
  <c r="N73" i="1"/>
  <c r="O73" i="1" s="1"/>
  <c r="S72" i="1"/>
  <c r="N72" i="1"/>
  <c r="O72" i="1" s="1"/>
  <c r="S43" i="1"/>
  <c r="N43" i="1"/>
  <c r="O43" i="1" s="1"/>
  <c r="S42" i="1"/>
  <c r="N42" i="1"/>
  <c r="O42" i="1" s="1"/>
  <c r="S41" i="1"/>
  <c r="N41" i="1"/>
  <c r="O41" i="1" s="1"/>
  <c r="S40" i="1"/>
  <c r="N40" i="1"/>
  <c r="O40" i="1" s="1"/>
  <c r="S39" i="1"/>
  <c r="N39" i="1"/>
  <c r="O39" i="1" s="1"/>
  <c r="S38" i="1"/>
  <c r="N38" i="1"/>
  <c r="O38" i="1" s="1"/>
  <c r="S37" i="1"/>
  <c r="N37" i="1"/>
  <c r="O37" i="1" s="1"/>
  <c r="S36" i="1"/>
  <c r="N36" i="1"/>
  <c r="O36" i="1" s="1"/>
  <c r="S35" i="1"/>
  <c r="N35" i="1"/>
  <c r="O35" i="1" s="1"/>
  <c r="S34" i="1"/>
  <c r="N34" i="1"/>
  <c r="O34" i="1" s="1"/>
  <c r="S33" i="1"/>
  <c r="N33" i="1"/>
  <c r="O33" i="1" s="1"/>
  <c r="S32" i="1"/>
  <c r="N32" i="1"/>
  <c r="O32" i="1" s="1"/>
  <c r="S31" i="1"/>
  <c r="N31" i="1"/>
  <c r="O31" i="1" s="1"/>
  <c r="S30" i="1"/>
  <c r="N30" i="1"/>
  <c r="O30" i="1" s="1"/>
  <c r="S29" i="1"/>
  <c r="N29" i="1"/>
  <c r="O29" i="1" s="1"/>
  <c r="S28" i="1"/>
  <c r="N28" i="1"/>
  <c r="O28" i="1" s="1"/>
  <c r="S27" i="1"/>
  <c r="N27" i="1"/>
  <c r="O27" i="1" s="1"/>
  <c r="S26" i="1"/>
  <c r="N26" i="1"/>
  <c r="O26" i="1" s="1"/>
  <c r="S25" i="1"/>
  <c r="N25" i="1"/>
  <c r="O25" i="1" s="1"/>
  <c r="S24" i="1"/>
  <c r="N24" i="1"/>
  <c r="O24" i="1" s="1"/>
  <c r="S21" i="1"/>
  <c r="N21" i="1"/>
  <c r="O21" i="1" s="1"/>
  <c r="S20" i="1"/>
  <c r="N20" i="1"/>
  <c r="O20" i="1" s="1"/>
  <c r="S19" i="1"/>
  <c r="N19" i="1"/>
  <c r="O19" i="1" s="1"/>
  <c r="S18" i="1"/>
  <c r="N18" i="1"/>
  <c r="O18" i="1" s="1"/>
  <c r="S15" i="1"/>
  <c r="N15" i="1"/>
  <c r="O15" i="1" s="1"/>
  <c r="S14" i="1"/>
  <c r="N14" i="1"/>
  <c r="O14" i="1" s="1"/>
  <c r="S12" i="1"/>
  <c r="N12" i="1"/>
  <c r="O12" i="1" s="1"/>
  <c r="S10" i="1"/>
  <c r="N10" i="1"/>
  <c r="O10" i="1" s="1"/>
  <c r="S8" i="1"/>
  <c r="N8" i="1"/>
  <c r="O8" i="1" s="1"/>
  <c r="S7" i="1"/>
  <c r="N7" i="1"/>
  <c r="O7" i="1" s="1"/>
  <c r="S6" i="1"/>
  <c r="N6" i="1"/>
  <c r="O6" i="1" s="1"/>
  <c r="S5" i="1"/>
  <c r="N5" i="1"/>
  <c r="O5" i="1" s="1"/>
  <c r="L77" i="1"/>
  <c r="L75" i="1"/>
  <c r="L74" i="1"/>
  <c r="L73" i="1"/>
  <c r="L72" i="1"/>
  <c r="I57" i="1" l="1"/>
  <c r="I56" i="1"/>
  <c r="I55" i="1"/>
  <c r="I54" i="1"/>
  <c r="I53" i="1"/>
  <c r="I52" i="1"/>
  <c r="I51" i="1"/>
  <c r="I50" i="1"/>
  <c r="I49" i="1"/>
  <c r="I48" i="1"/>
  <c r="G57" i="1"/>
  <c r="G56" i="1"/>
  <c r="G55" i="1"/>
  <c r="G54" i="1"/>
  <c r="G53" i="1"/>
  <c r="G52" i="1"/>
  <c r="G51" i="1"/>
  <c r="G50" i="1"/>
  <c r="G49" i="1"/>
  <c r="G48" i="1"/>
  <c r="E57" i="1"/>
  <c r="E56" i="1"/>
  <c r="E55" i="1"/>
  <c r="E54" i="1"/>
  <c r="E53" i="1"/>
  <c r="E52" i="1"/>
  <c r="E51" i="1"/>
  <c r="E50" i="1"/>
  <c r="E49" i="1"/>
  <c r="E48" i="1"/>
  <c r="D57" i="1"/>
  <c r="N57" i="1" s="1"/>
  <c r="O57" i="1" s="1"/>
  <c r="D56" i="1"/>
  <c r="N56" i="1" s="1"/>
  <c r="O56" i="1" s="1"/>
  <c r="D55" i="1"/>
  <c r="N55" i="1" s="1"/>
  <c r="O55" i="1" s="1"/>
  <c r="D54" i="1"/>
  <c r="N54" i="1" s="1"/>
  <c r="O54" i="1" s="1"/>
  <c r="D53" i="1"/>
  <c r="D52" i="1"/>
  <c r="N52" i="1" s="1"/>
  <c r="O52" i="1" s="1"/>
  <c r="D51" i="1"/>
  <c r="N51" i="1" s="1"/>
  <c r="O51" i="1" s="1"/>
  <c r="D50" i="1"/>
  <c r="N50" i="1" s="1"/>
  <c r="O50" i="1" s="1"/>
  <c r="D49" i="1"/>
  <c r="N49" i="1" s="1"/>
  <c r="O49" i="1" s="1"/>
  <c r="D48" i="1"/>
  <c r="A49" i="1"/>
  <c r="A50" i="1"/>
  <c r="A51" i="1"/>
  <c r="A52" i="1"/>
  <c r="A53" i="1"/>
  <c r="A54" i="1"/>
  <c r="A55" i="1"/>
  <c r="A56" i="1"/>
  <c r="A57" i="1"/>
  <c r="A48" i="1"/>
  <c r="M45" i="1"/>
  <c r="M44" i="1"/>
  <c r="M15" i="1"/>
  <c r="M43" i="1"/>
  <c r="M32" i="1"/>
  <c r="P50" i="1" l="1"/>
  <c r="P54" i="1"/>
  <c r="P51" i="1"/>
  <c r="P55" i="1"/>
  <c r="P52" i="1"/>
  <c r="P56" i="1"/>
  <c r="P49" i="1"/>
  <c r="P57" i="1"/>
  <c r="M53" i="1"/>
  <c r="M51" i="1"/>
  <c r="M57" i="1"/>
  <c r="M52" i="1"/>
  <c r="M49" i="1"/>
  <c r="M55" i="1"/>
  <c r="M48" i="1"/>
  <c r="M54" i="1"/>
  <c r="M50" i="1"/>
  <c r="M56" i="1"/>
  <c r="N53" i="1"/>
  <c r="O53" i="1" s="1"/>
  <c r="N48" i="1"/>
  <c r="O48" i="1" s="1"/>
  <c r="L82" i="1"/>
  <c r="L81" i="1"/>
  <c r="L80" i="1"/>
  <c r="L68" i="1"/>
  <c r="L67" i="1"/>
  <c r="P53" i="1" l="1"/>
  <c r="P48" i="1"/>
  <c r="A10" i="5"/>
  <c r="C28" i="1" s="1"/>
  <c r="I28" i="1" s="1"/>
  <c r="C70" i="1"/>
  <c r="I70" i="1" s="1"/>
  <c r="B70" i="1"/>
  <c r="C31" i="1"/>
  <c r="I31" i="1" s="1"/>
  <c r="C18" i="1"/>
  <c r="C10" i="1"/>
  <c r="J10" i="1" s="1"/>
  <c r="B10" i="1"/>
  <c r="C8" i="1"/>
  <c r="J8" i="1" s="1"/>
  <c r="B8" i="1"/>
  <c r="B6" i="1"/>
  <c r="C34" i="1" l="1"/>
  <c r="I34" i="1" s="1"/>
  <c r="B14" i="1"/>
  <c r="C25" i="1"/>
  <c r="I25" i="1" s="1"/>
  <c r="C42" i="1"/>
  <c r="I42" i="1" s="1"/>
  <c r="C7" i="1"/>
  <c r="J7" i="1" s="1"/>
  <c r="C77" i="1"/>
  <c r="I77" i="1" s="1"/>
  <c r="C32" i="1"/>
  <c r="I32" i="1" s="1"/>
  <c r="C39" i="1"/>
  <c r="I39" i="1" s="1"/>
  <c r="C71" i="1"/>
  <c r="I71" i="1" s="1"/>
  <c r="C14" i="1"/>
  <c r="J14" i="1" s="1"/>
  <c r="B72" i="1"/>
  <c r="C6" i="1"/>
  <c r="J6" i="1" s="1"/>
  <c r="B7" i="1"/>
  <c r="C26" i="1"/>
  <c r="I26" i="1" s="1"/>
  <c r="C29" i="1"/>
  <c r="I29" i="1" s="1"/>
  <c r="C33" i="1"/>
  <c r="I33" i="1" s="1"/>
  <c r="C35" i="1"/>
  <c r="I35" i="1" s="1"/>
  <c r="C37" i="1"/>
  <c r="I37" i="1" s="1"/>
  <c r="C40" i="1"/>
  <c r="I40" i="1" s="1"/>
  <c r="C72" i="1"/>
  <c r="I72" i="1" s="1"/>
  <c r="B73" i="1"/>
  <c r="B5" i="1"/>
  <c r="B12" i="1"/>
  <c r="C24" i="1"/>
  <c r="I24" i="1" s="1"/>
  <c r="C27" i="1"/>
  <c r="I27" i="1" s="1"/>
  <c r="C30" i="1"/>
  <c r="I30" i="1" s="1"/>
  <c r="C36" i="1"/>
  <c r="I36" i="1" s="1"/>
  <c r="C38" i="1"/>
  <c r="I38" i="1" s="1"/>
  <c r="C41" i="1"/>
  <c r="I41" i="1" s="1"/>
  <c r="B75" i="1"/>
  <c r="C5" i="1"/>
  <c r="J5" i="1" s="1"/>
  <c r="C12" i="1"/>
  <c r="J12" i="1" s="1"/>
  <c r="B71" i="1"/>
  <c r="C75" i="1"/>
  <c r="I75" i="1" s="1"/>
  <c r="C73" i="1"/>
  <c r="I73" i="1" s="1"/>
  <c r="B74" i="1"/>
  <c r="C45" i="1"/>
  <c r="I45" i="1" s="1"/>
  <c r="C44" i="1"/>
  <c r="I44" i="1" s="1"/>
  <c r="B15" i="1"/>
  <c r="C15" i="1"/>
  <c r="C43" i="1"/>
  <c r="I43" i="1" s="1"/>
  <c r="B77" i="1"/>
  <c r="C21" i="1"/>
  <c r="I21" i="1" s="1"/>
  <c r="C19" i="1"/>
  <c r="I19" i="1" s="1"/>
  <c r="C20" i="1"/>
  <c r="C74" i="1"/>
  <c r="I74" i="1" s="1"/>
  <c r="I18" i="1"/>
  <c r="J18" i="1"/>
  <c r="J25" i="1"/>
  <c r="I8" i="1"/>
  <c r="H8" i="1" s="1"/>
  <c r="I10" i="1"/>
  <c r="H10" i="1" s="1"/>
  <c r="I7" i="1" l="1"/>
  <c r="H7" i="1" s="1"/>
  <c r="J24" i="1"/>
  <c r="I12" i="1"/>
  <c r="H12" i="1" s="1"/>
  <c r="I6" i="1"/>
  <c r="H6" i="1" s="1"/>
  <c r="I5" i="1"/>
  <c r="H5" i="1" s="1"/>
  <c r="I14" i="1"/>
  <c r="H14" i="1" s="1"/>
  <c r="I15" i="1"/>
  <c r="J15" i="1"/>
  <c r="J21" i="1"/>
  <c r="J20" i="1"/>
  <c r="I20" i="1"/>
  <c r="H74" i="1"/>
  <c r="H73" i="1"/>
  <c r="H75" i="1"/>
  <c r="H71" i="1"/>
  <c r="H70" i="1"/>
  <c r="H72" i="1"/>
  <c r="H77" i="1"/>
  <c r="H15" i="1" l="1"/>
  <c r="M82" i="1"/>
  <c r="M81" i="1"/>
  <c r="M80" i="1"/>
  <c r="M68" i="1"/>
  <c r="M67" i="1"/>
  <c r="M64" i="1"/>
  <c r="M63" i="1"/>
  <c r="M62" i="1"/>
  <c r="M61" i="1"/>
  <c r="M60" i="1"/>
  <c r="M59" i="1"/>
  <c r="M12" i="1" l="1"/>
  <c r="M10" i="1" l="1"/>
  <c r="M71" i="1"/>
  <c r="M74" i="1"/>
  <c r="M70" i="1"/>
  <c r="M29" i="1"/>
  <c r="M6" i="1"/>
  <c r="M8" i="1"/>
  <c r="M5" i="1"/>
  <c r="M7" i="1"/>
  <c r="M36" i="1"/>
  <c r="M14" i="1"/>
  <c r="M41" i="1" l="1"/>
  <c r="M38" i="1"/>
  <c r="M72" i="1"/>
  <c r="M73" i="1"/>
  <c r="M30" i="1"/>
  <c r="M27" i="1"/>
  <c r="M28" i="1"/>
  <c r="M34" i="1"/>
  <c r="M33" i="1"/>
  <c r="M35" i="1"/>
  <c r="M75" i="1"/>
  <c r="M40" i="1"/>
  <c r="M24" i="1"/>
  <c r="M42" i="1"/>
  <c r="M26" i="1"/>
  <c r="M31" i="1"/>
  <c r="M39" i="1"/>
  <c r="M25" i="1"/>
  <c r="M37" i="1"/>
  <c r="M77" i="1" l="1"/>
  <c r="M88" i="1" l="1"/>
  <c r="Q77" i="1" s="1"/>
  <c r="Q75" i="1" l="1"/>
  <c r="Q73" i="1"/>
  <c r="Q74" i="1"/>
  <c r="Q72" i="1"/>
  <c r="Q45" i="1"/>
  <c r="Q43" i="1"/>
  <c r="Q44" i="1"/>
  <c r="Q42" i="1"/>
  <c r="Q40" i="1"/>
  <c r="Q38" i="1"/>
  <c r="Q35" i="1"/>
  <c r="Q32" i="1"/>
  <c r="Q30" i="1"/>
  <c r="Q28" i="1"/>
  <c r="Q26" i="1"/>
  <c r="Q24" i="1"/>
  <c r="Q41" i="1"/>
  <c r="Q39" i="1"/>
  <c r="Q37" i="1"/>
  <c r="Q36" i="1"/>
  <c r="Q34" i="1"/>
  <c r="Q33" i="1"/>
  <c r="Q31" i="1"/>
  <c r="Q29" i="1"/>
  <c r="Q27" i="1"/>
  <c r="Q25" i="1"/>
  <c r="Q21" i="1"/>
  <c r="Q19" i="1"/>
  <c r="Q20" i="1"/>
  <c r="Q18" i="1"/>
  <c r="Q15" i="1"/>
  <c r="Q14" i="1"/>
  <c r="Q10" i="1"/>
  <c r="Q12" i="1"/>
  <c r="Q8" i="1"/>
  <c r="Q6" i="1"/>
  <c r="Q7" i="1"/>
  <c r="Q5" i="1"/>
  <c r="Q57" i="1"/>
  <c r="Q51" i="1"/>
  <c r="Q56" i="1"/>
  <c r="Q50" i="1"/>
  <c r="Q55" i="1"/>
  <c r="Q49" i="1"/>
  <c r="Q54" i="1"/>
  <c r="Q53" i="1"/>
  <c r="Q52" i="1"/>
  <c r="Q70" i="1"/>
  <c r="Q67" i="1"/>
  <c r="Q80" i="1"/>
  <c r="Q61" i="1"/>
  <c r="Q71" i="1"/>
  <c r="Q48" i="1"/>
  <c r="Q81" i="1"/>
  <c r="Q84" i="1"/>
  <c r="Q68" i="1"/>
  <c r="Q85" i="1"/>
  <c r="Q63" i="1"/>
  <c r="Q64" i="1"/>
  <c r="Q60" i="1"/>
  <c r="Q82" i="1"/>
  <c r="Q59" i="1"/>
  <c r="Q86" i="1"/>
  <c r="Q62" i="1"/>
  <c r="O88" i="1" l="1"/>
  <c r="P88" i="1"/>
</calcChain>
</file>

<file path=xl/sharedStrings.xml><?xml version="1.0" encoding="utf-8"?>
<sst xmlns="http://schemas.openxmlformats.org/spreadsheetml/2006/main" count="685" uniqueCount="305">
  <si>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</si>
  <si>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</si>
  <si>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</si>
  <si>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</si>
  <si>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</si>
  <si>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</si>
  <si>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</si>
  <si>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</si>
  <si>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</si>
  <si>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</si>
  <si>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</si>
  <si>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</si>
  <si>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</si>
  <si>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</si>
  <si>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</si>
  <si>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B+2.75%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</si>
  <si>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</si>
  <si>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</si>
  <si>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</si>
  <si>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</si>
  <si>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</si>
  <si>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</si>
  <si>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</si>
  <si>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</si>
  <si>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</si>
  <si>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</si>
  <si>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</si>
  <si>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</si>
  <si>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</si>
  <si>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</si>
  <si>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</si>
  <si>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</si>
  <si>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</si>
  <si>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</si>
  <si>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</si>
  <si>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</si>
  <si>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</si>
  <si>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D+2.40%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</si>
  <si>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</si>
  <si>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</si>
  <si>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</si>
  <si>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</si>
  <si>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</si>
  <si>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</si>
  <si>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</si>
  <si>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</si>
  <si>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</si>
  <si>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</si>
  <si>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</si>
  <si>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</si>
  <si>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</si>
  <si>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</si>
  <si>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</si>
  <si>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</si>
  <si>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</si>
  <si>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</si>
  <si>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</si>
  <si>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</si>
  <si>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</si>
  <si>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</si>
  <si>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Schroder Desarrollo y Crecimiento Clase A</t>
  </si>
  <si>
    <t>B+4.2%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</si>
  <si>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</si>
  <si>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</si>
  <si>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</si>
  <si>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</si>
  <si>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</si>
  <si>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</si>
  <si>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</si>
  <si>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</si>
  <si>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</si>
  <si>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</si>
  <si>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</si>
  <si>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</si>
  <si>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</si>
  <si>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</si>
  <si>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</si>
  <si>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</si>
  <si>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20  - TYCLO</t>
  </si>
  <si>
    <t>B+2.95%</t>
  </si>
  <si>
    <t>YPF S.A. - YPCUO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</si>
  <si>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</si>
  <si>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</si>
  <si>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</si>
  <si>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</si>
  <si>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</si>
  <si>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</si>
  <si>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</si>
  <si>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</si>
  <si>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</si>
  <si>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</si>
  <si>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</si>
  <si>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</si>
  <si>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</si>
  <si>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</si>
  <si>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</si>
  <si>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</si>
  <si>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</si>
  <si>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</si>
  <si>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</si>
  <si>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</si>
  <si>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</si>
  <si>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</si>
  <si>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</si>
  <si>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</si>
  <si>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</si>
  <si>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</si>
  <si>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</si>
  <si>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</si>
  <si>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</si>
  <si>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</si>
  <si>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</si>
  <si>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</si>
  <si>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</si>
  <si>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</si>
  <si>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</si>
  <si>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</si>
  <si>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</si>
  <si>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</si>
  <si>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</si>
  <si>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</si>
  <si>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</si>
  <si>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</si>
  <si>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</si>
  <si>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</si>
  <si>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</si>
  <si>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</si>
  <si>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</si>
  <si>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</si>
  <si>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</si>
  <si>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</si>
  <si>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</si>
  <si>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</si>
  <si>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</si>
  <si>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</si>
  <si>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</si>
  <si>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</si>
  <si>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</si>
  <si>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</si>
  <si>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</si>
  <si>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</si>
  <si>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</si>
  <si>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</si>
  <si>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</si>
  <si>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</si>
  <si>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</si>
  <si>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</si>
  <si>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</si>
  <si>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</si>
  <si>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</si>
  <si>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</si>
  <si>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</si>
  <si>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</si>
  <si>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</si>
  <si>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</si>
  <si>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</si>
  <si>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</si>
  <si>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</si>
  <si>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</si>
  <si>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</si>
  <si>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</si>
  <si>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</si>
  <si>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</si>
  <si>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</si>
  <si>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</si>
  <si>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</si>
  <si>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</si>
  <si>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</si>
  <si>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</si>
  <si>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</si>
  <si>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</si>
  <si>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</si>
  <si>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</si>
  <si>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</si>
  <si>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</si>
  <si>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</si>
  <si>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</si>
  <si>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</si>
  <si>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</si>
  <si>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</si>
  <si>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</si>
  <si>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</si>
  <si>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</si>
  <si>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</si>
  <si>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</si>
  <si>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</si>
  <si>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</si>
  <si>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Rombo Compañía Financiera - RB35O</t>
  </si>
  <si>
    <t>FCA Compañía Financiera - FTCBO</t>
  </si>
  <si>
    <t>LEBAC INT $ V.18/04/18 273dias I18A8</t>
  </si>
  <si>
    <t>LEBAC INT $ V.16/05/18 273dias I16Y8</t>
  </si>
  <si>
    <t>LEBAC INT $ V.21/06/18 274dias I21J8</t>
  </si>
  <si>
    <t>LEBAC INT $ V.18/07/18 273dias I18L8</t>
  </si>
  <si>
    <t>Timestamp</t>
  </si>
  <si>
    <t>Net Asset Value</t>
  </si>
  <si>
    <t>Pan American Energy VII - PNC7O</t>
  </si>
  <si>
    <t>Pan American Energy VIII - PNC8O</t>
  </si>
  <si>
    <t>YPF S.A. - YCA3O</t>
  </si>
  <si>
    <t>Updated at 20:15:46</t>
  </si>
  <si>
    <t>John Deere Clase 6 - JHC6O</t>
  </si>
  <si>
    <t>Arcor S.A.I.C - RCCBO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</si>
  <si>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</si>
  <si>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</si>
  <si>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</si>
  <si>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</si>
  <si>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</si>
  <si>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</si>
  <si>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</si>
  <si>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</si>
  <si>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</si>
  <si>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</si>
  <si>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</si>
  <si>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</si>
  <si>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</si>
  <si>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</si>
  <si>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</si>
  <si>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</si>
  <si>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</si>
  <si>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</si>
  <si>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</si>
  <si>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</si>
  <si>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GPAT 2020 Badlar + 417 - Serie XXX - GPWBO</t>
  </si>
  <si>
    <t>HSBC Clase 7 - HSC7O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</si>
  <si>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</si>
  <si>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</si>
  <si>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</si>
  <si>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</si>
  <si>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</si>
  <si>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</si>
  <si>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</si>
  <si>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</si>
  <si>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</si>
  <si>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</si>
  <si>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Bonar 2018 Badlar + 275.xlsm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</si>
  <si>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</si>
  <si>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</si>
  <si>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</si>
  <si>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</si>
  <si>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</si>
  <si>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</si>
  <si>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</si>
  <si>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</si>
  <si>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</si>
  <si>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</si>
  <si>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K:\BondsBase\Cash Flows\Argentina\Provinces\</t>
  </si>
  <si>
    <t>Bogar 2018.xlsm</t>
  </si>
  <si>
    <t>mas Inflacion Esperada</t>
  </si>
  <si>
    <t>K:\BondsBase\Cash Flows\Argentina\Sovereign\CER\</t>
  </si>
  <si>
    <t>BONCER 2021.xlsm</t>
  </si>
  <si>
    <t>Bonad 2018 DL 2,40%.xlsm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</si>
  <si>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</si>
  <si>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</si>
  <si>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</si>
  <si>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</si>
  <si>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</si>
  <si>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</si>
  <si>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</si>
  <si>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</si>
  <si>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</si>
  <si>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</si>
  <si>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</si>
  <si>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</si>
  <si>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</si>
  <si>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</si>
  <si>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John Deere B+420 2018.xlsm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</si>
  <si>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</si>
  <si>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</si>
  <si>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</si>
  <si>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</si>
  <si>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</si>
  <si>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</si>
  <si>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</si>
  <si>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</si>
  <si>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+ 370.xlsm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</si>
  <si>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</si>
  <si>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</si>
  <si>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</si>
  <si>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</si>
  <si>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</si>
  <si>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</si>
  <si>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</si>
  <si>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</si>
  <si>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</si>
  <si>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</si>
  <si>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</si>
  <si>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</si>
  <si>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corte de cupon</t>
  </si>
  <si>
    <t>Badlar</t>
  </si>
  <si>
    <t>Inflacion esperada</t>
  </si>
  <si>
    <t>Devaluacion esperada</t>
  </si>
  <si>
    <t>Informacion Adicional:</t>
  </si>
  <si>
    <t>FCA Compañía Financiera - FTB10</t>
  </si>
  <si>
    <t>BANCO HIPOTECARIO NACIONAL XLII - BH49O</t>
  </si>
  <si>
    <t>ARBHIP5600W7</t>
  </si>
  <si>
    <t>ARFICR050141</t>
  </si>
  <si>
    <t>GPAT Compañía Financiera - GPWBO</t>
  </si>
  <si>
    <t>HSBC Bank Argentina S.A. - HSC7O</t>
  </si>
  <si>
    <t>JOHN DEERE CLASE 6</t>
  </si>
  <si>
    <t>PSA Finance - PSSRO</t>
  </si>
  <si>
    <t>ARPSAF560083</t>
  </si>
  <si>
    <t>Rombo Compañía Financiera - RMB35</t>
  </si>
  <si>
    <t>Arcor S.A.I.C - RC11O</t>
  </si>
  <si>
    <t>B+3.6%</t>
  </si>
  <si>
    <t>B+4.17%</t>
  </si>
  <si>
    <t>TM20 + 3.5%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</si>
</sst>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 * #,##0.00_ ;_ * \-#,##0.00_ ;_ * &quot;-&quot;??_ ;_ @_ "/>
    <numFmt numFmtId="165" formatCode="_-* #,##0.00\ _€_-;\-* #,##0.00\ _€_-;_-* &quot;-&quot;??\ _€_-;_-@_-"/>
    <numFmt numFmtId="166" formatCode="#,##0.0000"/>
    <numFmt numFmtId="167" formatCode="#,##0.00_ ;\-#,##0.00\ "/>
    <numFmt numFmtId="168" formatCode="_(* #,##0.00_);_(* \(#,##0.00\);_(* &quot;-&quot;??_);_(@_)"/>
    <numFmt numFmtId="169" formatCode="#,##0_ ;\-#,##0\ "/>
    <numFmt numFmtId="170" formatCode="0.000000"/>
    <numFmt numFmtId="171" formatCode="_-* #,##0\ _€_-;\-* #,##0\ _€_-;_-* &quot;-&quot;??\ _€_-;_-@_-"/>
    <numFmt numFmtId="172" formatCode="0.000"/>
    <numFmt numFmtId="173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8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8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8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5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70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1" fontId="0" fillId="0" borderId="0" xfId="1" applyNumberFormat="1" applyFont="1"/>
    <xf numFmtId="171" fontId="0" fillId="6" borderId="0" xfId="1" applyNumberFormat="1" applyFont="1" applyFill="1"/>
    <xf numFmtId="171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0" fontId="6" fillId="0" borderId="2" xfId="0" applyFont="1" applyBorder="1"/>
    <xf numFmtId="0" fontId="6" fillId="0" borderId="0" xfId="0" applyFont="1" applyBorder="1"/>
    <xf numFmtId="0" fontId="8" fillId="0" borderId="1" xfId="0" applyFont="1" applyBorder="1" applyAlignment="1"/>
    <xf numFmtId="4" fontId="9" fillId="0" borderId="1" xfId="0" applyNumberFormat="1" applyFont="1" applyBorder="1" applyAlignment="1"/>
    <xf numFmtId="0" fontId="8" fillId="0" borderId="3" xfId="0" applyFont="1" applyBorder="1"/>
    <xf numFmtId="4" fontId="9" fillId="0" borderId="3" xfId="0" applyNumberFormat="1" applyFont="1" applyBorder="1"/>
    <xf numFmtId="0" fontId="10" fillId="0" borderId="0" xfId="0" applyFont="1" applyAlignment="1">
      <alignment horizontal="center"/>
    </xf>
    <xf numFmtId="172" fontId="7" fillId="0" borderId="0" xfId="0" applyNumberFormat="1" applyFont="1"/>
    <xf numFmtId="10" fontId="7" fillId="0" borderId="0" xfId="2" applyNumberFormat="1" applyFont="1"/>
    <xf numFmtId="4" fontId="7" fillId="0" borderId="2" xfId="0" applyNumberFormat="1" applyFont="1" applyBorder="1"/>
    <xf numFmtId="0" fontId="10" fillId="0" borderId="2" xfId="0" applyFont="1" applyBorder="1" applyAlignment="1">
      <alignment horizontal="center"/>
    </xf>
    <xf numFmtId="172" fontId="7" fillId="0" borderId="2" xfId="0" applyNumberFormat="1" applyFont="1" applyBorder="1"/>
    <xf numFmtId="10" fontId="7" fillId="0" borderId="2" xfId="2" applyNumberFormat="1" applyFont="1" applyBorder="1"/>
    <xf numFmtId="0" fontId="6" fillId="0" borderId="0" xfId="0" applyFont="1" applyAlignment="1">
      <alignment horizontal="center"/>
    </xf>
    <xf numFmtId="10" fontId="0" fillId="3" borderId="0" xfId="0" applyNumberFormat="1" applyFont="1" applyFill="1"/>
    <xf numFmtId="10" fontId="0" fillId="6" borderId="0" xfId="3" applyNumberFormat="1" applyFont="1" applyFill="1" applyAlignment="1">
      <alignment horizontal="center"/>
    </xf>
    <xf numFmtId="173" fontId="0" fillId="3" borderId="0" xfId="0" applyNumberFormat="1" applyFont="1" applyFill="1" applyAlignment="1">
      <alignment horizontal="center"/>
    </xf>
  </cellXfs>
  <cellStyles count="6">
    <cellStyle name="Millares" xfId="1" builtinId="3"/>
    <cellStyle name="Millares 2" xfId="5"/>
    <cellStyle name="Millares 3" xfId="4"/>
    <cellStyle name="Normal" xfId="0" builtinId="0"/>
    <cellStyle name="Percent" xfId="3"/>
    <cellStyle name="Porcentaje" xfId="2" builtinId="5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5"/>
  <sheetViews>
    <sheetView tabSelected="1" topLeftCell="A46" zoomScale="90" zoomScaleNormal="90" workbookViewId="0">
      <selection activeCell="M62" sqref="M62"/>
    </sheetView>
  </sheetViews>
  <sheetFormatPr baseColWidth="10" defaultColWidth="11.42578125" defaultRowHeight="15" outlineLevelCol="1" x14ac:dyDescent="0.25"/>
  <cols>
    <col min="1" max="1" width="39.7109375" style="6" customWidth="1"/>
    <col min="2" max="6" width="15.7109375" style="6" customWidth="1"/>
    <col min="7" max="7" width="15.7109375" style="70" customWidth="1"/>
    <col min="8" max="9" width="15.7109375" style="70" hidden="1" customWidth="1" outlineLevel="1"/>
    <col min="10" max="10" width="4.85546875" style="70" bestFit="1" customWidth="1" outlineLevel="1"/>
    <col min="11" max="11" width="10.140625" style="70" customWidth="1" outlineLevel="1"/>
    <col min="12" max="12" width="15.7109375" style="71" customWidth="1"/>
    <col min="13" max="13" width="15.7109375" style="6" customWidth="1"/>
    <col min="14" max="15" width="15.7109375" style="72" customWidth="1"/>
    <col min="16" max="16" width="15.7109375" style="73" customWidth="1"/>
    <col min="17" max="17" width="15.7109375" style="74" customWidth="1"/>
    <col min="18" max="18" width="3.140625" style="6" customWidth="1"/>
    <col min="19" max="19" width="21.7109375" style="78" customWidth="1"/>
    <col min="20" max="16384" width="11.42578125" style="6"/>
  </cols>
  <sheetData>
    <row r="1" spans="1:19" x14ac:dyDescent="0.25">
      <c r="Q1" s="75"/>
    </row>
    <row r="2" spans="1:19" ht="30" x14ac:dyDescent="0.25">
      <c r="A2" s="1" t="s">
        <v>0</v>
      </c>
      <c r="B2" s="1" t="s">
        <v>177</v>
      </c>
      <c r="C2" s="1" t="s">
        <v>178</v>
      </c>
      <c r="D2" s="1" t="s">
        <v>1</v>
      </c>
      <c r="E2" s="1" t="s">
        <v>2</v>
      </c>
      <c r="F2" s="1" t="s">
        <v>3</v>
      </c>
      <c r="G2" s="2" t="s">
        <v>4</v>
      </c>
      <c r="H2" s="2"/>
      <c r="I2" s="2" t="s">
        <v>100</v>
      </c>
      <c r="J2" s="2" t="s">
        <v>103</v>
      </c>
      <c r="K2" s="2" t="s">
        <v>186</v>
      </c>
      <c r="L2" s="3" t="s">
        <v>5</v>
      </c>
      <c r="M2" s="1" t="s">
        <v>6</v>
      </c>
      <c r="N2" s="1" t="s">
        <v>105</v>
      </c>
      <c r="O2" s="1" t="s">
        <v>7</v>
      </c>
      <c r="P2" s="1" t="s">
        <v>8</v>
      </c>
      <c r="Q2" s="4" t="s">
        <v>9</v>
      </c>
      <c r="R2" s="5"/>
      <c r="S2" s="79" t="s">
        <v>106</v>
      </c>
    </row>
    <row r="3" spans="1:19" x14ac:dyDescent="0.25">
      <c r="A3" s="7" t="s">
        <v>10</v>
      </c>
      <c r="B3" s="8"/>
      <c r="C3" s="8"/>
      <c r="D3" s="8"/>
      <c r="E3" s="8"/>
      <c r="F3" s="8"/>
      <c r="G3" s="9"/>
      <c r="H3" s="9"/>
      <c r="I3" s="9"/>
      <c r="J3" s="9"/>
      <c r="K3" s="9"/>
      <c r="L3" s="10"/>
      <c r="M3" s="8"/>
      <c r="N3" s="8"/>
      <c r="O3" s="8"/>
      <c r="P3" s="8"/>
      <c r="Q3" s="11"/>
      <c r="R3" s="5"/>
      <c r="S3" s="77"/>
    </row>
    <row r="4" spans="1:19" x14ac:dyDescent="0.25">
      <c r="A4" s="13" t="s">
        <v>11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6"/>
      <c r="M4" s="14"/>
      <c r="N4" s="14"/>
      <c r="O4" s="14"/>
      <c r="P4" s="14"/>
      <c r="Q4" s="17"/>
      <c r="R4" s="5"/>
      <c r="S4" s="77"/>
    </row>
    <row r="5" spans="1:19" s="29" customFormat="1" x14ac:dyDescent="0.25">
      <c r="A5" s="5" t="s">
        <v>16</v>
      </c>
      <c r="B5" s="115" t="str">
        <f>VLOOKUP(A5,'Identidad de Codigos'!A:C,2,FALSE)</f>
        <v>ARARGE03H348</v>
      </c>
      <c r="C5" s="81">
        <f>VLOOKUP(A5,'Identidad de Codigos'!A:C,3,FALSE)</f>
        <v>5454</v>
      </c>
      <c r="D5" s="18" t="s">
        <v>17</v>
      </c>
      <c r="E5" s="19">
        <v>43535</v>
      </c>
      <c r="F5" s="20" t="s">
        <v>13</v>
      </c>
      <c r="G5" s="21">
        <v>175742532</v>
      </c>
      <c r="H5" s="21">
        <f t="shared" ref="H5:H8" si="0">G5-SUM(I5:K5)</f>
        <v>0</v>
      </c>
      <c r="I5" s="88">
        <f>IF(ISERROR(VLOOKUP(C5,'Pos Tit Sura'!B:D,3,FALSE))=TRUE,"",VLOOKUP(C5,'Pos Tit Sura'!B:D,3,FALSE))</f>
        <v>175742532</v>
      </c>
      <c r="J5" s="88" t="str">
        <f>IF(ISERROR(VLOOKUP(C5,'Pos Tit ACG'!B:D,3,FALSE))=TRUE,"",VLOOKUP(C5,'Pos Tit ACG'!B:D,3,FALSE))</f>
        <v/>
      </c>
      <c r="K5" s="88"/>
      <c r="L5" s="22">
        <v>107.0984</v>
      </c>
      <c r="M5" s="23">
        <f t="shared" ref="M5:M8" si="1">G5*L5/100</f>
        <v>188217439.89148799</v>
      </c>
      <c r="N5" s="26">
        <f>VLOOKUP(A5,'Precios para Valuar'!C:AH,6,FALSE)</f>
        <v>6.7053761617800189E-3</v>
      </c>
      <c r="O5" s="26">
        <f>N5+Badlar</f>
        <v>0.23808037616178002</v>
      </c>
      <c r="P5" s="27">
        <f>VLOOKUP(A5,'Precios para Valuar'!C:AK,9,FALSE)</f>
        <v>1.1634267833998655</v>
      </c>
      <c r="Q5" s="12">
        <f ca="1">M5/$M$88</f>
        <v>6.26244083197217E-2</v>
      </c>
      <c r="R5" s="23"/>
      <c r="S5" s="77" t="str">
        <f>VLOOKUP(A5,'Precios para Valuar'!$C:$AB,8,FALSE)</f>
        <v>IAMC</v>
      </c>
    </row>
    <row r="6" spans="1:19" x14ac:dyDescent="0.25">
      <c r="A6" s="5" t="s">
        <v>18</v>
      </c>
      <c r="B6" s="115" t="str">
        <f>VLOOKUP(A6,'Identidad de Codigos'!A:C,2,FALSE)</f>
        <v>ARARGE3201B9</v>
      </c>
      <c r="C6" s="81">
        <f>VLOOKUP(A6,'Identidad de Codigos'!A:C,3,FALSE)</f>
        <v>5476</v>
      </c>
      <c r="D6" s="20" t="s">
        <v>19</v>
      </c>
      <c r="E6" s="19">
        <v>43891</v>
      </c>
      <c r="F6" s="20" t="s">
        <v>13</v>
      </c>
      <c r="G6" s="21">
        <v>120000000</v>
      </c>
      <c r="H6" s="21">
        <f t="shared" si="0"/>
        <v>0</v>
      </c>
      <c r="I6" s="88">
        <f>IF(ISERROR(VLOOKUP(C6,'Pos Tit Sura'!B:D,3,FALSE))=TRUE,"",VLOOKUP(C6,'Pos Tit Sura'!B:D,3,FALSE))</f>
        <v>120000000</v>
      </c>
      <c r="J6" s="88" t="str">
        <f>IF(ISERROR(VLOOKUP(C6,'Pos Tit ACG'!B:D,3,FALSE))=TRUE,"",VLOOKUP(C6,'Pos Tit ACG'!B:D,3,FALSE))</f>
        <v/>
      </c>
      <c r="K6" s="88"/>
      <c r="L6" s="22">
        <v>105.45869999999999</v>
      </c>
      <c r="M6" s="23">
        <f t="shared" si="1"/>
        <v>126550440</v>
      </c>
      <c r="N6" s="26">
        <f>VLOOKUP(A6,'Precios para Valuar'!C:AH,6,FALSE)</f>
        <v>-1.1075915024222671E-2</v>
      </c>
      <c r="O6" s="26">
        <f>N6+Badlar</f>
        <v>0.22029908497577733</v>
      </c>
      <c r="P6" s="27">
        <f>VLOOKUP(A6,'Precios para Valuar'!C:AK,9,FALSE)</f>
        <v>1.7518142758376056</v>
      </c>
      <c r="Q6" s="12">
        <f ca="1">M6/$M$88</f>
        <v>4.2106334206699889E-2</v>
      </c>
      <c r="R6" s="23"/>
      <c r="S6" s="77" t="str">
        <f>VLOOKUP(A6,'Precios para Valuar'!$C:$AB,8,FALSE)</f>
        <v>IAMC</v>
      </c>
    </row>
    <row r="7" spans="1:19" x14ac:dyDescent="0.25">
      <c r="A7" s="5" t="s">
        <v>21</v>
      </c>
      <c r="B7" s="115" t="str">
        <f>VLOOKUP(A7,'Identidad de Codigos'!A:C,2,FALSE)</f>
        <v>ARARGE3203R1</v>
      </c>
      <c r="C7" s="81">
        <f>VLOOKUP(A7,'Identidad de Codigos'!A:C,3,FALSE)</f>
        <v>5480</v>
      </c>
      <c r="D7" s="20" t="s">
        <v>22</v>
      </c>
      <c r="E7" s="19">
        <v>44837</v>
      </c>
      <c r="F7" s="20" t="s">
        <v>13</v>
      </c>
      <c r="G7" s="21">
        <v>70000000</v>
      </c>
      <c r="H7" s="21">
        <f t="shared" si="0"/>
        <v>0</v>
      </c>
      <c r="I7" s="88">
        <f>IF(ISERROR(VLOOKUP(C7,'Pos Tit Sura'!B:D,3,FALSE))=TRUE,"",VLOOKUP(C7,'Pos Tit Sura'!B:D,3,FALSE))</f>
        <v>70000000</v>
      </c>
      <c r="J7" s="88" t="str">
        <f>IF(ISERROR(VLOOKUP(C7,'Pos Tit ACG'!B:D,3,FALSE))=TRUE,"",VLOOKUP(C7,'Pos Tit ACG'!B:D,3,FALSE))</f>
        <v/>
      </c>
      <c r="K7" s="88"/>
      <c r="L7" s="22">
        <v>110.66640000000001</v>
      </c>
      <c r="M7" s="23">
        <f t="shared" si="1"/>
        <v>77466480.000000015</v>
      </c>
      <c r="N7" s="26">
        <f>VLOOKUP(A7,'Precios para Valuar'!C:AH,6,FALSE)</f>
        <v>1.5770669646818614E-2</v>
      </c>
      <c r="O7" s="26">
        <f>N7+Badlar</f>
        <v>0.24714566964681861</v>
      </c>
      <c r="P7" s="27">
        <f>VLOOKUP(A7,'Precios para Valuar'!C:AK,9,FALSE)</f>
        <v>2.6836362692186282</v>
      </c>
      <c r="Q7" s="12">
        <f ca="1">M7/$M$88</f>
        <v>2.5774936038915657E-2</v>
      </c>
      <c r="R7" s="23"/>
      <c r="S7" s="77" t="str">
        <f>VLOOKUP(A7,'Precios para Valuar'!$C:$AB,8,FALSE)</f>
        <v>IAMC</v>
      </c>
    </row>
    <row r="8" spans="1:19" x14ac:dyDescent="0.25">
      <c r="A8" s="5" t="s">
        <v>23</v>
      </c>
      <c r="B8" s="115" t="str">
        <f>VLOOKUP(A8,'Identidad de Codigos'!A:C,2,FALSE)</f>
        <v>ARARGE03G621</v>
      </c>
      <c r="C8" s="81">
        <f>VLOOKUP(A8,'Identidad de Codigos'!A:C,3,FALSE)</f>
        <v>2571</v>
      </c>
      <c r="D8" s="18" t="s">
        <v>24</v>
      </c>
      <c r="E8" s="19">
        <v>44838</v>
      </c>
      <c r="F8" s="20" t="s">
        <v>13</v>
      </c>
      <c r="G8" s="21">
        <v>50000000</v>
      </c>
      <c r="H8" s="21">
        <f t="shared" si="0"/>
        <v>0</v>
      </c>
      <c r="I8" s="88">
        <f>IF(ISERROR(VLOOKUP(C8,'Pos Tit Sura'!B:D,3,FALSE))=TRUE,"",VLOOKUP(C8,'Pos Tit Sura'!B:D,3,FALSE))</f>
        <v>50000000</v>
      </c>
      <c r="J8" s="88" t="str">
        <f>IF(ISERROR(VLOOKUP(C8,'Pos Tit ACG'!B:D,3,FALSE))=TRUE,"",VLOOKUP(C8,'Pos Tit ACG'!B:D,3,FALSE))</f>
        <v/>
      </c>
      <c r="K8" s="88"/>
      <c r="L8" s="22">
        <v>179</v>
      </c>
      <c r="M8" s="23">
        <f t="shared" si="1"/>
        <v>89500000</v>
      </c>
      <c r="N8" s="26">
        <f>VLOOKUP(A8,'Precios para Valuar'!C:AH,6,FALSE)</f>
        <v>3.3219344191590561E-2</v>
      </c>
      <c r="O8" s="26">
        <f>N8+Badlar</f>
        <v>0.26459434419159056</v>
      </c>
      <c r="P8" s="27">
        <f>VLOOKUP(A8,'Precios para Valuar'!C:AK,9,FALSE)</f>
        <v>2.1229129916732536</v>
      </c>
      <c r="Q8" s="12">
        <f ca="1">M8/$M$88</f>
        <v>2.977877367711752E-2</v>
      </c>
      <c r="R8" s="23"/>
      <c r="S8" s="77" t="str">
        <f>VLOOKUP(A8,'Precios para Valuar'!$C:$AB,8,FALSE)</f>
        <v>IAMC</v>
      </c>
    </row>
    <row r="9" spans="1:19" x14ac:dyDescent="0.25">
      <c r="A9" s="31" t="s">
        <v>25</v>
      </c>
      <c r="B9" s="20"/>
      <c r="C9" s="20"/>
      <c r="D9" s="20"/>
      <c r="E9" s="19"/>
      <c r="F9" s="20"/>
      <c r="G9" s="21"/>
      <c r="H9" s="21"/>
      <c r="I9" s="21"/>
      <c r="J9" s="21"/>
      <c r="K9" s="21"/>
      <c r="L9" s="22"/>
      <c r="M9" s="23"/>
      <c r="N9" s="26"/>
      <c r="O9" s="26"/>
      <c r="P9" s="27"/>
      <c r="Q9" s="12"/>
      <c r="R9" s="30"/>
      <c r="S9" s="77"/>
    </row>
    <row r="10" spans="1:19" s="29" customFormat="1" x14ac:dyDescent="0.25">
      <c r="A10" s="5" t="s">
        <v>27</v>
      </c>
      <c r="B10" s="115" t="str">
        <f>VLOOKUP(A10,'Identidad de Codigos'!A:C,2,FALSE)</f>
        <v>ARARGE3204M0</v>
      </c>
      <c r="C10" s="81">
        <f>VLOOKUP(A10,'Identidad de Codigos'!A:C,3,FALSE)</f>
        <v>5327</v>
      </c>
      <c r="D10" s="18" t="s">
        <v>28</v>
      </c>
      <c r="E10" s="19">
        <v>44003</v>
      </c>
      <c r="F10" s="20" t="s">
        <v>29</v>
      </c>
      <c r="G10" s="21">
        <v>170000000</v>
      </c>
      <c r="H10" s="21">
        <f>G10-SUM(I10:K10)</f>
        <v>0</v>
      </c>
      <c r="I10" s="88">
        <f>IF(ISERROR(VLOOKUP(C10,'Pos Tit Sura'!B:D,3,FALSE))=TRUE,"",VLOOKUP(C10,'Pos Tit Sura'!B:D,3,FALSE))</f>
        <v>170000000</v>
      </c>
      <c r="J10" s="88" t="str">
        <f>IF(ISERROR(VLOOKUP(C10,'Pos Tit ACG'!B:D,3,FALSE))=TRUE,"",VLOOKUP(C10,'Pos Tit ACG'!B:D,3,FALSE))</f>
        <v/>
      </c>
      <c r="K10" s="88"/>
      <c r="L10" s="22">
        <v>114.09</v>
      </c>
      <c r="M10" s="23">
        <f>G10*L10/100</f>
        <v>193953000</v>
      </c>
      <c r="N10" s="26">
        <f>VLOOKUP(A10,'Precios para Valuar'!C:AH,6,FALSE)</f>
        <v>0.25013655414551472</v>
      </c>
      <c r="O10" s="26">
        <f>+N10</f>
        <v>0.25013655414551472</v>
      </c>
      <c r="P10" s="27">
        <f>VLOOKUP(A10,'Precios para Valuar'!C:AK,9,FALSE)</f>
        <v>1.9256545287295497</v>
      </c>
      <c r="Q10" s="12">
        <f ca="1">M10/$M$88</f>
        <v>6.4532765262547198E-2</v>
      </c>
      <c r="R10" s="23"/>
      <c r="S10" s="77" t="str">
        <f>VLOOKUP(A10,'Precios para Valuar'!$C:$AB,8,FALSE)</f>
        <v>IAMC</v>
      </c>
    </row>
    <row r="11" spans="1:19" x14ac:dyDescent="0.25">
      <c r="A11" s="31" t="s">
        <v>31</v>
      </c>
      <c r="B11" s="18"/>
      <c r="C11" s="18"/>
      <c r="D11" s="18"/>
      <c r="E11" s="19"/>
      <c r="F11" s="20"/>
      <c r="G11" s="21"/>
      <c r="H11" s="21"/>
      <c r="I11" s="21"/>
      <c r="J11" s="21"/>
      <c r="K11" s="21"/>
      <c r="L11" s="22"/>
      <c r="M11" s="23"/>
      <c r="N11" s="24"/>
      <c r="O11" s="24"/>
      <c r="P11" s="25"/>
      <c r="Q11" s="12"/>
      <c r="R11" s="23"/>
      <c r="S11" s="77"/>
    </row>
    <row r="12" spans="1:19" s="29" customFormat="1" x14ac:dyDescent="0.25">
      <c r="A12" s="5" t="s">
        <v>30</v>
      </c>
      <c r="B12" s="115" t="str">
        <f>VLOOKUP(A12,'Identidad de Codigos'!A:C,2,FALSE)</f>
        <v>ARARGE320283</v>
      </c>
      <c r="C12" s="81">
        <f>VLOOKUP(A12,'Identidad de Codigos'!A:C,3,FALSE)</f>
        <v>5315</v>
      </c>
      <c r="D12" s="18" t="s">
        <v>17</v>
      </c>
      <c r="E12" s="19">
        <v>44399</v>
      </c>
      <c r="F12" s="20" t="s">
        <v>34</v>
      </c>
      <c r="G12" s="21">
        <v>261600000</v>
      </c>
      <c r="H12" s="21">
        <f t="shared" ref="H12" si="2">G12-SUM(I12:K12)</f>
        <v>0</v>
      </c>
      <c r="I12" s="88">
        <f>IF(ISERROR(VLOOKUP(C12,'Pos Tit Sura'!B:D,3,FALSE))=TRUE,"",VLOOKUP(C12,'Pos Tit Sura'!B:D,3,FALSE))</f>
        <v>261600000</v>
      </c>
      <c r="J12" s="88" t="str">
        <f>IF(ISERROR(VLOOKUP(C12,'Pos Tit ACG'!B:D,3,FALSE))=TRUE,"",VLOOKUP(C12,'Pos Tit ACG'!B:D,3,FALSE))</f>
        <v/>
      </c>
      <c r="K12" s="88"/>
      <c r="L12" s="22">
        <v>135.9</v>
      </c>
      <c r="M12" s="23">
        <f>G12*L12/100</f>
        <v>355514400</v>
      </c>
      <c r="N12" s="26">
        <f>VLOOKUP(A12,'Precios para Valuar'!C:AH,6,FALSE)</f>
        <v>3.6236709541986656E-2</v>
      </c>
      <c r="O12" s="26">
        <f>+N12+CER</f>
        <v>0.22223670954198665</v>
      </c>
      <c r="P12" s="27">
        <f>VLOOKUP(A12,'Precios para Valuar'!C:AK,9,FALSE)</f>
        <v>3.599690139886274</v>
      </c>
      <c r="Q12" s="12">
        <f ca="1">M12/$M$88</f>
        <v>0.11828807660956681</v>
      </c>
      <c r="R12" s="23"/>
      <c r="S12" s="77" t="str">
        <f>VLOOKUP(A12,'Precios para Valuar'!$C:$AB,8,FALSE)</f>
        <v>IAMC</v>
      </c>
    </row>
    <row r="13" spans="1:19" s="29" customFormat="1" x14ac:dyDescent="0.25">
      <c r="A13" s="31" t="s">
        <v>35</v>
      </c>
      <c r="B13" s="18"/>
      <c r="C13" s="18"/>
      <c r="D13" s="18"/>
      <c r="E13" s="19"/>
      <c r="F13" s="20"/>
      <c r="G13" s="21"/>
      <c r="H13" s="21"/>
      <c r="I13" s="21"/>
      <c r="J13" s="21"/>
      <c r="K13" s="21"/>
      <c r="L13" s="22"/>
      <c r="M13" s="23"/>
      <c r="N13" s="12"/>
      <c r="O13" s="12"/>
      <c r="P13" s="27"/>
      <c r="Q13" s="12"/>
      <c r="R13" s="28"/>
      <c r="S13" s="77"/>
    </row>
    <row r="14" spans="1:19" s="29" customFormat="1" x14ac:dyDescent="0.25">
      <c r="A14" s="5" t="s">
        <v>36</v>
      </c>
      <c r="B14" s="115" t="str">
        <f>VLOOKUP(A14,'Identidad de Codigos'!A:C,2,FALSE)</f>
        <v>ARARGE320093</v>
      </c>
      <c r="C14" s="81">
        <f>VLOOKUP(A14,'Identidad de Codigos'!A:C,3,FALSE)</f>
        <v>5462</v>
      </c>
      <c r="D14" s="18" t="s">
        <v>37</v>
      </c>
      <c r="E14" s="19">
        <v>43174</v>
      </c>
      <c r="F14" s="20" t="s">
        <v>38</v>
      </c>
      <c r="G14" s="21">
        <v>1766398</v>
      </c>
      <c r="H14" s="21">
        <f t="shared" ref="H14" si="3">G14-SUM(I14:K14)</f>
        <v>0</v>
      </c>
      <c r="I14" s="88">
        <f>IF(ISERROR(VLOOKUP(C14,'Pos Tit Sura'!B:D,3,FALSE))=TRUE,"",VLOOKUP(C14,'Pos Tit Sura'!B:D,3,FALSE))</f>
        <v>1766398</v>
      </c>
      <c r="J14" s="88" t="str">
        <f>IF(ISERROR(VLOOKUP(C14,'Pos Tit ACG'!B:D,3,FALSE))=TRUE,"",VLOOKUP(C14,'Pos Tit ACG'!B:D,3,FALSE))</f>
        <v/>
      </c>
      <c r="K14" s="88"/>
      <c r="L14" s="116">
        <v>2032</v>
      </c>
      <c r="M14" s="23">
        <f>G14*L14/100</f>
        <v>35893207.359999999</v>
      </c>
      <c r="N14" s="26">
        <f>VLOOKUP(A14,'Precios para Valuar'!C:AH,6,FALSE)</f>
        <v>1.9151146422766718E-2</v>
      </c>
      <c r="O14" s="26">
        <f>+N14+Dev</f>
        <v>0.1291511464227667</v>
      </c>
      <c r="P14" s="27">
        <f>VLOOKUP(A14,'Precios para Valuar'!C:AK,9,FALSE)</f>
        <v>0.45734704072527138</v>
      </c>
      <c r="Q14" s="12">
        <f ca="1">M14/$M$88</f>
        <v>1.1942521771165239E-2</v>
      </c>
      <c r="R14" s="23"/>
      <c r="S14" s="77" t="str">
        <f>VLOOKUP(A14,'Precios para Valuar'!$C:$AB,8,FALSE)</f>
        <v>IAMC</v>
      </c>
    </row>
    <row r="15" spans="1:19" s="29" customFormat="1" x14ac:dyDescent="0.25">
      <c r="A15" s="5" t="s">
        <v>39</v>
      </c>
      <c r="B15" s="115" t="str">
        <f>VLOOKUP(A15,'Identidad de Codigos'!A:C,2,FALSE)</f>
        <v>US040114HK99</v>
      </c>
      <c r="C15" s="81">
        <f>VLOOKUP(A15,'Identidad de Codigos'!A:C,3,FALSE)</f>
        <v>92583</v>
      </c>
      <c r="D15" s="18" t="s">
        <v>37</v>
      </c>
      <c r="E15" s="19">
        <v>43174</v>
      </c>
      <c r="F15" s="20" t="s">
        <v>38</v>
      </c>
      <c r="G15" s="21">
        <v>3000000</v>
      </c>
      <c r="H15" s="21">
        <f t="shared" ref="H15" si="4">G15-SUM(I15:K15)</f>
        <v>0</v>
      </c>
      <c r="I15" s="88">
        <f>IF(ISERROR(VLOOKUP(C15,'Pos Tit Sura'!B:D,3,FALSE))=TRUE,"",VLOOKUP(C15,'Pos Tit Sura'!B:D,3,FALSE))</f>
        <v>3000000</v>
      </c>
      <c r="J15" s="88" t="str">
        <f>IF(ISERROR(VLOOKUP(C15,'Pos Tit ACG'!B:D,3,FALSE))=TRUE,"",VLOOKUP(C15,'Pos Tit ACG'!B:D,3,FALSE))</f>
        <v/>
      </c>
      <c r="K15" s="88"/>
      <c r="L15" s="116">
        <v>2055</v>
      </c>
      <c r="M15" s="23">
        <f>G15*L15/100</f>
        <v>61650000</v>
      </c>
      <c r="N15" s="26">
        <f>VLOOKUP(A15,'Precios para Valuar'!C:AH,6,FALSE)</f>
        <v>4.1412282847947512E-2</v>
      </c>
      <c r="O15" s="26">
        <f>+N15+Dev</f>
        <v>0.1514122828479475</v>
      </c>
      <c r="P15" s="27">
        <f>VLOOKUP(A15,'Precios para Valuar'!C:AK,9,FALSE)</f>
        <v>3.7975486973594519</v>
      </c>
      <c r="Q15" s="12">
        <f ca="1">M15/$M$88</f>
        <v>2.0512417845746315E-2</v>
      </c>
      <c r="R15" s="23"/>
      <c r="S15" s="77" t="str">
        <f>VLOOKUP(A15,'Precios para Valuar'!$C:$AB,8,FALSE)</f>
        <v>IAMC</v>
      </c>
    </row>
    <row r="16" spans="1:19" s="29" customFormat="1" x14ac:dyDescent="0.25">
      <c r="A16" s="32" t="s">
        <v>99</v>
      </c>
      <c r="B16" s="32"/>
      <c r="C16" s="32"/>
      <c r="D16" s="32"/>
      <c r="E16" s="33"/>
      <c r="F16" s="32"/>
      <c r="G16" s="34"/>
      <c r="H16" s="34"/>
      <c r="I16" s="34"/>
      <c r="J16" s="34"/>
      <c r="K16" s="34"/>
      <c r="L16" s="35"/>
      <c r="M16" s="36"/>
      <c r="N16" s="37"/>
      <c r="O16" s="37"/>
      <c r="P16" s="38"/>
      <c r="Q16" s="39"/>
      <c r="R16" s="28"/>
      <c r="S16" s="77"/>
    </row>
    <row r="17" spans="1:19" x14ac:dyDescent="0.25">
      <c r="A17" s="13" t="s">
        <v>101</v>
      </c>
      <c r="B17" s="28"/>
      <c r="C17" s="28"/>
      <c r="D17" s="28"/>
      <c r="E17" s="40"/>
      <c r="F17" s="28"/>
      <c r="G17" s="21"/>
      <c r="H17" s="21"/>
      <c r="I17" s="21"/>
      <c r="J17" s="21"/>
      <c r="K17" s="21"/>
      <c r="L17" s="22"/>
      <c r="M17" s="41"/>
      <c r="N17" s="42"/>
      <c r="O17" s="42"/>
      <c r="P17" s="43"/>
      <c r="Q17" s="44"/>
      <c r="R17" s="28"/>
      <c r="S17" s="77"/>
    </row>
    <row r="18" spans="1:19" s="29" customFormat="1" x14ac:dyDescent="0.25">
      <c r="A18" s="45" t="s">
        <v>189</v>
      </c>
      <c r="B18" s="18"/>
      <c r="C18" s="81">
        <f>VLOOKUP(A18,'Identidad de Codigos'!A:C,3,FALSE)</f>
        <v>46824</v>
      </c>
      <c r="D18" s="18" t="s">
        <v>102</v>
      </c>
      <c r="E18" s="40">
        <v>43208</v>
      </c>
      <c r="F18" s="20" t="s">
        <v>82</v>
      </c>
      <c r="G18" s="21">
        <v>150000000</v>
      </c>
      <c r="H18" s="21"/>
      <c r="I18" s="88">
        <f>IF(ISERROR(VLOOKUP(C18,'Pos Tit Sura'!B:D,3,FALSE))=TRUE,"",VLOOKUP(C18,'Pos Tit Sura'!B:D,3,FALSE))</f>
        <v>150000000</v>
      </c>
      <c r="J18" s="88" t="str">
        <f>IF(ISERROR(VLOOKUP(C18,'Pos Tit ACG'!B:D,3,FALSE))=TRUE,"",VLOOKUP(C18,'Pos Tit ACG'!B:D,3,FALSE))</f>
        <v/>
      </c>
      <c r="K18" s="88"/>
      <c r="L18" s="22">
        <v>96.63000000000001</v>
      </c>
      <c r="M18" s="23">
        <v>61845419.999999993</v>
      </c>
      <c r="N18" s="26">
        <f>VLOOKUP(A18,'Precios para Valuar'!C:AH,6,FALSE)</f>
        <v>0.2624997670104452</v>
      </c>
      <c r="O18" s="26">
        <f>+N18</f>
        <v>0.2624997670104452</v>
      </c>
      <c r="P18" s="27">
        <f>VLOOKUP(A18,'Precios para Valuar'!C:AK,9,FALSE)</f>
        <v>0.23870884643989423</v>
      </c>
      <c r="Q18" s="12">
        <f ca="1">M18/$M$88</f>
        <v>2.0577438716718181E-2</v>
      </c>
      <c r="R18" s="23"/>
      <c r="S18" s="77" t="str">
        <f>VLOOKUP(A18,'Precios para Valuar'!$C:$AB,8,FALSE)</f>
        <v>MAE</v>
      </c>
    </row>
    <row r="19" spans="1:19" s="29" customFormat="1" x14ac:dyDescent="0.25">
      <c r="A19" s="45" t="s">
        <v>190</v>
      </c>
      <c r="B19" s="18"/>
      <c r="C19" s="81">
        <f>VLOOKUP(A19,'Identidad de Codigos'!A:C,3,FALSE)</f>
        <v>46825</v>
      </c>
      <c r="D19" s="18" t="s">
        <v>102</v>
      </c>
      <c r="E19" s="76">
        <v>43236</v>
      </c>
      <c r="F19" s="20" t="s">
        <v>82</v>
      </c>
      <c r="G19" s="21">
        <v>579600000</v>
      </c>
      <c r="H19" s="21"/>
      <c r="I19" s="88">
        <f>IF(ISERROR(VLOOKUP(C19,'Pos Tit Sura'!B:D,3,FALSE))=TRUE,"",VLOOKUP(C19,'Pos Tit Sura'!B:D,3,FALSE))</f>
        <v>579600000</v>
      </c>
      <c r="J19" s="88"/>
      <c r="K19" s="88"/>
      <c r="L19" s="22">
        <v>94.808122999999995</v>
      </c>
      <c r="M19" s="23">
        <v>61845419.999999993</v>
      </c>
      <c r="N19" s="26">
        <f>VLOOKUP(A19,'Precios para Valuar'!C:AH,6,FALSE)</f>
        <v>0.25600115515775279</v>
      </c>
      <c r="O19" s="26">
        <f t="shared" ref="O19:O21" si="5">+N19</f>
        <v>0.25600115515775279</v>
      </c>
      <c r="P19" s="27">
        <f>VLOOKUP(A19,'Precios para Valuar'!C:AK,9,FALSE)</f>
        <v>0.30102057647656788</v>
      </c>
      <c r="Q19" s="12">
        <f ca="1">M19/$M$88</f>
        <v>2.0577438716718181E-2</v>
      </c>
      <c r="R19" s="23"/>
      <c r="S19" s="77" t="str">
        <f>VLOOKUP(A19,'Precios para Valuar'!$C:$AB,8,FALSE)</f>
        <v>MAE</v>
      </c>
    </row>
    <row r="20" spans="1:19" s="29" customFormat="1" x14ac:dyDescent="0.25">
      <c r="A20" s="45" t="s">
        <v>191</v>
      </c>
      <c r="B20" s="18"/>
      <c r="C20" s="81">
        <f>VLOOKUP(A20,'Identidad de Codigos'!A:C,3,FALSE)</f>
        <v>46827</v>
      </c>
      <c r="D20" s="18" t="s">
        <v>102</v>
      </c>
      <c r="E20" s="76">
        <v>43272</v>
      </c>
      <c r="F20" s="20" t="s">
        <v>82</v>
      </c>
      <c r="G20" s="21">
        <v>220000000</v>
      </c>
      <c r="H20" s="21"/>
      <c r="I20" s="88">
        <f>IF(ISERROR(VLOOKUP(C20,'Pos Tit Sura'!B:D,3,FALSE))=TRUE,"",VLOOKUP(C20,'Pos Tit Sura'!B:D,3,FALSE))</f>
        <v>220000000</v>
      </c>
      <c r="J20" s="88" t="str">
        <f>IF(ISERROR(VLOOKUP(C20,'Pos Tit ACG'!B:D,3,FALSE))=TRUE,"",VLOOKUP(C20,'Pos Tit ACG'!B:D,3,FALSE))</f>
        <v/>
      </c>
      <c r="K20" s="88"/>
      <c r="L20" s="22">
        <v>92.624600000000001</v>
      </c>
      <c r="M20" s="23">
        <v>61731840</v>
      </c>
      <c r="N20" s="26">
        <f>VLOOKUP(A20,'Precios para Valuar'!C:AH,6,FALSE)</f>
        <v>0.28729921188653629</v>
      </c>
      <c r="O20" s="26">
        <f t="shared" si="5"/>
        <v>0.28729921188653629</v>
      </c>
      <c r="P20" s="27">
        <f>VLOOKUP(A20,'Precios para Valuar'!C:AK,9,FALSE)</f>
        <v>0.37031975500746372</v>
      </c>
      <c r="Q20" s="12">
        <f ca="1">M20/$M$88</f>
        <v>2.0539647955665145E-2</v>
      </c>
      <c r="R20" s="23"/>
      <c r="S20" s="77" t="str">
        <f>VLOOKUP(A20,'Precios para Valuar'!$C:$AB,8,FALSE)</f>
        <v>devengado</v>
      </c>
    </row>
    <row r="21" spans="1:19" s="29" customFormat="1" x14ac:dyDescent="0.25">
      <c r="A21" s="45" t="s">
        <v>192</v>
      </c>
      <c r="B21" s="18"/>
      <c r="C21" s="81">
        <f>VLOOKUP(A21,'Identidad de Codigos'!A:C,3,FALSE)</f>
        <v>46828</v>
      </c>
      <c r="D21" s="18" t="s">
        <v>102</v>
      </c>
      <c r="E21" s="76">
        <v>43299</v>
      </c>
      <c r="F21" s="20" t="s">
        <v>82</v>
      </c>
      <c r="G21" s="21">
        <v>210000000</v>
      </c>
      <c r="H21" s="21"/>
      <c r="I21" s="88">
        <f>IF(ISERROR(VLOOKUP(C21,'Pos Tit Sura'!B:D,3,FALSE))=TRUE,"",VLOOKUP(C21,'Pos Tit Sura'!B:D,3,FALSE))</f>
        <v>210000000</v>
      </c>
      <c r="J21" s="88" t="str">
        <f>IF(ISERROR(VLOOKUP(C21,'Pos Tit ACG'!B:D,3,FALSE))=TRUE,"",VLOOKUP(C21,'Pos Tit ACG'!B:D,3,FALSE))</f>
        <v/>
      </c>
      <c r="K21" s="88"/>
      <c r="L21" s="22">
        <v>91.116960000000006</v>
      </c>
      <c r="M21" s="23">
        <v>92930488</v>
      </c>
      <c r="N21" s="26">
        <f>VLOOKUP(A21,'Precios para Valuar'!C:AH,6,FALSE)</f>
        <v>0.28700017210349488</v>
      </c>
      <c r="O21" s="26">
        <f t="shared" si="5"/>
        <v>0.28700017210349488</v>
      </c>
      <c r="P21" s="27">
        <f>VLOOKUP(A21,'Precios para Valuar'!C:AK,9,FALSE)</f>
        <v>0.42788256244503875</v>
      </c>
      <c r="Q21" s="12">
        <f ca="1">M21/$M$88</f>
        <v>3.0920178434146208E-2</v>
      </c>
      <c r="R21" s="23"/>
      <c r="S21" s="77" t="str">
        <f>VLOOKUP(A21,'Precios para Valuar'!$C:$AB,8,FALSE)</f>
        <v>devengado</v>
      </c>
    </row>
    <row r="22" spans="1:19" s="29" customFormat="1" x14ac:dyDescent="0.25">
      <c r="A22" s="32" t="s">
        <v>41</v>
      </c>
      <c r="B22" s="32"/>
      <c r="C22" s="32"/>
      <c r="D22" s="32"/>
      <c r="E22" s="33"/>
      <c r="F22" s="32"/>
      <c r="G22" s="34"/>
      <c r="H22" s="34"/>
      <c r="I22" s="34"/>
      <c r="J22" s="34"/>
      <c r="K22" s="34"/>
      <c r="L22" s="35"/>
      <c r="M22" s="36"/>
      <c r="N22" s="37"/>
      <c r="O22" s="37"/>
      <c r="P22" s="38"/>
      <c r="Q22" s="39"/>
      <c r="R22" s="28"/>
      <c r="S22" s="77"/>
    </row>
    <row r="23" spans="1:19" x14ac:dyDescent="0.25">
      <c r="A23" s="13" t="s">
        <v>11</v>
      </c>
      <c r="B23" s="28"/>
      <c r="C23" s="28"/>
      <c r="D23" s="28"/>
      <c r="E23" s="40"/>
      <c r="F23" s="28"/>
      <c r="G23" s="21"/>
      <c r="H23" s="21"/>
      <c r="I23" s="21"/>
      <c r="J23" s="21"/>
      <c r="K23" s="21"/>
      <c r="L23" s="22"/>
      <c r="M23" s="41"/>
      <c r="N23" s="42"/>
      <c r="O23" s="42"/>
      <c r="P23" s="43"/>
      <c r="Q23" s="44"/>
      <c r="R23" s="28"/>
      <c r="S23" s="77"/>
    </row>
    <row r="24" spans="1:19" s="29" customFormat="1" x14ac:dyDescent="0.25">
      <c r="A24" s="45" t="s">
        <v>43</v>
      </c>
      <c r="B24" s="18" t="s">
        <v>164</v>
      </c>
      <c r="C24" s="81">
        <f>VLOOKUP(A24,'Identidad de Codigos'!A:C,3,FALSE)</f>
        <v>52259</v>
      </c>
      <c r="D24" s="18" t="s">
        <v>44</v>
      </c>
      <c r="E24" s="40">
        <v>43881</v>
      </c>
      <c r="F24" s="20" t="s">
        <v>82</v>
      </c>
      <c r="G24" s="21">
        <v>60000000</v>
      </c>
      <c r="H24" s="21">
        <v>60000000</v>
      </c>
      <c r="I24" s="88">
        <f>IF(ISERROR(VLOOKUP(C24,'Pos Tit Sura'!B:D,3,FALSE))=TRUE,"",VLOOKUP(C24,'Pos Tit Sura'!B:D,3,FALSE))</f>
        <v>51500000</v>
      </c>
      <c r="J24" s="88" t="str">
        <f>IF(ISERROR(VLOOKUP(C24,'Pos Tit ACG'!B:D,3,FALSE))=TRUE,"",VLOOKUP(C24,'Pos Tit ACG'!B:D,3,FALSE))</f>
        <v/>
      </c>
      <c r="K24" s="88"/>
      <c r="L24" s="22">
        <v>100.01180000000001</v>
      </c>
      <c r="M24" s="23">
        <f t="shared" ref="M24:M42" si="6">+G24*L24/100</f>
        <v>60007080.000000007</v>
      </c>
      <c r="N24" s="26">
        <f>VLOOKUP(A24,'Precios para Valuar'!C:AH,6,FALSE)</f>
        <v>4.7191081563578707E-2</v>
      </c>
      <c r="O24" s="26">
        <f t="shared" ref="O24:O43" si="7">+N24+Badlar</f>
        <v>0.2785660815635787</v>
      </c>
      <c r="P24" s="27">
        <f>VLOOKUP(A24,'Precios para Valuar'!C:AK,9,FALSE)</f>
        <v>1.6726649160043539</v>
      </c>
      <c r="Q24" s="12">
        <f t="shared" ref="Q24:Q45" ca="1" si="8">M24/$M$88</f>
        <v>1.9965779378152911E-2</v>
      </c>
      <c r="R24" s="23"/>
      <c r="S24" s="77" t="str">
        <f>VLOOKUP(A24,'Precios para Valuar'!$C:$AB,8,FALSE)</f>
        <v>devengado</v>
      </c>
    </row>
    <row r="25" spans="1:19" s="29" customFormat="1" x14ac:dyDescent="0.25">
      <c r="A25" s="45" t="s">
        <v>48</v>
      </c>
      <c r="B25" s="18" t="s">
        <v>175</v>
      </c>
      <c r="C25" s="81">
        <f>VLOOKUP(A25,'Identidad de Codigos'!A:C,3,FALSE)</f>
        <v>52435</v>
      </c>
      <c r="D25" s="18" t="s">
        <v>15</v>
      </c>
      <c r="E25" s="76">
        <v>43959</v>
      </c>
      <c r="F25" s="20" t="s">
        <v>82</v>
      </c>
      <c r="G25" s="21">
        <v>3700000</v>
      </c>
      <c r="H25" s="21">
        <v>3700000</v>
      </c>
      <c r="I25" s="88">
        <f>IF(ISERROR(VLOOKUP(C25,'Pos Tit Sura'!B:D,3,FALSE))=TRUE,"",VLOOKUP(C25,'Pos Tit Sura'!B:D,3,FALSE))</f>
        <v>3276500</v>
      </c>
      <c r="J25" s="88" t="str">
        <f>IF(ISERROR(VLOOKUP(C25,'Pos Tit ACG'!B:D,3,FALSE))=TRUE,"",VLOOKUP(C25,'Pos Tit ACG'!B:D,3,FALSE))</f>
        <v/>
      </c>
      <c r="K25" s="88"/>
      <c r="L25" s="116">
        <v>2188.6262999999999</v>
      </c>
      <c r="M25" s="23">
        <f t="shared" si="6"/>
        <v>80979173.099999994</v>
      </c>
      <c r="N25" s="26">
        <f>VLOOKUP(A25,'Precios para Valuar'!C:AH,6,FALSE)</f>
        <v>5.2794241662892816E-2</v>
      </c>
      <c r="O25" s="26">
        <f t="shared" si="7"/>
        <v>0.28416924166289281</v>
      </c>
      <c r="P25" s="27">
        <f>VLOOKUP(A25,'Precios para Valuar'!C:AK,9,FALSE)</f>
        <v>2.4533580892436708</v>
      </c>
      <c r="Q25" s="12">
        <f t="shared" ca="1" si="8"/>
        <v>2.6943692383296348E-2</v>
      </c>
      <c r="R25" s="23"/>
      <c r="S25" s="77" t="str">
        <f>VLOOKUP(A25,'Precios para Valuar'!$C:$AB,8,FALSE)</f>
        <v>devengado</v>
      </c>
    </row>
    <row r="26" spans="1:19" s="29" customFormat="1" x14ac:dyDescent="0.25">
      <c r="A26" s="45" t="s">
        <v>292</v>
      </c>
      <c r="B26" s="18" t="s">
        <v>293</v>
      </c>
      <c r="C26" s="81" t="e">
        <f>VLOOKUP(A26,'Identidad de Codigos'!A:C,3,FALSE)</f>
        <v>#N/A</v>
      </c>
      <c r="D26" s="18" t="s">
        <v>302</v>
      </c>
      <c r="E26" s="76">
        <v>43875</v>
      </c>
      <c r="F26" s="20" t="s">
        <v>82</v>
      </c>
      <c r="G26" s="21">
        <v>19000000</v>
      </c>
      <c r="H26" s="21">
        <v>19000000</v>
      </c>
      <c r="I26" s="88" t="str">
        <f>IF(ISERROR(VLOOKUP(C26,'Pos Tit Sura'!B:D,3,FALSE))=TRUE,"",VLOOKUP(C26,'Pos Tit Sura'!B:D,3,FALSE))</f>
        <v/>
      </c>
      <c r="J26" s="88"/>
      <c r="K26" s="88"/>
      <c r="L26" s="22">
        <v>100.91349999999998</v>
      </c>
      <c r="M26" s="23">
        <f t="shared" si="6"/>
        <v>19173564.999999996</v>
      </c>
      <c r="N26" s="26" t="e">
        <f>VLOOKUP(A26,'Precios para Valuar'!C:AH,6,FALSE)</f>
        <v>#N/A</v>
      </c>
      <c r="O26" s="26" t="e">
        <f t="shared" si="7"/>
        <v>#N/A</v>
      </c>
      <c r="P26" s="27" t="e">
        <f>VLOOKUP(A26,'Precios para Valuar'!C:AK,9,FALSE)</f>
        <v>#N/A</v>
      </c>
      <c r="Q26" s="12">
        <f t="shared" ca="1" si="8"/>
        <v>6.3795000303743209E-3</v>
      </c>
      <c r="R26" s="23"/>
      <c r="S26" s="77" t="e">
        <f>VLOOKUP(A26,'Precios para Valuar'!$C:$AB,8,FALSE)</f>
        <v>#N/A</v>
      </c>
    </row>
    <row r="27" spans="1:19" s="29" customFormat="1" x14ac:dyDescent="0.25">
      <c r="A27" s="45" t="s">
        <v>46</v>
      </c>
      <c r="B27" s="18" t="s">
        <v>166</v>
      </c>
      <c r="C27" s="81">
        <f>VLOOKUP(A27,'Identidad de Codigos'!A:C,3,FALSE)</f>
        <v>52261</v>
      </c>
      <c r="D27" s="18" t="s">
        <v>47</v>
      </c>
      <c r="E27" s="40">
        <v>43885</v>
      </c>
      <c r="F27" s="20" t="s">
        <v>82</v>
      </c>
      <c r="G27" s="21">
        <v>60000000</v>
      </c>
      <c r="H27" s="21">
        <v>60000000</v>
      </c>
      <c r="I27" s="88">
        <f>IF(ISERROR(VLOOKUP(C27,'Pos Tit Sura'!B:D,3,FALSE))=TRUE,"",VLOOKUP(C27,'Pos Tit Sura'!B:D,3,FALSE))</f>
        <v>50000000</v>
      </c>
      <c r="J27" s="88"/>
      <c r="K27" s="88"/>
      <c r="L27" s="22">
        <v>106.22709999999999</v>
      </c>
      <c r="M27" s="23">
        <f t="shared" si="6"/>
        <v>63736260</v>
      </c>
      <c r="N27" s="26">
        <f>VLOOKUP(A27,'Precios para Valuar'!C:AH,6,FALSE)</f>
        <v>2.7699999999999999E-2</v>
      </c>
      <c r="O27" s="26">
        <f t="shared" si="7"/>
        <v>0.259075</v>
      </c>
      <c r="P27" s="27">
        <f>VLOOKUP(A27,'Precios para Valuar'!C:AK,9,FALSE)</f>
        <v>1.6879064566035622</v>
      </c>
      <c r="Q27" s="12">
        <f t="shared" ca="1" si="8"/>
        <v>2.1206566051015847E-2</v>
      </c>
      <c r="R27" s="23"/>
      <c r="S27" s="77" t="str">
        <f>VLOOKUP(A27,'Precios para Valuar'!$C:$AB,8,FALSE)</f>
        <v>VT</v>
      </c>
    </row>
    <row r="28" spans="1:19" s="29" customFormat="1" x14ac:dyDescent="0.25">
      <c r="A28" s="45" t="s">
        <v>42</v>
      </c>
      <c r="B28" s="18" t="s">
        <v>168</v>
      </c>
      <c r="C28" s="81">
        <f>VLOOKUP(A28,'Identidad de Codigos'!A:C,3,FALSE)</f>
        <v>52320</v>
      </c>
      <c r="D28" s="18" t="s">
        <v>49</v>
      </c>
      <c r="E28" s="40">
        <v>43922</v>
      </c>
      <c r="F28" s="20" t="s">
        <v>82</v>
      </c>
      <c r="G28" s="21">
        <v>92000000</v>
      </c>
      <c r="H28" s="21">
        <v>92000000</v>
      </c>
      <c r="I28" s="88">
        <f>IF(ISERROR(VLOOKUP(C28,'Pos Tit Sura'!B:D,3,FALSE))=TRUE,"",VLOOKUP(C28,'Pos Tit Sura'!B:D,3,FALSE))</f>
        <v>80000000</v>
      </c>
      <c r="J28" s="88"/>
      <c r="K28" s="88"/>
      <c r="L28" s="22">
        <v>103.9447</v>
      </c>
      <c r="M28" s="23">
        <f t="shared" si="6"/>
        <v>95629124</v>
      </c>
      <c r="N28" s="26">
        <f>VLOOKUP(A28,'Precios para Valuar'!C:AH,6,FALSE)</f>
        <v>2.47E-2</v>
      </c>
      <c r="O28" s="26">
        <f t="shared" si="7"/>
        <v>0.256075</v>
      </c>
      <c r="P28" s="27">
        <f>VLOOKUP(A28,'Precios para Valuar'!C:AK,9,FALSE)</f>
        <v>1.6761347854811215</v>
      </c>
      <c r="Q28" s="12">
        <f t="shared" ca="1" si="8"/>
        <v>3.1818078665217957E-2</v>
      </c>
      <c r="R28" s="23"/>
      <c r="S28" s="77" t="str">
        <f>VLOOKUP(A28,'Precios para Valuar'!$C:$AB,8,FALSE)</f>
        <v>VT</v>
      </c>
    </row>
    <row r="29" spans="1:19" s="29" customFormat="1" x14ac:dyDescent="0.25">
      <c r="A29" s="45" t="s">
        <v>50</v>
      </c>
      <c r="B29" s="18" t="s">
        <v>139</v>
      </c>
      <c r="C29" s="81">
        <f>VLOOKUP(A29,'Identidad de Codigos'!A:C,3,FALSE)</f>
        <v>51630</v>
      </c>
      <c r="D29" s="18" t="s">
        <v>51</v>
      </c>
      <c r="E29" s="40">
        <v>43659</v>
      </c>
      <c r="F29" s="20" t="s">
        <v>82</v>
      </c>
      <c r="G29" s="21">
        <v>20888888</v>
      </c>
      <c r="H29" s="21">
        <v>20888888</v>
      </c>
      <c r="I29" s="88">
        <f>IF(ISERROR(VLOOKUP(C29,'Pos Tit Sura'!B:D,3,FALSE))=TRUE,"",VLOOKUP(C29,'Pos Tit Sura'!B:D,3,FALSE))</f>
        <v>15888888</v>
      </c>
      <c r="J29" s="88"/>
      <c r="K29" s="88"/>
      <c r="L29" s="22">
        <v>102.3511</v>
      </c>
      <c r="M29" s="23">
        <f t="shared" si="6"/>
        <v>21380006.645768002</v>
      </c>
      <c r="N29" s="26">
        <f>VLOOKUP(A29,'Precios para Valuar'!C:AH,6,FALSE)</f>
        <v>2.1401654455020847E-2</v>
      </c>
      <c r="O29" s="26">
        <f t="shared" si="7"/>
        <v>0.25277665445502084</v>
      </c>
      <c r="P29" s="27">
        <f>VLOOKUP(A29,'Precios para Valuar'!C:AK,9,FALSE)</f>
        <v>1.0037657909387865</v>
      </c>
      <c r="Q29" s="12">
        <f t="shared" ca="1" si="8"/>
        <v>7.113635520889317E-3</v>
      </c>
      <c r="R29" s="23"/>
      <c r="S29" s="77" t="str">
        <f>VLOOKUP(A29,'Precios para Valuar'!$C:$AB,8,FALSE)</f>
        <v>devengado</v>
      </c>
    </row>
    <row r="30" spans="1:19" s="29" customFormat="1" x14ac:dyDescent="0.25">
      <c r="A30" s="28" t="s">
        <v>52</v>
      </c>
      <c r="B30" s="18" t="s">
        <v>144</v>
      </c>
      <c r="C30" s="81">
        <f>VLOOKUP(A30,'Identidad de Codigos'!A:C,3,FALSE)</f>
        <v>51730</v>
      </c>
      <c r="D30" s="18" t="s">
        <v>53</v>
      </c>
      <c r="E30" s="76">
        <v>43685</v>
      </c>
      <c r="F30" s="20" t="s">
        <v>82</v>
      </c>
      <c r="G30" s="21">
        <v>14625000</v>
      </c>
      <c r="H30" s="21">
        <v>14625000</v>
      </c>
      <c r="I30" s="88">
        <f>IF(ISERROR(VLOOKUP(C30,'Pos Tit Sura'!B:D,3,FALSE))=TRUE,"",VLOOKUP(C30,'Pos Tit Sura'!B:D,3,FALSE))</f>
        <v>11546000</v>
      </c>
      <c r="J30" s="88"/>
      <c r="K30" s="88"/>
      <c r="L30" s="22">
        <v>100.34099999999999</v>
      </c>
      <c r="M30" s="23">
        <f t="shared" si="6"/>
        <v>14674871.25</v>
      </c>
      <c r="N30" s="26">
        <f>VLOOKUP(A30,'Precios para Valuar'!C:AH,6,FALSE)</f>
        <v>4.9959730964385218E-2</v>
      </c>
      <c r="O30" s="26">
        <f t="shared" si="7"/>
        <v>0.28133473096438522</v>
      </c>
      <c r="P30" s="27">
        <f>VLOOKUP(A30,'Precios para Valuar'!C:AK,9,FALSE)</f>
        <v>1.3868441519054815</v>
      </c>
      <c r="Q30" s="12">
        <f t="shared" ca="1" si="8"/>
        <v>4.8826778736825553E-3</v>
      </c>
      <c r="R30" s="23"/>
      <c r="S30" s="77" t="str">
        <f>VLOOKUP(A30,'Precios para Valuar'!$C:$AB,8,FALSE)</f>
        <v>devengado</v>
      </c>
    </row>
    <row r="31" spans="1:19" s="29" customFormat="1" x14ac:dyDescent="0.25">
      <c r="A31" s="28" t="s">
        <v>291</v>
      </c>
      <c r="B31" s="18" t="s">
        <v>294</v>
      </c>
      <c r="C31" s="81" t="e">
        <f>VLOOKUP(A31,'Identidad de Codigos'!A:C,3,FALSE)</f>
        <v>#N/A</v>
      </c>
      <c r="D31" s="18" t="s">
        <v>54</v>
      </c>
      <c r="E31" s="40">
        <v>43322</v>
      </c>
      <c r="F31" s="20" t="s">
        <v>82</v>
      </c>
      <c r="G31" s="21">
        <v>12000000</v>
      </c>
      <c r="H31" s="21">
        <v>12000000</v>
      </c>
      <c r="I31" s="88" t="str">
        <f>IF(ISERROR(VLOOKUP(C31,'Pos Tit Sura'!B:D,3,FALSE))=TRUE,"",VLOOKUP(C31,'Pos Tit Sura'!B:D,3,FALSE))</f>
        <v/>
      </c>
      <c r="J31" s="88"/>
      <c r="K31" s="88"/>
      <c r="L31" s="22">
        <v>66.853200000000001</v>
      </c>
      <c r="M31" s="23">
        <f t="shared" si="6"/>
        <v>8022384</v>
      </c>
      <c r="N31" s="26" t="e">
        <f>VLOOKUP(A31,'Precios para Valuar'!C:AH,6,FALSE)</f>
        <v>#N/A</v>
      </c>
      <c r="O31" s="26" t="e">
        <f t="shared" si="7"/>
        <v>#N/A</v>
      </c>
      <c r="P31" s="27" t="e">
        <f>VLOOKUP(A31,'Precios para Valuar'!C:AK,9,FALSE)</f>
        <v>#N/A</v>
      </c>
      <c r="Q31" s="12">
        <f t="shared" ca="1" si="8"/>
        <v>2.6692375138204333E-3</v>
      </c>
      <c r="R31" s="23"/>
      <c r="S31" s="77" t="e">
        <f>VLOOKUP(A31,'Precios para Valuar'!$C:$AB,8,FALSE)</f>
        <v>#N/A</v>
      </c>
    </row>
    <row r="32" spans="1:19" s="29" customFormat="1" x14ac:dyDescent="0.25">
      <c r="A32" s="87" t="s">
        <v>55</v>
      </c>
      <c r="B32" s="18" t="s">
        <v>160</v>
      </c>
      <c r="C32" s="81">
        <f>VLOOKUP(A32,'Identidad de Codigos'!A:C,3,FALSE)</f>
        <v>52167</v>
      </c>
      <c r="D32" s="18" t="s">
        <v>56</v>
      </c>
      <c r="E32" s="40">
        <v>43489</v>
      </c>
      <c r="F32" s="20" t="s">
        <v>82</v>
      </c>
      <c r="G32" s="21">
        <v>5285714</v>
      </c>
      <c r="H32" s="21">
        <v>5285714</v>
      </c>
      <c r="I32" s="88">
        <f>IF(ISERROR(VLOOKUP(C32,'Pos Tit Sura'!B:D,3,FALSE))=TRUE,"",VLOOKUP(C32,'Pos Tit Sura'!B:D,3,FALSE))</f>
        <v>5285714</v>
      </c>
      <c r="J32" s="88"/>
      <c r="K32" s="88"/>
      <c r="L32" s="22">
        <v>102.1126</v>
      </c>
      <c r="M32" s="23">
        <f t="shared" ref="M32" si="9">+G32*L32/100</f>
        <v>5397379.9939639997</v>
      </c>
      <c r="N32" s="26">
        <f>VLOOKUP(A32,'Precios para Valuar'!C:AH,6,FALSE)</f>
        <v>3.44E-2</v>
      </c>
      <c r="O32" s="26">
        <f t="shared" si="7"/>
        <v>0.26577499999999998</v>
      </c>
      <c r="P32" s="27">
        <f>VLOOKUP(A32,'Precios para Valuar'!C:AK,9,FALSE)</f>
        <v>1.0153528964309322</v>
      </c>
      <c r="Q32" s="12">
        <f t="shared" ca="1" si="8"/>
        <v>1.795836394297831E-3</v>
      </c>
      <c r="R32" s="23"/>
      <c r="S32" s="77" t="str">
        <f>VLOOKUP(A32,'Precios para Valuar'!$C:$AB,8,FALSE)</f>
        <v>VT</v>
      </c>
    </row>
    <row r="33" spans="1:19" s="29" customFormat="1" x14ac:dyDescent="0.25">
      <c r="A33" s="28" t="s">
        <v>57</v>
      </c>
      <c r="B33" s="18" t="s">
        <v>138</v>
      </c>
      <c r="C33" s="81">
        <f>VLOOKUP(A33,'Identidad de Codigos'!A:C,3,FALSE)</f>
        <v>51579</v>
      </c>
      <c r="D33" s="18" t="s">
        <v>58</v>
      </c>
      <c r="E33" s="40">
        <v>43630</v>
      </c>
      <c r="F33" s="20" t="s">
        <v>82</v>
      </c>
      <c r="G33" s="21">
        <v>15000000</v>
      </c>
      <c r="H33" s="21">
        <v>15000000</v>
      </c>
      <c r="I33" s="88">
        <f>IF(ISERROR(VLOOKUP(C33,'Pos Tit Sura'!B:D,3,FALSE))=TRUE,"",VLOOKUP(C33,'Pos Tit Sura'!B:D,3,FALSE))</f>
        <v>15000000</v>
      </c>
      <c r="J33" s="88"/>
      <c r="K33" s="88"/>
      <c r="L33" s="22">
        <v>105.00060000000001</v>
      </c>
      <c r="M33" s="23">
        <f t="shared" si="6"/>
        <v>15750090</v>
      </c>
      <c r="N33" s="26">
        <f>VLOOKUP(A33,'Precios para Valuar'!C:AH,6,FALSE)</f>
        <v>3.5000000000000003E-2</v>
      </c>
      <c r="O33" s="26">
        <f t="shared" si="7"/>
        <v>0.26637500000000003</v>
      </c>
      <c r="P33" s="27">
        <f>VLOOKUP(A33,'Precios para Valuar'!C:AK,9,FALSE)</f>
        <v>1.3183474004128175</v>
      </c>
      <c r="Q33" s="12">
        <f t="shared" ca="1" si="8"/>
        <v>5.2404286648517527E-3</v>
      </c>
      <c r="R33" s="23"/>
      <c r="S33" s="77" t="str">
        <f>VLOOKUP(A33,'Precios para Valuar'!$C:$AB,8,FALSE)</f>
        <v>VT</v>
      </c>
    </row>
    <row r="34" spans="1:19" s="29" customFormat="1" x14ac:dyDescent="0.25">
      <c r="A34" s="28" t="s">
        <v>295</v>
      </c>
      <c r="B34" s="18" t="s">
        <v>206</v>
      </c>
      <c r="C34" s="81" t="e">
        <f>VLOOKUP(A34,'Identidad de Codigos'!A:C,3,FALSE)</f>
        <v>#N/A</v>
      </c>
      <c r="D34" s="18" t="s">
        <v>303</v>
      </c>
      <c r="E34" s="40">
        <v>44109</v>
      </c>
      <c r="F34" s="20" t="s">
        <v>82</v>
      </c>
      <c r="G34" s="21">
        <v>10000000</v>
      </c>
      <c r="H34" s="21">
        <v>10000000</v>
      </c>
      <c r="I34" s="88" t="str">
        <f>IF(ISERROR(VLOOKUP(C34,'Pos Tit Sura'!B:D,3,FALSE))=TRUE,"",VLOOKUP(C34,'Pos Tit Sura'!B:D,3,FALSE))</f>
        <v/>
      </c>
      <c r="J34" s="88"/>
      <c r="K34" s="88"/>
      <c r="L34" s="22">
        <v>103.40009999999999</v>
      </c>
      <c r="M34" s="23">
        <f t="shared" si="6"/>
        <v>10340010</v>
      </c>
      <c r="N34" s="26" t="e">
        <f>VLOOKUP(A34,'Precios para Valuar'!C:AH,6,FALSE)</f>
        <v>#N/A</v>
      </c>
      <c r="O34" s="26" t="e">
        <f t="shared" si="7"/>
        <v>#N/A</v>
      </c>
      <c r="P34" s="27" t="e">
        <f>VLOOKUP(A34,'Precios para Valuar'!C:AK,9,FALSE)</f>
        <v>#N/A</v>
      </c>
      <c r="Q34" s="12">
        <f t="shared" ca="1" si="8"/>
        <v>3.4403666771970049E-3</v>
      </c>
      <c r="R34" s="23"/>
      <c r="S34" s="77" t="e">
        <f>VLOOKUP(A34,'Precios para Valuar'!$C:$AB,8,FALSE)</f>
        <v>#N/A</v>
      </c>
    </row>
    <row r="35" spans="1:19" s="29" customFormat="1" x14ac:dyDescent="0.25">
      <c r="A35" s="28" t="s">
        <v>296</v>
      </c>
      <c r="B35" s="18" t="s">
        <v>209</v>
      </c>
      <c r="C35" s="81" t="e">
        <f>VLOOKUP(A35,'Identidad de Codigos'!A:C,3,FALSE)</f>
        <v>#N/A</v>
      </c>
      <c r="D35" s="18" t="s">
        <v>304</v>
      </c>
      <c r="E35" s="40">
        <v>44172</v>
      </c>
      <c r="F35" s="20" t="s">
        <v>82</v>
      </c>
      <c r="G35" s="21">
        <v>50000000</v>
      </c>
      <c r="H35" s="21">
        <v>50000000</v>
      </c>
      <c r="I35" s="88" t="str">
        <f>IF(ISERROR(VLOOKUP(C35,'Pos Tit Sura'!B:D,3,FALSE))=TRUE,"",VLOOKUP(C35,'Pos Tit Sura'!B:D,3,FALSE))</f>
        <v/>
      </c>
      <c r="J35" s="88"/>
      <c r="K35" s="88"/>
      <c r="L35" s="22">
        <v>105.27509999999999</v>
      </c>
      <c r="M35" s="23">
        <f t="shared" si="6"/>
        <v>52637550</v>
      </c>
      <c r="N35" s="26" t="e">
        <f>VLOOKUP(A35,'Precios para Valuar'!C:AH,6,FALSE)</f>
        <v>#N/A</v>
      </c>
      <c r="O35" s="26" t="e">
        <f t="shared" si="7"/>
        <v>#N/A</v>
      </c>
      <c r="P35" s="27" t="e">
        <f>VLOOKUP(A35,'Precios para Valuar'!C:AK,9,FALSE)</f>
        <v>#N/A</v>
      </c>
      <c r="Q35" s="12">
        <f t="shared" ca="1" si="8"/>
        <v>1.7513761881206229E-2</v>
      </c>
      <c r="R35" s="23"/>
      <c r="S35" s="77" t="e">
        <f>VLOOKUP(A35,'Precios para Valuar'!$C:$AB,8,FALSE)</f>
        <v>#N/A</v>
      </c>
    </row>
    <row r="36" spans="1:19" s="29" customFormat="1" x14ac:dyDescent="0.25">
      <c r="A36" s="28" t="s">
        <v>297</v>
      </c>
      <c r="B36" s="18" t="s">
        <v>136</v>
      </c>
      <c r="C36" s="81" t="e">
        <f>VLOOKUP(A36,'Identidad de Codigos'!A:C,3,FALSE)</f>
        <v>#N/A</v>
      </c>
      <c r="D36" s="18" t="s">
        <v>61</v>
      </c>
      <c r="E36" s="40">
        <v>43189</v>
      </c>
      <c r="F36" s="20" t="s">
        <v>82</v>
      </c>
      <c r="G36" s="21">
        <v>5084982</v>
      </c>
      <c r="H36" s="21">
        <v>5084982</v>
      </c>
      <c r="I36" s="88" t="str">
        <f>IF(ISERROR(VLOOKUP(C36,'Pos Tit Sura'!B:D,3,FALSE))=TRUE,"",VLOOKUP(C36,'Pos Tit Sura'!B:D,3,FALSE))</f>
        <v/>
      </c>
      <c r="J36" s="88"/>
      <c r="K36" s="88"/>
      <c r="L36" s="22">
        <v>104.12479999999999</v>
      </c>
      <c r="M36" s="23">
        <f>+G36*L36/100</f>
        <v>5294727.3375359997</v>
      </c>
      <c r="N36" s="26" t="e">
        <f>VLOOKUP(A36,'Precios para Valuar'!C:AH,6,FALSE)</f>
        <v>#N/A</v>
      </c>
      <c r="O36" s="26" t="e">
        <f t="shared" si="7"/>
        <v>#N/A</v>
      </c>
      <c r="P36" s="27" t="e">
        <f>VLOOKUP(A36,'Precios para Valuar'!C:AK,9,FALSE)</f>
        <v>#N/A</v>
      </c>
      <c r="Q36" s="12">
        <f t="shared" ca="1" si="8"/>
        <v>1.7616814197377829E-3</v>
      </c>
      <c r="R36" s="23"/>
      <c r="S36" s="77" t="e">
        <f>VLOOKUP(A36,'Precios para Valuar'!$C:$AB,8,FALSE)</f>
        <v>#N/A</v>
      </c>
    </row>
    <row r="37" spans="1:19" s="29" customFormat="1" x14ac:dyDescent="0.25">
      <c r="A37" s="28" t="s">
        <v>62</v>
      </c>
      <c r="B37" s="18" t="s">
        <v>142</v>
      </c>
      <c r="C37" s="81">
        <f>VLOOKUP(A37,'Identidad de Codigos'!A:C,3,FALSE)</f>
        <v>51685</v>
      </c>
      <c r="D37" s="18" t="s">
        <v>63</v>
      </c>
      <c r="E37" s="40">
        <v>44039</v>
      </c>
      <c r="F37" s="20" t="s">
        <v>82</v>
      </c>
      <c r="G37" s="21">
        <v>28000000</v>
      </c>
      <c r="H37" s="21">
        <v>28000000</v>
      </c>
      <c r="I37" s="88">
        <f>IF(ISERROR(VLOOKUP(C37,'Pos Tit Sura'!B:D,3,FALSE))=TRUE,"",VLOOKUP(C37,'Pos Tit Sura'!B:D,3,FALSE))</f>
        <v>21900000</v>
      </c>
      <c r="J37" s="88"/>
      <c r="K37" s="88"/>
      <c r="L37" s="22">
        <v>102.05850000000001</v>
      </c>
      <c r="M37" s="23">
        <f>+G37*L37/100</f>
        <v>28576380.000000004</v>
      </c>
      <c r="N37" s="26">
        <f>VLOOKUP(A37,'Precios para Valuar'!C:AH,6,FALSE)</f>
        <v>3.5544432107525448E-2</v>
      </c>
      <c r="O37" s="26">
        <f t="shared" si="7"/>
        <v>0.26691943210752545</v>
      </c>
      <c r="P37" s="27">
        <f>VLOOKUP(A37,'Precios para Valuar'!C:AK,9,FALSE)</f>
        <v>1.8473837705424487</v>
      </c>
      <c r="Q37" s="12">
        <f t="shared" ca="1" si="8"/>
        <v>9.5080396930872363E-3</v>
      </c>
      <c r="R37" s="23"/>
      <c r="S37" s="77" t="str">
        <f>VLOOKUP(A37,'Precios para Valuar'!$C:$AB,8,FALSE)</f>
        <v>devengado</v>
      </c>
    </row>
    <row r="38" spans="1:19" s="29" customFormat="1" x14ac:dyDescent="0.25">
      <c r="A38" s="28" t="s">
        <v>65</v>
      </c>
      <c r="B38" s="18" t="s">
        <v>150</v>
      </c>
      <c r="C38" s="81">
        <f>VLOOKUP(A38,'Identidad de Codigos'!A:C,3,FALSE)</f>
        <v>51856</v>
      </c>
      <c r="D38" s="18" t="s">
        <v>66</v>
      </c>
      <c r="E38" s="76">
        <v>44102</v>
      </c>
      <c r="F38" s="20" t="s">
        <v>82</v>
      </c>
      <c r="G38" s="21">
        <v>46463333</v>
      </c>
      <c r="H38" s="21">
        <v>46463333</v>
      </c>
      <c r="I38" s="88">
        <f>IF(ISERROR(VLOOKUP(C38,'Pos Tit Sura'!B:D,3,FALSE))=TRUE,"",VLOOKUP(C38,'Pos Tit Sura'!B:D,3,FALSE))</f>
        <v>46463333</v>
      </c>
      <c r="J38" s="88"/>
      <c r="K38" s="88"/>
      <c r="L38" s="22">
        <v>104.2535</v>
      </c>
      <c r="M38" s="23">
        <f t="shared" si="6"/>
        <v>48439650.869154997</v>
      </c>
      <c r="N38" s="26">
        <f>VLOOKUP(A38,'Precios para Valuar'!C:AH,6,FALSE)</f>
        <v>3.4960182163218168E-2</v>
      </c>
      <c r="O38" s="26">
        <f t="shared" si="7"/>
        <v>0.26633518216321816</v>
      </c>
      <c r="P38" s="27">
        <f>VLOOKUP(A38,'Precios para Valuar'!C:AK,9,FALSE)</f>
        <v>2.0010919136734038</v>
      </c>
      <c r="Q38" s="12">
        <f t="shared" ca="1" si="8"/>
        <v>1.6117021231633024E-2</v>
      </c>
      <c r="R38" s="23"/>
      <c r="S38" s="77" t="str">
        <f>VLOOKUP(A38,'Precios para Valuar'!$C:$AB,8,FALSE)</f>
        <v>devengado</v>
      </c>
    </row>
    <row r="39" spans="1:19" s="29" customFormat="1" x14ac:dyDescent="0.25">
      <c r="A39" s="28" t="s">
        <v>298</v>
      </c>
      <c r="B39" s="18" t="s">
        <v>299</v>
      </c>
      <c r="C39" s="81" t="e">
        <f>VLOOKUP(A39,'Identidad de Codigos'!A:C,3,FALSE)</f>
        <v>#N/A</v>
      </c>
      <c r="D39" s="18" t="s">
        <v>15</v>
      </c>
      <c r="E39" s="76">
        <v>43864</v>
      </c>
      <c r="F39" s="20" t="s">
        <v>82</v>
      </c>
      <c r="G39" s="21">
        <v>18700000</v>
      </c>
      <c r="H39" s="21">
        <v>18700000</v>
      </c>
      <c r="I39" s="88" t="str">
        <f>IF(ISERROR(VLOOKUP(C39,'Pos Tit Sura'!B:D,3,FALSE))=TRUE,"",VLOOKUP(C39,'Pos Tit Sura'!B:D,3,FALSE))</f>
        <v/>
      </c>
      <c r="J39" s="88"/>
      <c r="K39" s="88"/>
      <c r="L39" s="22">
        <v>101.78020000000001</v>
      </c>
      <c r="M39" s="23">
        <f t="shared" si="6"/>
        <v>19032897.400000002</v>
      </c>
      <c r="N39" s="26" t="e">
        <f>VLOOKUP(A39,'Precios para Valuar'!C:AH,6,FALSE)</f>
        <v>#N/A</v>
      </c>
      <c r="O39" s="26" t="e">
        <f t="shared" si="7"/>
        <v>#N/A</v>
      </c>
      <c r="P39" s="27" t="e">
        <f>VLOOKUP(A39,'Precios para Valuar'!C:AK,9,FALSE)</f>
        <v>#N/A</v>
      </c>
      <c r="Q39" s="12">
        <f t="shared" ca="1" si="8"/>
        <v>6.3326965820603197E-3</v>
      </c>
      <c r="R39" s="23"/>
      <c r="S39" s="77" t="e">
        <f>VLOOKUP(A39,'Precios para Valuar'!$C:$AB,8,FALSE)</f>
        <v>#N/A</v>
      </c>
    </row>
    <row r="40" spans="1:19" s="29" customFormat="1" x14ac:dyDescent="0.25">
      <c r="A40" s="28" t="s">
        <v>300</v>
      </c>
      <c r="B40" s="18" t="s">
        <v>156</v>
      </c>
      <c r="C40" s="81" t="e">
        <f>VLOOKUP(A40,'Identidad de Codigos'!A:C,3,FALSE)</f>
        <v>#N/A</v>
      </c>
      <c r="D40" s="18" t="s">
        <v>67</v>
      </c>
      <c r="E40" s="76">
        <v>43766</v>
      </c>
      <c r="F40" s="20" t="s">
        <v>82</v>
      </c>
      <c r="G40" s="21">
        <v>26277777</v>
      </c>
      <c r="H40" s="21">
        <v>26277777</v>
      </c>
      <c r="I40" s="88" t="str">
        <f>IF(ISERROR(VLOOKUP(C40,'Pos Tit Sura'!B:D,3,FALSE))=TRUE,"",VLOOKUP(C40,'Pos Tit Sura'!B:D,3,FALSE))</f>
        <v/>
      </c>
      <c r="J40" s="88"/>
      <c r="K40" s="88"/>
      <c r="L40" s="22">
        <v>101.58029999999999</v>
      </c>
      <c r="M40" s="23">
        <f t="shared" si="6"/>
        <v>26693044.709930997</v>
      </c>
      <c r="N40" s="26" t="e">
        <f>VLOOKUP(A40,'Precios para Valuar'!C:AH,6,FALSE)</f>
        <v>#N/A</v>
      </c>
      <c r="O40" s="26" t="e">
        <f t="shared" si="7"/>
        <v>#N/A</v>
      </c>
      <c r="P40" s="27" t="e">
        <f>VLOOKUP(A40,'Precios para Valuar'!C:AK,9,FALSE)</f>
        <v>#N/A</v>
      </c>
      <c r="Q40" s="12">
        <f t="shared" ca="1" si="8"/>
        <v>8.8814093538571431E-3</v>
      </c>
      <c r="R40" s="23"/>
      <c r="S40" s="77" t="e">
        <f>VLOOKUP(A40,'Precios para Valuar'!$C:$AB,8,FALSE)</f>
        <v>#N/A</v>
      </c>
    </row>
    <row r="41" spans="1:19" s="29" customFormat="1" x14ac:dyDescent="0.25">
      <c r="A41" s="45" t="s">
        <v>68</v>
      </c>
      <c r="B41" s="18" t="s">
        <v>162</v>
      </c>
      <c r="C41" s="81">
        <f>VLOOKUP(A41,'Identidad de Codigos'!A:C,3,FALSE)</f>
        <v>52186</v>
      </c>
      <c r="D41" s="18" t="s">
        <v>69</v>
      </c>
      <c r="E41" s="40">
        <v>43495</v>
      </c>
      <c r="F41" s="20" t="s">
        <v>82</v>
      </c>
      <c r="G41" s="21">
        <v>4900000</v>
      </c>
      <c r="H41" s="21">
        <v>4900000</v>
      </c>
      <c r="I41" s="88">
        <f>IF(ISERROR(VLOOKUP(C41,'Pos Tit Sura'!B:D,3,FALSE))=TRUE,"",VLOOKUP(C41,'Pos Tit Sura'!B:D,3,FALSE))</f>
        <v>4900000</v>
      </c>
      <c r="J41" s="88"/>
      <c r="K41" s="88"/>
      <c r="L41" s="22">
        <v>101.50650000000002</v>
      </c>
      <c r="M41" s="23">
        <f t="shared" si="6"/>
        <v>4973818.5000000009</v>
      </c>
      <c r="N41" s="26">
        <f>VLOOKUP(A41,'Precios para Valuar'!C:AH,6,FALSE)</f>
        <v>2.8040229322964794E-2</v>
      </c>
      <c r="O41" s="26">
        <f t="shared" si="7"/>
        <v>0.25941522932296479</v>
      </c>
      <c r="P41" s="27">
        <f>VLOOKUP(A41,'Precios para Valuar'!C:AK,9,FALSE)</f>
        <v>0.94209641132440147</v>
      </c>
      <c r="Q41" s="12">
        <f t="shared" ca="1" si="8"/>
        <v>1.6549074348889406E-3</v>
      </c>
      <c r="R41" s="23"/>
      <c r="S41" s="77" t="str">
        <f>VLOOKUP(A41,'Precios para Valuar'!$C:$AB,8,FALSE)</f>
        <v>devengado</v>
      </c>
    </row>
    <row r="42" spans="1:19" s="29" customFormat="1" x14ac:dyDescent="0.25">
      <c r="A42" s="45" t="s">
        <v>71</v>
      </c>
      <c r="B42" s="18" t="s">
        <v>148</v>
      </c>
      <c r="C42" s="81">
        <f>VLOOKUP(A42,'Identidad de Codigos'!A:C,3,FALSE)</f>
        <v>51769</v>
      </c>
      <c r="D42" s="18" t="s">
        <v>69</v>
      </c>
      <c r="E42" s="40">
        <v>43696</v>
      </c>
      <c r="F42" s="20" t="s">
        <v>82</v>
      </c>
      <c r="G42" s="21">
        <v>10821428</v>
      </c>
      <c r="H42" s="21">
        <v>10821428</v>
      </c>
      <c r="I42" s="88">
        <f>IF(ISERROR(VLOOKUP(C42,'Pos Tit Sura'!B:D,3,FALSE))=TRUE,"",VLOOKUP(C42,'Pos Tit Sura'!B:D,3,FALSE))</f>
        <v>10821428</v>
      </c>
      <c r="J42" s="88"/>
      <c r="K42" s="88"/>
      <c r="L42" s="22">
        <v>100.13000000000001</v>
      </c>
      <c r="M42" s="23">
        <f t="shared" si="6"/>
        <v>10835495.856400002</v>
      </c>
      <c r="N42" s="26">
        <f>VLOOKUP(A42,'Precios para Valuar'!C:AH,6,FALSE)</f>
        <v>3.2399999999999998E-2</v>
      </c>
      <c r="O42" s="26">
        <f t="shared" si="7"/>
        <v>0.26377499999999998</v>
      </c>
      <c r="P42" s="27">
        <f>VLOOKUP(A42,'Precios para Valuar'!C:AK,9,FALSE)</f>
        <v>1.2474163422072131</v>
      </c>
      <c r="Q42" s="12">
        <f t="shared" ca="1" si="8"/>
        <v>3.6052265786265959E-3</v>
      </c>
      <c r="R42" s="23"/>
      <c r="S42" s="77" t="str">
        <f>VLOOKUP(A42,'Precios para Valuar'!$C:$AB,8,FALSE)</f>
        <v>VT</v>
      </c>
    </row>
    <row r="43" spans="1:19" s="29" customFormat="1" x14ac:dyDescent="0.25">
      <c r="A43" s="45" t="s">
        <v>301</v>
      </c>
      <c r="B43" s="18" t="s">
        <v>173</v>
      </c>
      <c r="C43" s="81" t="e">
        <f>VLOOKUP(A43,'Identidad de Codigos'!A:C,3,FALSE)</f>
        <v>#N/A</v>
      </c>
      <c r="D43" s="18" t="s">
        <v>73</v>
      </c>
      <c r="E43" s="40">
        <v>44319</v>
      </c>
      <c r="F43" s="20" t="s">
        <v>82</v>
      </c>
      <c r="G43" s="21">
        <v>100000000</v>
      </c>
      <c r="H43" s="21">
        <v>100000000</v>
      </c>
      <c r="I43" s="88" t="str">
        <f>IF(ISERROR(VLOOKUP(C43,'Pos Tit Sura'!B:D,3,FALSE))=TRUE,"",VLOOKUP(C43,'Pos Tit Sura'!B:D,3,FALSE))</f>
        <v/>
      </c>
      <c r="J43" s="88"/>
      <c r="K43" s="88"/>
      <c r="L43" s="22">
        <v>101.1431</v>
      </c>
      <c r="M43" s="23">
        <f t="shared" ref="M43" si="10">+G43*L43/100</f>
        <v>101143100</v>
      </c>
      <c r="N43" s="26" t="e">
        <f>VLOOKUP(A43,'Precios para Valuar'!C:AH,6,FALSE)</f>
        <v>#N/A</v>
      </c>
      <c r="O43" s="26" t="e">
        <f t="shared" si="7"/>
        <v>#N/A</v>
      </c>
      <c r="P43" s="27" t="e">
        <f>VLOOKUP(A43,'Precios para Valuar'!C:AK,9,FALSE)</f>
        <v>#N/A</v>
      </c>
      <c r="Q43" s="12">
        <f t="shared" ca="1" si="8"/>
        <v>3.365270931734151E-2</v>
      </c>
      <c r="R43" s="23"/>
      <c r="S43" s="77" t="e">
        <f>VLOOKUP(A43,'Precios para Valuar'!$C:$AB,8,FALSE)</f>
        <v>#N/A</v>
      </c>
    </row>
    <row r="44" spans="1:19" s="29" customFormat="1" x14ac:dyDescent="0.25">
      <c r="A44" s="45" t="s">
        <v>74</v>
      </c>
      <c r="B44" s="18" t="s">
        <v>154</v>
      </c>
      <c r="C44" s="81">
        <f>VLOOKUP(A44,'Identidad de Codigos'!A:C,3,FALSE)</f>
        <v>51916</v>
      </c>
      <c r="D44" s="18" t="s">
        <v>75</v>
      </c>
      <c r="E44" s="40">
        <v>44130</v>
      </c>
      <c r="F44" s="20" t="s">
        <v>82</v>
      </c>
      <c r="G44" s="21">
        <v>35023666</v>
      </c>
      <c r="H44" s="21">
        <v>35023666</v>
      </c>
      <c r="I44" s="88">
        <f>IF(ISERROR(VLOOKUP(C44,'Pos Tit Sura'!B:D,3,FALSE))=TRUE,"",VLOOKUP(C44,'Pos Tit Sura'!B:D,3,FALSE))</f>
        <v>35023666</v>
      </c>
      <c r="J44" s="88"/>
      <c r="K44" s="88"/>
      <c r="L44" s="22">
        <v>102.0831</v>
      </c>
      <c r="M44" s="23">
        <f t="shared" ref="M44:M45" si="11">+G44*L44/100</f>
        <v>35753243.986446001</v>
      </c>
      <c r="N44" s="26">
        <v>0</v>
      </c>
      <c r="O44" s="26">
        <v>0</v>
      </c>
      <c r="P44" s="27">
        <v>0</v>
      </c>
      <c r="Q44" s="12">
        <f t="shared" ca="1" si="8"/>
        <v>1.1895952635699871E-2</v>
      </c>
      <c r="R44" s="23"/>
      <c r="S44" s="77"/>
    </row>
    <row r="45" spans="1:19" s="29" customFormat="1" x14ac:dyDescent="0.25">
      <c r="A45" s="45" t="s">
        <v>70</v>
      </c>
      <c r="B45" s="18" t="s">
        <v>158</v>
      </c>
      <c r="C45" s="81">
        <f>VLOOKUP(A45,'Identidad de Codigos'!A:C,3,FALSE)</f>
        <v>51988</v>
      </c>
      <c r="D45" s="18" t="s">
        <v>76</v>
      </c>
      <c r="E45" s="40">
        <v>43236</v>
      </c>
      <c r="F45" s="20" t="s">
        <v>82</v>
      </c>
      <c r="G45" s="21">
        <v>40000000</v>
      </c>
      <c r="H45" s="21">
        <v>40000000</v>
      </c>
      <c r="I45" s="88">
        <f>IF(ISERROR(VLOOKUP(C45,'Pos Tit Sura'!B:D,3,FALSE))=TRUE,"",VLOOKUP(C45,'Pos Tit Sura'!B:D,3,FALSE))</f>
        <v>36000000</v>
      </c>
      <c r="J45" s="88"/>
      <c r="K45" s="88"/>
      <c r="L45" s="22">
        <v>100.44619999999999</v>
      </c>
      <c r="M45" s="23">
        <f t="shared" si="11"/>
        <v>40178479.999999993</v>
      </c>
      <c r="N45" s="26">
        <v>0</v>
      </c>
      <c r="O45" s="26">
        <v>0</v>
      </c>
      <c r="P45" s="27">
        <v>0</v>
      </c>
      <c r="Q45" s="12">
        <f t="shared" ca="1" si="8"/>
        <v>1.3368333660453547E-2</v>
      </c>
      <c r="R45" s="23"/>
      <c r="S45" s="77"/>
    </row>
    <row r="46" spans="1:19" s="29" customFormat="1" x14ac:dyDescent="0.25">
      <c r="A46" s="31" t="s">
        <v>78</v>
      </c>
      <c r="B46" s="18" t="s">
        <v>152</v>
      </c>
      <c r="C46" s="18"/>
      <c r="D46" s="18" t="s">
        <v>79</v>
      </c>
      <c r="E46" s="40">
        <v>43371</v>
      </c>
      <c r="F46" s="20" t="s">
        <v>82</v>
      </c>
      <c r="G46" s="21">
        <v>8500000</v>
      </c>
      <c r="H46" s="21">
        <v>8500000</v>
      </c>
      <c r="I46" s="88"/>
      <c r="J46" s="88"/>
      <c r="K46" s="88"/>
      <c r="L46" s="22">
        <v>103.9375</v>
      </c>
      <c r="M46" s="23"/>
      <c r="N46" s="26"/>
      <c r="O46" s="26"/>
      <c r="P46" s="27"/>
      <c r="Q46" s="12"/>
      <c r="R46" s="23"/>
      <c r="S46" s="77"/>
    </row>
    <row r="47" spans="1:19" s="29" customFormat="1" x14ac:dyDescent="0.25">
      <c r="A47" s="46" t="s">
        <v>81</v>
      </c>
      <c r="B47" s="32"/>
      <c r="C47" s="32"/>
      <c r="D47" s="32"/>
      <c r="E47" s="33"/>
      <c r="F47" s="32"/>
      <c r="G47" s="34"/>
      <c r="H47" s="34"/>
      <c r="I47" s="34"/>
      <c r="J47" s="34"/>
      <c r="K47" s="34"/>
      <c r="L47" s="35"/>
      <c r="M47" s="47"/>
      <c r="N47" s="48"/>
      <c r="O47" s="48"/>
      <c r="P47" s="49"/>
      <c r="Q47" s="50"/>
      <c r="R47" s="23"/>
      <c r="S47" s="77"/>
    </row>
    <row r="48" spans="1:19" s="29" customFormat="1" x14ac:dyDescent="0.25">
      <c r="A48" s="45" t="str">
        <f>+'Pos PF Sura'!C1</f>
        <v>BANCO DE GALICIA Y BS AS</v>
      </c>
      <c r="B48" s="18"/>
      <c r="C48" s="18"/>
      <c r="D48" s="18">
        <f>+'Pos PF Sura'!I1/100</f>
        <v>0.21</v>
      </c>
      <c r="E48" s="40">
        <f>+'Pos PF Sura'!E1</f>
        <v>43179</v>
      </c>
      <c r="F48" s="20" t="s">
        <v>82</v>
      </c>
      <c r="G48" s="21">
        <f>+'Pos PF Sura'!H1</f>
        <v>23300000</v>
      </c>
      <c r="H48" s="21"/>
      <c r="I48" s="93">
        <f>+'Pos PF Sura'!D1</f>
        <v>42816</v>
      </c>
      <c r="J48" s="88"/>
      <c r="K48" s="88"/>
      <c r="L48" s="22"/>
      <c r="M48" s="23">
        <f>G48*(1+D48/365*("29/12/2017"-I48))</f>
        <v>27080345.205479454</v>
      </c>
      <c r="N48" s="51">
        <f>+D48</f>
        <v>0.21</v>
      </c>
      <c r="O48" s="51">
        <f>+N48</f>
        <v>0.21</v>
      </c>
      <c r="P48" s="27">
        <f>((E48-"29/12/2017")/365)/(1+N48)</f>
        <v>0.18340314728857693</v>
      </c>
      <c r="Q48" s="12">
        <f ca="1">M48/$M$88</f>
        <v>9.0102734186836564E-3</v>
      </c>
      <c r="R48" s="23"/>
      <c r="S48" s="77"/>
    </row>
    <row r="49" spans="1:19" s="29" customFormat="1" x14ac:dyDescent="0.25">
      <c r="A49" s="45" t="str">
        <f>+'Pos PF Sura'!C2</f>
        <v>BANCO ITAU ARGENTINA SA</v>
      </c>
      <c r="B49" s="18"/>
      <c r="C49" s="18"/>
      <c r="D49" s="18">
        <f>+'Pos PF Sura'!I2/100</f>
        <v>0.21249999999999999</v>
      </c>
      <c r="E49" s="40">
        <f>+'Pos PF Sura'!E2</f>
        <v>43181</v>
      </c>
      <c r="F49" s="20" t="s">
        <v>82</v>
      </c>
      <c r="G49" s="21">
        <f>+'Pos PF Sura'!H2</f>
        <v>65000000</v>
      </c>
      <c r="H49" s="21"/>
      <c r="I49" s="93">
        <f>+'Pos PF Sura'!D2</f>
        <v>42821</v>
      </c>
      <c r="J49" s="88"/>
      <c r="K49" s="88"/>
      <c r="L49" s="22"/>
      <c r="M49" s="23">
        <f>G49*(1+D49/365*("29/12/2017"-I49))</f>
        <v>75482363.013698637</v>
      </c>
      <c r="N49" s="51">
        <f t="shared" ref="N49:N57" si="12">+D49</f>
        <v>0.21249999999999999</v>
      </c>
      <c r="O49" s="51">
        <f t="shared" ref="O49:O57" si="13">+N49</f>
        <v>0.21249999999999999</v>
      </c>
      <c r="P49" s="27">
        <f t="shared" ref="P49:P57" si="14">((E49-"29/12/2017")/365)/(1+N49)</f>
        <v>0.18754413218471969</v>
      </c>
      <c r="Q49" s="12">
        <f ca="1">M49/$M$88</f>
        <v>2.5114773237977187E-2</v>
      </c>
      <c r="R49" s="23"/>
      <c r="S49" s="77"/>
    </row>
    <row r="50" spans="1:19" s="29" customFormat="1" x14ac:dyDescent="0.25">
      <c r="A50" s="45" t="str">
        <f>+'Pos PF Sura'!C3</f>
        <v>BBVA BANCO FRANCES SA</v>
      </c>
      <c r="B50" s="18"/>
      <c r="C50" s="18"/>
      <c r="D50" s="18">
        <f>+'Pos PF Sura'!I3/100</f>
        <v>0.21</v>
      </c>
      <c r="E50" s="40">
        <f>+'Pos PF Sura'!E3</f>
        <v>43181</v>
      </c>
      <c r="F50" s="20" t="s">
        <v>82</v>
      </c>
      <c r="G50" s="21">
        <f>+'Pos PF Sura'!H3</f>
        <v>50000000</v>
      </c>
      <c r="H50" s="21"/>
      <c r="I50" s="93">
        <f>+'Pos PF Sura'!D3</f>
        <v>42821</v>
      </c>
      <c r="J50" s="88"/>
      <c r="K50" s="88"/>
      <c r="L50" s="22"/>
      <c r="M50" s="23">
        <f t="shared" ref="M50:M57" si="15">G50*(1+D50/365*("29/12/2017"-I50))</f>
        <v>57968493.15068493</v>
      </c>
      <c r="N50" s="51">
        <f t="shared" si="12"/>
        <v>0.21</v>
      </c>
      <c r="O50" s="51">
        <f t="shared" si="13"/>
        <v>0.21</v>
      </c>
      <c r="P50" s="27">
        <f t="shared" si="14"/>
        <v>0.1879316200611344</v>
      </c>
      <c r="Q50" s="12">
        <f ca="1">M50/$M$88</f>
        <v>1.9287493161316019E-2</v>
      </c>
      <c r="R50" s="23"/>
      <c r="S50" s="77"/>
    </row>
    <row r="51" spans="1:19" s="29" customFormat="1" x14ac:dyDescent="0.25">
      <c r="A51" s="45" t="str">
        <f>+'Pos PF Sura'!C4</f>
        <v>BCO.PATAGONIA SA</v>
      </c>
      <c r="B51" s="18"/>
      <c r="C51" s="18"/>
      <c r="D51" s="18">
        <f>+'Pos PF Sura'!I4/100</f>
        <v>0.20600000000000002</v>
      </c>
      <c r="E51" s="40">
        <f>+'Pos PF Sura'!E4</f>
        <v>43181</v>
      </c>
      <c r="F51" s="20" t="s">
        <v>82</v>
      </c>
      <c r="G51" s="21">
        <f>+'Pos PF Sura'!H4</f>
        <v>15700000</v>
      </c>
      <c r="H51" s="21"/>
      <c r="I51" s="93">
        <f>+'Pos PF Sura'!D4</f>
        <v>42824</v>
      </c>
      <c r="J51" s="88"/>
      <c r="K51" s="88"/>
      <c r="L51" s="22"/>
      <c r="M51" s="23">
        <f t="shared" si="15"/>
        <v>18127865.205479451</v>
      </c>
      <c r="N51" s="51">
        <f t="shared" si="12"/>
        <v>0.20600000000000002</v>
      </c>
      <c r="O51" s="51">
        <f t="shared" si="13"/>
        <v>0.20600000000000002</v>
      </c>
      <c r="P51" s="27">
        <f t="shared" si="14"/>
        <v>0.18855494218405691</v>
      </c>
      <c r="Q51" s="12">
        <f ca="1">M51/$M$88</f>
        <v>6.0315708961258775E-3</v>
      </c>
      <c r="R51" s="23"/>
      <c r="S51" s="77"/>
    </row>
    <row r="52" spans="1:19" s="29" customFormat="1" x14ac:dyDescent="0.25">
      <c r="A52" s="45" t="str">
        <f>+'Pos PF Sura'!C5</f>
        <v>BCO.PATAGONIA SA</v>
      </c>
      <c r="B52" s="18"/>
      <c r="C52" s="18"/>
      <c r="D52" s="18">
        <f>+'Pos PF Sura'!I5/100</f>
        <v>0.2225</v>
      </c>
      <c r="E52" s="40">
        <f>+'Pos PF Sura'!E5</f>
        <v>43230</v>
      </c>
      <c r="F52" s="20" t="s">
        <v>82</v>
      </c>
      <c r="G52" s="21">
        <f>+'Pos PF Sura'!H5</f>
        <v>8333000</v>
      </c>
      <c r="H52" s="21"/>
      <c r="I52" s="93">
        <f>+'Pos PF Sura'!D5</f>
        <v>42872</v>
      </c>
      <c r="J52" s="88"/>
      <c r="K52" s="88"/>
      <c r="L52" s="22"/>
      <c r="M52" s="23">
        <f t="shared" si="15"/>
        <v>9481013.438356163</v>
      </c>
      <c r="N52" s="51">
        <f t="shared" si="12"/>
        <v>0.2225</v>
      </c>
      <c r="O52" s="51">
        <f t="shared" si="13"/>
        <v>0.2225</v>
      </c>
      <c r="P52" s="27">
        <f t="shared" si="14"/>
        <v>0.29582317841835454</v>
      </c>
      <c r="Q52" s="12">
        <f ca="1">M52/$M$88</f>
        <v>3.1545581386650053E-3</v>
      </c>
      <c r="R52" s="23"/>
      <c r="S52" s="77"/>
    </row>
    <row r="53" spans="1:19" s="29" customFormat="1" x14ac:dyDescent="0.25">
      <c r="A53" s="45" t="str">
        <f>+'Pos PF Sura'!C6</f>
        <v>BCO.PATAGONIA SA</v>
      </c>
      <c r="B53" s="18"/>
      <c r="C53" s="18"/>
      <c r="D53" s="18">
        <f>+'Pos PF Sura'!I6/100</f>
        <v>0.26800000000000002</v>
      </c>
      <c r="E53" s="40">
        <f>+'Pos PF Sura'!E6</f>
        <v>43234</v>
      </c>
      <c r="F53" s="20" t="s">
        <v>82</v>
      </c>
      <c r="G53" s="21">
        <f>+'Pos PF Sura'!H6</f>
        <v>60973000</v>
      </c>
      <c r="H53" s="21"/>
      <c r="I53" s="93">
        <f>+'Pos PF Sura'!D6</f>
        <v>43054</v>
      </c>
      <c r="J53" s="88"/>
      <c r="K53" s="88"/>
      <c r="L53" s="22"/>
      <c r="M53" s="23">
        <f t="shared" si="15"/>
        <v>62942845.523287669</v>
      </c>
      <c r="N53" s="51">
        <f t="shared" si="12"/>
        <v>0.26800000000000002</v>
      </c>
      <c r="O53" s="51">
        <f t="shared" si="13"/>
        <v>0.26800000000000002</v>
      </c>
      <c r="P53" s="27">
        <f t="shared" si="14"/>
        <v>0.29385074110885445</v>
      </c>
      <c r="Q53" s="12">
        <f ca="1">M53/$M$88</f>
        <v>2.0942578228287746E-2</v>
      </c>
      <c r="R53" s="28"/>
      <c r="S53" s="77"/>
    </row>
    <row r="54" spans="1:19" s="29" customFormat="1" x14ac:dyDescent="0.25">
      <c r="A54" s="45" t="str">
        <f>+'Pos PF Sura'!C7</f>
        <v>BBVA BANCO FRANCES SA</v>
      </c>
      <c r="B54" s="18"/>
      <c r="C54" s="18"/>
      <c r="D54" s="18">
        <f>+'Pos PF Sura'!I7/100</f>
        <v>0.27</v>
      </c>
      <c r="E54" s="40">
        <f>+'Pos PF Sura'!E7</f>
        <v>43416</v>
      </c>
      <c r="F54" s="20" t="s">
        <v>82</v>
      </c>
      <c r="G54" s="21">
        <f>+'Pos PF Sura'!H7</f>
        <v>40000000</v>
      </c>
      <c r="H54" s="21"/>
      <c r="I54" s="93">
        <f>+'Pos PF Sura'!D7</f>
        <v>43055</v>
      </c>
      <c r="J54" s="88"/>
      <c r="K54" s="88"/>
      <c r="L54" s="22"/>
      <c r="M54" s="23">
        <f t="shared" si="15"/>
        <v>41272328.767123289</v>
      </c>
      <c r="N54" s="51">
        <f t="shared" si="12"/>
        <v>0.27</v>
      </c>
      <c r="O54" s="51">
        <f t="shared" si="13"/>
        <v>0.27</v>
      </c>
      <c r="P54" s="27">
        <f t="shared" si="14"/>
        <v>0.6860101391435659</v>
      </c>
      <c r="Q54" s="12">
        <f ca="1">M54/$M$88</f>
        <v>1.3732283100377109E-2</v>
      </c>
      <c r="R54" s="28"/>
      <c r="S54" s="77"/>
    </row>
    <row r="55" spans="1:19" s="29" customFormat="1" x14ac:dyDescent="0.25">
      <c r="A55" s="45" t="str">
        <f>+'Pos PF Sura'!C8</f>
        <v>BBVA BANCO FRANCES SA</v>
      </c>
      <c r="B55" s="18"/>
      <c r="C55" s="18"/>
      <c r="D55" s="18">
        <f>+'Pos PF Sura'!I8/100</f>
        <v>0.27</v>
      </c>
      <c r="E55" s="40">
        <f>+'Pos PF Sura'!E8</f>
        <v>43416</v>
      </c>
      <c r="F55" s="20" t="s">
        <v>82</v>
      </c>
      <c r="G55" s="21">
        <f>+'Pos PF Sura'!H8</f>
        <v>40000000</v>
      </c>
      <c r="H55" s="21"/>
      <c r="I55" s="93">
        <f>+'Pos PF Sura'!D8</f>
        <v>43055</v>
      </c>
      <c r="J55" s="88"/>
      <c r="K55" s="88"/>
      <c r="L55" s="22"/>
      <c r="M55" s="23">
        <f t="shared" si="15"/>
        <v>41272328.767123289</v>
      </c>
      <c r="N55" s="51">
        <f t="shared" si="12"/>
        <v>0.27</v>
      </c>
      <c r="O55" s="51">
        <f t="shared" si="13"/>
        <v>0.27</v>
      </c>
      <c r="P55" s="27">
        <f t="shared" si="14"/>
        <v>0.6860101391435659</v>
      </c>
      <c r="Q55" s="12">
        <f ca="1">M55/$M$88</f>
        <v>1.3732283100377109E-2</v>
      </c>
      <c r="R55" s="28"/>
      <c r="S55" s="77"/>
    </row>
    <row r="56" spans="1:19" s="29" customFormat="1" x14ac:dyDescent="0.25">
      <c r="A56" s="45" t="str">
        <f>+'Pos PF Sura'!C9</f>
        <v>BCO.PATAGONIA SA</v>
      </c>
      <c r="B56" s="18"/>
      <c r="C56" s="18"/>
      <c r="D56" s="18">
        <f>+'Pos PF Sura'!I9/100</f>
        <v>0.26899999999999996</v>
      </c>
      <c r="E56" s="40">
        <f>+'Pos PF Sura'!E9</f>
        <v>43432</v>
      </c>
      <c r="F56" s="20" t="s">
        <v>82</v>
      </c>
      <c r="G56" s="21">
        <f>+'Pos PF Sura'!H9</f>
        <v>13880000</v>
      </c>
      <c r="H56" s="21"/>
      <c r="I56" s="93">
        <f>+'Pos PF Sura'!D9</f>
        <v>43067</v>
      </c>
      <c r="J56" s="88"/>
      <c r="K56" s="88"/>
      <c r="L56" s="22"/>
      <c r="M56" s="23">
        <f t="shared" si="15"/>
        <v>14197110.465753425</v>
      </c>
      <c r="N56" s="51">
        <f t="shared" si="12"/>
        <v>0.26899999999999996</v>
      </c>
      <c r="O56" s="51">
        <f t="shared" si="13"/>
        <v>0.26899999999999996</v>
      </c>
      <c r="P56" s="27">
        <f t="shared" si="14"/>
        <v>0.72109416323931053</v>
      </c>
      <c r="Q56" s="12">
        <f ca="1">M56/$M$88</f>
        <v>4.7237155243431035E-3</v>
      </c>
      <c r="R56" s="28"/>
      <c r="S56" s="77"/>
    </row>
    <row r="57" spans="1:19" s="29" customFormat="1" x14ac:dyDescent="0.25">
      <c r="A57" s="45" t="str">
        <f>+'Pos PF Sura'!C10</f>
        <v>STANDARD BANK ARGENTINA SA</v>
      </c>
      <c r="B57" s="18"/>
      <c r="C57" s="18"/>
      <c r="D57" s="18">
        <f>+'Pos PF Sura'!I10/100</f>
        <v>0.24</v>
      </c>
      <c r="E57" s="40">
        <f>+'Pos PF Sura'!E10</f>
        <v>43110</v>
      </c>
      <c r="F57" s="20" t="s">
        <v>82</v>
      </c>
      <c r="G57" s="21">
        <f>+'Pos PF Sura'!H10</f>
        <v>10247131.289999999</v>
      </c>
      <c r="H57" s="21"/>
      <c r="I57" s="93">
        <f>+'Pos PF Sura'!D10</f>
        <v>43080</v>
      </c>
      <c r="J57" s="88"/>
      <c r="K57" s="88"/>
      <c r="L57" s="22"/>
      <c r="M57" s="23">
        <f t="shared" si="15"/>
        <v>10368412.405541917</v>
      </c>
      <c r="N57" s="51">
        <f t="shared" si="12"/>
        <v>0.24</v>
      </c>
      <c r="O57" s="51">
        <f t="shared" si="13"/>
        <v>0.24</v>
      </c>
      <c r="P57" s="27">
        <f t="shared" si="14"/>
        <v>2.6513477684489615E-2</v>
      </c>
      <c r="Q57" s="12">
        <f ca="1">M57/$M$88</f>
        <v>3.4498168314597809E-3</v>
      </c>
      <c r="R57" s="28"/>
      <c r="S57" s="77"/>
    </row>
    <row r="58" spans="1:19" s="29" customFormat="1" x14ac:dyDescent="0.25">
      <c r="A58" s="32" t="s">
        <v>84</v>
      </c>
      <c r="B58" s="48"/>
      <c r="C58" s="48"/>
      <c r="D58" s="48"/>
      <c r="E58" s="33"/>
      <c r="F58" s="48"/>
      <c r="G58" s="34"/>
      <c r="H58" s="34"/>
      <c r="I58" s="34"/>
      <c r="J58" s="34"/>
      <c r="K58" s="34"/>
      <c r="L58" s="35"/>
      <c r="M58" s="52"/>
      <c r="N58" s="48"/>
      <c r="O58" s="48"/>
      <c r="P58" s="49"/>
      <c r="Q58" s="53"/>
      <c r="R58" s="28"/>
      <c r="S58" s="77"/>
    </row>
    <row r="59" spans="1:19" s="29" customFormat="1" x14ac:dyDescent="0.25">
      <c r="A59" s="28" t="s">
        <v>77</v>
      </c>
      <c r="B59" s="20"/>
      <c r="C59" s="20"/>
      <c r="D59" s="20"/>
      <c r="E59" s="40"/>
      <c r="F59" s="20" t="s">
        <v>82</v>
      </c>
      <c r="G59" s="21">
        <v>36728819</v>
      </c>
      <c r="H59" s="21"/>
      <c r="I59" s="88"/>
      <c r="J59" s="88"/>
      <c r="K59" s="88"/>
      <c r="L59" s="22">
        <v>7.757924</v>
      </c>
      <c r="M59" s="23">
        <f t="shared" ref="M59:M64" si="16">+G59*L59</f>
        <v>284939386.41175598</v>
      </c>
      <c r="N59" s="12"/>
      <c r="O59" s="12"/>
      <c r="P59" s="27"/>
      <c r="Q59" s="12">
        <f ca="1">M59/$M$88</f>
        <v>9.480609496818343E-2</v>
      </c>
      <c r="R59" s="28"/>
      <c r="S59" s="77"/>
    </row>
    <row r="60" spans="1:19" s="29" customFormat="1" x14ac:dyDescent="0.25">
      <c r="A60" s="28" t="s">
        <v>45</v>
      </c>
      <c r="B60" s="20"/>
      <c r="C60" s="20"/>
      <c r="D60" s="20"/>
      <c r="E60" s="40"/>
      <c r="F60" s="20" t="s">
        <v>38</v>
      </c>
      <c r="G60" s="21">
        <v>4481706</v>
      </c>
      <c r="H60" s="21"/>
      <c r="I60" s="88"/>
      <c r="J60" s="88"/>
      <c r="K60" s="88"/>
      <c r="L60" s="22">
        <v>1.038875</v>
      </c>
      <c r="M60" s="23">
        <f t="shared" si="16"/>
        <v>4655932.32075</v>
      </c>
      <c r="N60" s="12"/>
      <c r="O60" s="12"/>
      <c r="P60" s="27"/>
      <c r="Q60" s="12">
        <f ca="1">M60/$M$88</f>
        <v>1.5491391601741987E-3</v>
      </c>
      <c r="R60" s="30"/>
      <c r="S60" s="77"/>
    </row>
    <row r="61" spans="1:19" x14ac:dyDescent="0.25">
      <c r="A61" s="28" t="s">
        <v>85</v>
      </c>
      <c r="B61" s="20"/>
      <c r="C61" s="20"/>
      <c r="D61" s="20"/>
      <c r="E61" s="40"/>
      <c r="F61" s="20" t="s">
        <v>82</v>
      </c>
      <c r="G61" s="21">
        <v>71574.51999999999</v>
      </c>
      <c r="H61" s="21"/>
      <c r="I61" s="88"/>
      <c r="J61" s="88"/>
      <c r="K61" s="88"/>
      <c r="L61" s="22">
        <v>6.8114249999999998</v>
      </c>
      <c r="M61" s="23">
        <f t="shared" si="16"/>
        <v>487524.4748909999</v>
      </c>
      <c r="N61" s="12"/>
      <c r="O61" s="12"/>
      <c r="P61" s="27"/>
      <c r="Q61" s="12">
        <f ca="1">M61/$M$88</f>
        <v>1.6221096089200727E-4</v>
      </c>
      <c r="R61" s="30"/>
      <c r="S61" s="77"/>
    </row>
    <row r="62" spans="1:19" s="29" customFormat="1" x14ac:dyDescent="0.25">
      <c r="A62" s="28" t="s">
        <v>86</v>
      </c>
      <c r="B62" s="20"/>
      <c r="C62" s="20"/>
      <c r="D62" s="20"/>
      <c r="E62" s="40"/>
      <c r="F62" s="20" t="s">
        <v>82</v>
      </c>
      <c r="G62" s="21">
        <v>3222.9952999999887</v>
      </c>
      <c r="H62" s="21"/>
      <c r="I62" s="88"/>
      <c r="J62" s="88"/>
      <c r="K62" s="88"/>
      <c r="L62" s="22">
        <v>4.1829499999999999</v>
      </c>
      <c r="M62" s="23">
        <f t="shared" si="16"/>
        <v>13481.628190134952</v>
      </c>
      <c r="N62" s="12"/>
      <c r="O62" s="12"/>
      <c r="P62" s="27"/>
      <c r="Q62" s="12">
        <f ca="1">M62/$M$88</f>
        <v>4.4856575941125836E-6</v>
      </c>
      <c r="R62" s="30"/>
      <c r="S62" s="77"/>
    </row>
    <row r="63" spans="1:19" s="29" customFormat="1" x14ac:dyDescent="0.25">
      <c r="A63" s="28" t="s">
        <v>40</v>
      </c>
      <c r="B63" s="20"/>
      <c r="C63" s="20"/>
      <c r="D63" s="20"/>
      <c r="E63" s="40"/>
      <c r="F63" s="20" t="s">
        <v>82</v>
      </c>
      <c r="G63" s="21">
        <v>14719120.124300003</v>
      </c>
      <c r="H63" s="21"/>
      <c r="I63" s="88"/>
      <c r="J63" s="88"/>
      <c r="K63" s="88"/>
      <c r="L63" s="22">
        <v>6.1210170000000002</v>
      </c>
      <c r="M63" s="23">
        <f t="shared" si="16"/>
        <v>90095984.505882427</v>
      </c>
      <c r="N63" s="12"/>
      <c r="O63" s="12"/>
      <c r="P63" s="27"/>
      <c r="Q63" s="12">
        <f ca="1">M63/$M$88</f>
        <v>2.9977071863885582E-2</v>
      </c>
      <c r="R63" s="30"/>
      <c r="S63" s="77"/>
    </row>
    <row r="64" spans="1:19" s="29" customFormat="1" x14ac:dyDescent="0.25">
      <c r="A64" s="28" t="s">
        <v>87</v>
      </c>
      <c r="B64" s="20"/>
      <c r="C64" s="20"/>
      <c r="D64" s="20"/>
      <c r="E64" s="40"/>
      <c r="F64" s="20" t="s">
        <v>82</v>
      </c>
      <c r="G64" s="21">
        <v>7826</v>
      </c>
      <c r="H64" s="21"/>
      <c r="I64" s="88"/>
      <c r="J64" s="88"/>
      <c r="K64" s="88"/>
      <c r="L64" s="22">
        <v>4.1061710000000007</v>
      </c>
      <c r="M64" s="23">
        <f t="shared" si="16"/>
        <v>32134.894246000007</v>
      </c>
      <c r="N64" s="12"/>
      <c r="O64" s="12"/>
      <c r="P64" s="27"/>
      <c r="Q64" s="12">
        <f ca="1">M64/$M$88</f>
        <v>1.0692041819997098E-5</v>
      </c>
      <c r="R64" s="30"/>
      <c r="S64" s="77"/>
    </row>
    <row r="65" spans="1:19" x14ac:dyDescent="0.25">
      <c r="A65" s="32" t="s">
        <v>88</v>
      </c>
      <c r="B65" s="32"/>
      <c r="C65" s="32"/>
      <c r="D65" s="32"/>
      <c r="E65" s="33"/>
      <c r="F65" s="32"/>
      <c r="G65" s="34"/>
      <c r="H65" s="34"/>
      <c r="I65" s="34"/>
      <c r="J65" s="34"/>
      <c r="K65" s="34"/>
      <c r="L65" s="35"/>
      <c r="M65" s="34"/>
      <c r="N65" s="37"/>
      <c r="O65" s="37"/>
      <c r="P65" s="38"/>
      <c r="Q65" s="53"/>
      <c r="R65" s="30"/>
      <c r="S65" s="77"/>
    </row>
    <row r="66" spans="1:19" x14ac:dyDescent="0.25">
      <c r="A66" s="54" t="s">
        <v>84</v>
      </c>
      <c r="B66" s="20"/>
      <c r="C66" s="20"/>
      <c r="D66" s="20"/>
      <c r="E66" s="40"/>
      <c r="F66" s="20"/>
      <c r="G66" s="21"/>
      <c r="H66" s="21"/>
      <c r="I66" s="21"/>
      <c r="J66" s="21"/>
      <c r="K66" s="21"/>
      <c r="L66" s="22"/>
      <c r="M66" s="23"/>
      <c r="N66" s="12"/>
      <c r="O66" s="12"/>
      <c r="P66" s="27"/>
      <c r="Q66" s="12"/>
      <c r="R66" s="30"/>
      <c r="S66" s="77"/>
    </row>
    <row r="67" spans="1:19" x14ac:dyDescent="0.25">
      <c r="A67" s="28" t="s">
        <v>89</v>
      </c>
      <c r="B67" s="20"/>
      <c r="C67" s="20"/>
      <c r="D67" s="20"/>
      <c r="E67" s="40"/>
      <c r="F67" s="20" t="s">
        <v>13</v>
      </c>
      <c r="G67" s="21"/>
      <c r="H67" s="21"/>
      <c r="I67" s="88"/>
      <c r="J67" s="88"/>
      <c r="K67" s="88"/>
      <c r="L67" s="22">
        <f ca="1">OFFSET(FCI!$A$1,34-1,MATCH(A67,FCI!$1:$1,0)-1)</f>
        <v>0.63544999999999996</v>
      </c>
      <c r="M67" s="23">
        <f ca="1">+G67*L67</f>
        <v>0</v>
      </c>
      <c r="N67" s="12"/>
      <c r="O67" s="12"/>
      <c r="P67" s="27"/>
      <c r="Q67" s="12">
        <f ca="1">M67/$M$88</f>
        <v>0</v>
      </c>
      <c r="R67" s="30"/>
      <c r="S67" s="77"/>
    </row>
    <row r="68" spans="1:19" x14ac:dyDescent="0.25">
      <c r="A68" s="28" t="s">
        <v>64</v>
      </c>
      <c r="B68" s="18"/>
      <c r="C68" s="18"/>
      <c r="D68" s="18"/>
      <c r="E68" s="19"/>
      <c r="F68" s="20" t="s">
        <v>13</v>
      </c>
      <c r="G68" s="21"/>
      <c r="H68" s="21"/>
      <c r="I68" s="88"/>
      <c r="J68" s="88"/>
      <c r="K68" s="88"/>
      <c r="L68" s="22">
        <f ca="1">OFFSET(FCI!$A$1,34-1,MATCH(A68,FCI!$1:$1,0)-1)</f>
        <v>3.2946270000000002</v>
      </c>
      <c r="M68" s="23">
        <f ca="1">+G68*L68</f>
        <v>0</v>
      </c>
      <c r="N68" s="12"/>
      <c r="O68" s="12"/>
      <c r="P68" s="27"/>
      <c r="Q68" s="12">
        <f ca="1">M68/$M$88</f>
        <v>0</v>
      </c>
      <c r="R68" s="30"/>
      <c r="S68" s="77"/>
    </row>
    <row r="69" spans="1:19" x14ac:dyDescent="0.25">
      <c r="A69" s="54" t="s">
        <v>91</v>
      </c>
      <c r="B69" s="18"/>
      <c r="C69" s="18"/>
      <c r="D69" s="18"/>
      <c r="E69" s="19"/>
      <c r="F69" s="20"/>
      <c r="G69" s="21"/>
      <c r="H69" s="21"/>
      <c r="I69" s="21"/>
      <c r="J69" s="21"/>
      <c r="K69" s="21"/>
      <c r="L69" s="22"/>
      <c r="M69" s="23"/>
      <c r="N69" s="12"/>
      <c r="O69" s="12"/>
      <c r="P69" s="27"/>
      <c r="Q69" s="12"/>
      <c r="R69" s="30"/>
      <c r="S69" s="77"/>
    </row>
    <row r="70" spans="1:19" x14ac:dyDescent="0.25">
      <c r="A70" s="28" t="s">
        <v>92</v>
      </c>
      <c r="B70" s="18" t="str">
        <f>VLOOKUP(A70,'Identidad de Codigos'!A:C,2,FALSE)</f>
        <v>ARIPSA050207</v>
      </c>
      <c r="C70" s="81">
        <f>VLOOKUP(A70,'Identidad de Codigos'!A:C,3,FALSE)</f>
        <v>38678</v>
      </c>
      <c r="D70" s="18">
        <v>3.7400000000000003E-2</v>
      </c>
      <c r="E70" s="55"/>
      <c r="F70" s="20" t="s">
        <v>13</v>
      </c>
      <c r="G70" s="21">
        <v>19000000</v>
      </c>
      <c r="H70" s="21">
        <f t="shared" ref="H70:H75" si="17">G70-SUM(I70:K70)</f>
        <v>0</v>
      </c>
      <c r="I70" s="88">
        <f>IF(ISERROR(VLOOKUP(C70,'Pos Tit Sura'!B:D,3,FALSE))=TRUE,"",VLOOKUP(C70,'Pos Tit Sura'!B:D,3,FALSE))</f>
        <v>19000000</v>
      </c>
      <c r="J70" s="88"/>
      <c r="K70" s="88"/>
      <c r="L70" s="22">
        <v>0</v>
      </c>
      <c r="M70" s="23">
        <f t="shared" ref="M70:M75" si="18">+G70*L70/100</f>
        <v>0</v>
      </c>
      <c r="N70" s="12"/>
      <c r="O70" s="12"/>
      <c r="P70" s="27"/>
      <c r="Q70" s="12">
        <f t="shared" ref="Q70:Q75" ca="1" si="19">M70/$M$88</f>
        <v>0</v>
      </c>
      <c r="R70" s="30"/>
      <c r="S70" s="77"/>
    </row>
    <row r="71" spans="1:19" x14ac:dyDescent="0.25">
      <c r="A71" s="28" t="s">
        <v>93</v>
      </c>
      <c r="B71" s="18" t="str">
        <f>VLOOKUP(A71,'Identidad de Codigos'!A:C,2,FALSE)</f>
        <v>ARIPSA050215</v>
      </c>
      <c r="C71" s="81">
        <f>VLOOKUP(A71,'Identidad de Codigos'!A:C,3,FALSE)</f>
        <v>38679</v>
      </c>
      <c r="D71" s="18">
        <v>0.03</v>
      </c>
      <c r="E71" s="55"/>
      <c r="F71" s="20" t="s">
        <v>13</v>
      </c>
      <c r="G71" s="21">
        <v>3700000</v>
      </c>
      <c r="H71" s="21">
        <f t="shared" si="17"/>
        <v>0</v>
      </c>
      <c r="I71" s="88">
        <f>IF(ISERROR(VLOOKUP(C71,'Pos Tit Sura'!B:D,3,FALSE))=TRUE,"",VLOOKUP(C71,'Pos Tit Sura'!B:D,3,FALSE))</f>
        <v>3700000</v>
      </c>
      <c r="J71" s="88"/>
      <c r="K71" s="88"/>
      <c r="L71" s="22">
        <v>0</v>
      </c>
      <c r="M71" s="23">
        <f t="shared" si="18"/>
        <v>0</v>
      </c>
      <c r="N71" s="12"/>
      <c r="O71" s="12"/>
      <c r="P71" s="27"/>
      <c r="Q71" s="12">
        <f t="shared" ca="1" si="19"/>
        <v>0</v>
      </c>
      <c r="R71" s="30"/>
      <c r="S71" s="77"/>
    </row>
    <row r="72" spans="1:19" x14ac:dyDescent="0.25">
      <c r="A72" s="28" t="s">
        <v>197</v>
      </c>
      <c r="B72" s="18" t="str">
        <f>VLOOKUP(A72,'Identidad de Codigos'!A:C,2,FALSE)</f>
        <v>ARYPFS560010</v>
      </c>
      <c r="C72" s="81">
        <f>VLOOKUP(A72,'Identidad de Codigos'!A:C,3,FALSE)</f>
        <v>50108</v>
      </c>
      <c r="D72" s="18">
        <v>4.7399999999999998E-2</v>
      </c>
      <c r="E72" s="55">
        <v>43871</v>
      </c>
      <c r="F72" s="20" t="s">
        <v>13</v>
      </c>
      <c r="G72" s="21">
        <v>29755000</v>
      </c>
      <c r="H72" s="21">
        <f t="shared" si="17"/>
        <v>0</v>
      </c>
      <c r="I72" s="88">
        <f>IF(ISERROR(VLOOKUP(C72,'Pos Tit Sura'!B:D,3,FALSE))=TRUE,"",VLOOKUP(C72,'Pos Tit Sura'!B:D,3,FALSE))</f>
        <v>29755000</v>
      </c>
      <c r="J72" s="88"/>
      <c r="K72" s="88"/>
      <c r="L72" s="22">
        <f>VLOOKUP(A72,'Precios para Valuar'!$C:$Q,5,FALSE)</f>
        <v>111.52691508720935</v>
      </c>
      <c r="M72" s="23">
        <f t="shared" si="18"/>
        <v>33184833.584199142</v>
      </c>
      <c r="N72" s="26">
        <f>VLOOKUP(A72,'Precios para Valuar'!C:AH,6,FALSE)</f>
        <v>3.2380539405027942E-2</v>
      </c>
      <c r="O72" s="26">
        <f>+N72+Badlar</f>
        <v>0.26375553940502794</v>
      </c>
      <c r="P72" s="27">
        <f>VLOOKUP(A72,'Precios para Valuar'!C:AK,9,FALSE)</f>
        <v>1.7322287375378611</v>
      </c>
      <c r="Q72" s="12">
        <f t="shared" ca="1" si="19"/>
        <v>1.10413815510243E-2</v>
      </c>
      <c r="R72" s="23"/>
      <c r="S72" s="77" t="str">
        <f>VLOOKUP(A72,'Precios para Valuar'!$C:$AB,8,FALSE)</f>
        <v>devengado</v>
      </c>
    </row>
    <row r="73" spans="1:19" x14ac:dyDescent="0.25">
      <c r="A73" s="28" t="s">
        <v>195</v>
      </c>
      <c r="B73" s="18" t="str">
        <f>VLOOKUP(A73,'Identidad de Codigos'!A:C,2,FALSE)</f>
        <v>ARPANE560055</v>
      </c>
      <c r="C73" s="81">
        <f>VLOOKUP(A73,'Identidad de Codigos'!A:C,3,FALSE)</f>
        <v>51035</v>
      </c>
      <c r="D73" s="18" t="s">
        <v>94</v>
      </c>
      <c r="E73" s="55">
        <v>44155</v>
      </c>
      <c r="F73" s="20" t="s">
        <v>13</v>
      </c>
      <c r="G73" s="21">
        <v>7344309</v>
      </c>
      <c r="H73" s="21">
        <f t="shared" si="17"/>
        <v>0</v>
      </c>
      <c r="I73" s="88">
        <f>IF(ISERROR(VLOOKUP(C73,'Pos Tit Sura'!B:D,3,FALSE))=TRUE,"",VLOOKUP(C73,'Pos Tit Sura'!B:D,3,FALSE))</f>
        <v>7344309</v>
      </c>
      <c r="J73" s="88"/>
      <c r="K73" s="88"/>
      <c r="L73" s="22">
        <f>VLOOKUP(A73,'Precios para Valuar'!$C:$Q,5,FALSE)</f>
        <v>96.169312550670043</v>
      </c>
      <c r="M73" s="23">
        <f t="shared" si="18"/>
        <v>7062971.4768969892</v>
      </c>
      <c r="N73" s="26">
        <f>VLOOKUP(A73,'Precios para Valuar'!C:AH,6,FALSE)</f>
        <v>3.3167983770747755E-2</v>
      </c>
      <c r="O73" s="26">
        <f>+N73+Badlar</f>
        <v>0.26454298377074775</v>
      </c>
      <c r="P73" s="27">
        <f>VLOOKUP(A73,'Precios para Valuar'!C:AK,9,FALSE)</f>
        <v>2.1250073487669749</v>
      </c>
      <c r="Q73" s="12">
        <f t="shared" ca="1" si="19"/>
        <v>2.3500182022173398E-3</v>
      </c>
      <c r="R73" s="23"/>
      <c r="S73" s="77" t="str">
        <f>VLOOKUP(A73,'Precios para Valuar'!$C:$AB,8,FALSE)</f>
        <v>devengado</v>
      </c>
    </row>
    <row r="74" spans="1:19" x14ac:dyDescent="0.25">
      <c r="A74" s="28" t="s">
        <v>196</v>
      </c>
      <c r="B74" s="18" t="str">
        <f>VLOOKUP(A74,'Identidad de Codigos'!A:C,2,FALSE)</f>
        <v>ARPANE560063</v>
      </c>
      <c r="C74" s="81">
        <f>VLOOKUP(A74,'Identidad de Codigos'!A:C,3,FALSE)</f>
        <v>51097</v>
      </c>
      <c r="D74" s="18" t="s">
        <v>94</v>
      </c>
      <c r="E74" s="55">
        <v>44175</v>
      </c>
      <c r="F74" s="20" t="s">
        <v>13</v>
      </c>
      <c r="G74" s="21">
        <v>13763244</v>
      </c>
      <c r="H74" s="21">
        <f t="shared" si="17"/>
        <v>0</v>
      </c>
      <c r="I74" s="88">
        <f>IF(ISERROR(VLOOKUP(C74,'Pos Tit Sura'!B:D,3,FALSE))=TRUE,"",VLOOKUP(C74,'Pos Tit Sura'!B:D,3,FALSE))</f>
        <v>13763244</v>
      </c>
      <c r="J74" s="88"/>
      <c r="K74" s="88"/>
      <c r="L74" s="22">
        <f>VLOOKUP(A74,'Precios para Valuar'!$C:$Q,5,FALSE)</f>
        <v>94.742870834945464</v>
      </c>
      <c r="M74" s="23">
        <f t="shared" si="18"/>
        <v>13039692.485618381</v>
      </c>
      <c r="N74" s="26">
        <f>VLOOKUP(A74,'Precios para Valuar'!C:AH,6,FALSE)</f>
        <v>3.3371875919469218E-2</v>
      </c>
      <c r="O74" s="26">
        <f>+N74+Badlar</f>
        <v>0.26474687591946922</v>
      </c>
      <c r="P74" s="27">
        <f>VLOOKUP(A74,'Precios para Valuar'!C:AK,9,FALSE)</f>
        <v>2.1849964690731989</v>
      </c>
      <c r="Q74" s="12">
        <f t="shared" ca="1" si="19"/>
        <v>4.338615098865249E-3</v>
      </c>
      <c r="R74" s="23"/>
      <c r="S74" s="77" t="str">
        <f>VLOOKUP(A74,'Precios para Valuar'!$C:$AB,8,FALSE)</f>
        <v>devengado</v>
      </c>
    </row>
    <row r="75" spans="1:19" x14ac:dyDescent="0.25">
      <c r="A75" s="28" t="s">
        <v>90</v>
      </c>
      <c r="B75" s="18" t="str">
        <f>VLOOKUP(A75,'Identidad de Codigos'!A:C,2,FALSE)</f>
        <v>ARYPFS560085</v>
      </c>
      <c r="C75" s="81">
        <f>VLOOKUP(A75,'Identidad de Codigos'!A:C,3,FALSE)</f>
        <v>50879</v>
      </c>
      <c r="D75" s="18" t="s">
        <v>94</v>
      </c>
      <c r="E75" s="55">
        <v>44094</v>
      </c>
      <c r="F75" s="20" t="s">
        <v>13</v>
      </c>
      <c r="G75" s="21">
        <v>5803165</v>
      </c>
      <c r="H75" s="21">
        <f t="shared" si="17"/>
        <v>0</v>
      </c>
      <c r="I75" s="88">
        <f>IF(ISERROR(VLOOKUP(C75,'Pos Tit Sura'!B:D,3,FALSE))=TRUE,"",VLOOKUP(C75,'Pos Tit Sura'!B:D,3,FALSE))</f>
        <v>5803165</v>
      </c>
      <c r="J75" s="88"/>
      <c r="K75" s="88"/>
      <c r="L75" s="22">
        <f>VLOOKUP(A75,'Precios para Valuar'!$C:$Q,5,FALSE)</f>
        <v>99.862447116145105</v>
      </c>
      <c r="M75" s="23">
        <f t="shared" si="18"/>
        <v>5795182.5791876428</v>
      </c>
      <c r="N75" s="26">
        <f>VLOOKUP(A75,'Precios para Valuar'!C:AH,6,FALSE)</f>
        <v>4.0344561352739838E-2</v>
      </c>
      <c r="O75" s="26">
        <f>+N75+Badlar</f>
        <v>0.27171956135273984</v>
      </c>
      <c r="P75" s="27"/>
      <c r="Q75" s="12">
        <f t="shared" ca="1" si="19"/>
        <v>1.9281947535553408E-3</v>
      </c>
      <c r="R75" s="23"/>
      <c r="S75" s="77" t="str">
        <f>VLOOKUP(A75,'Precios para Valuar'!$C:$AB,8,FALSE)</f>
        <v>devengado</v>
      </c>
    </row>
    <row r="76" spans="1:19" x14ac:dyDescent="0.25">
      <c r="A76" s="54" t="s">
        <v>95</v>
      </c>
      <c r="B76" s="18"/>
      <c r="C76" s="18"/>
      <c r="D76" s="18"/>
      <c r="E76" s="55"/>
      <c r="F76" s="20"/>
      <c r="G76" s="21"/>
      <c r="H76" s="21"/>
      <c r="I76" s="21"/>
      <c r="J76" s="21"/>
      <c r="K76" s="21"/>
      <c r="L76" s="22"/>
      <c r="M76" s="23"/>
      <c r="N76" s="12"/>
      <c r="O76" s="12"/>
      <c r="P76" s="27"/>
      <c r="Q76" s="12"/>
      <c r="R76" s="30"/>
      <c r="S76" s="77"/>
    </row>
    <row r="77" spans="1:19" x14ac:dyDescent="0.25">
      <c r="A77" s="28" t="s">
        <v>80</v>
      </c>
      <c r="B77" s="18" t="str">
        <f>VLOOKUP(A77,'Identidad de Codigos'!A:C,2,FALSE)</f>
        <v>USP989MJAY76</v>
      </c>
      <c r="C77" s="81">
        <f>VLOOKUP(A77,'Identidad de Codigos'!A:C,3,FALSE)</f>
        <v>90154</v>
      </c>
      <c r="D77" s="18"/>
      <c r="E77" s="55">
        <v>45386</v>
      </c>
      <c r="F77" s="20" t="s">
        <v>38</v>
      </c>
      <c r="G77" s="21">
        <v>1507000</v>
      </c>
      <c r="H77" s="21">
        <f>G77-SUM(I77:K77)</f>
        <v>0</v>
      </c>
      <c r="I77" s="88">
        <f>IF(ISERROR(VLOOKUP(C77,'Pos Tit Sura'!B:D,3,FALSE))=TRUE,"",VLOOKUP(C77,'Pos Tit Sura'!B:D,3,FALSE))</f>
        <v>1507000</v>
      </c>
      <c r="J77" s="88"/>
      <c r="K77" s="88"/>
      <c r="L77" s="116">
        <f>VLOOKUP(A77,'Precios para Valuar'!$C:$Q,5,FALSE)</f>
        <v>2139.999983485814</v>
      </c>
      <c r="M77" s="23">
        <f>+G77*L77/100</f>
        <v>32249799.751131214</v>
      </c>
      <c r="N77" s="26">
        <f>VLOOKUP(A77,'Precios para Valuar'!C:AH,6,FALSE)</f>
        <v>5.9915411494822823E-2</v>
      </c>
      <c r="O77" s="26">
        <f>N77+Dev</f>
        <v>0.16991541149482281</v>
      </c>
      <c r="P77" s="27">
        <f>VLOOKUP(A77,'Precios para Valuar'!C:AK,9,FALSE)</f>
        <v>4.2993875666554171</v>
      </c>
      <c r="Q77" s="12">
        <f ca="1">M77/$M$88</f>
        <v>1.0730273608059188E-2</v>
      </c>
      <c r="R77" s="23"/>
      <c r="S77" s="77" t="str">
        <f>VLOOKUP(A77,'Precios para Valuar'!$C:$AB,8,FALSE)</f>
        <v>devengado</v>
      </c>
    </row>
    <row r="78" spans="1:19" x14ac:dyDescent="0.25">
      <c r="A78" s="32" t="s">
        <v>96</v>
      </c>
      <c r="B78" s="48"/>
      <c r="C78" s="48"/>
      <c r="D78" s="48"/>
      <c r="E78" s="33"/>
      <c r="F78" s="48"/>
      <c r="G78" s="34"/>
      <c r="H78" s="34"/>
      <c r="I78" s="34"/>
      <c r="J78" s="34"/>
      <c r="K78" s="34"/>
      <c r="L78" s="35"/>
      <c r="M78" s="36"/>
      <c r="N78" s="37"/>
      <c r="O78" s="37"/>
      <c r="P78" s="38"/>
      <c r="Q78" s="39"/>
      <c r="R78" s="21"/>
      <c r="S78" s="77"/>
    </row>
    <row r="79" spans="1:19" x14ac:dyDescent="0.25">
      <c r="A79" s="54" t="s">
        <v>84</v>
      </c>
      <c r="B79" s="18"/>
      <c r="C79" s="18"/>
      <c r="D79" s="18"/>
      <c r="E79" s="19"/>
      <c r="F79" s="20"/>
      <c r="G79" s="21"/>
      <c r="H79" s="21"/>
      <c r="I79" s="21"/>
      <c r="J79" s="21"/>
      <c r="K79" s="21"/>
      <c r="L79" s="22"/>
      <c r="M79" s="23"/>
      <c r="N79" s="12"/>
      <c r="O79" s="12"/>
      <c r="P79" s="27"/>
      <c r="Q79" s="12"/>
      <c r="R79" s="30"/>
      <c r="S79" s="77"/>
    </row>
    <row r="80" spans="1:19" x14ac:dyDescent="0.25">
      <c r="A80" s="28" t="s">
        <v>72</v>
      </c>
      <c r="B80" s="18"/>
      <c r="C80" s="18"/>
      <c r="D80" s="18"/>
      <c r="E80" s="19"/>
      <c r="F80" s="20" t="s">
        <v>13</v>
      </c>
      <c r="G80" s="21"/>
      <c r="H80" s="21"/>
      <c r="I80" s="88"/>
      <c r="J80" s="88"/>
      <c r="K80" s="88"/>
      <c r="L80" s="22">
        <f ca="1">OFFSET(FCI!$A$1,34-1,MATCH(A80,FCI!$1:$1,0)-1)</f>
        <v>3.1022530000000001</v>
      </c>
      <c r="M80" s="23">
        <f ca="1">+G80*L80</f>
        <v>0</v>
      </c>
      <c r="N80" s="12"/>
      <c r="O80" s="12"/>
      <c r="P80" s="27"/>
      <c r="Q80" s="12">
        <f ca="1">M80/$M$88</f>
        <v>0</v>
      </c>
      <c r="R80" s="30"/>
      <c r="S80" s="77"/>
    </row>
    <row r="81" spans="1:19" x14ac:dyDescent="0.25">
      <c r="A81" s="28" t="s">
        <v>83</v>
      </c>
      <c r="B81" s="18"/>
      <c r="C81" s="18"/>
      <c r="D81" s="18"/>
      <c r="E81" s="19"/>
      <c r="F81" s="20" t="s">
        <v>13</v>
      </c>
      <c r="G81" s="21"/>
      <c r="H81" s="21"/>
      <c r="I81" s="88"/>
      <c r="J81" s="88"/>
      <c r="K81" s="88"/>
      <c r="L81" s="22">
        <f ca="1">OFFSET(FCI!$A$1,34-1,MATCH(A81,FCI!$1:$1,0)-1)</f>
        <v>3.2196579999999999</v>
      </c>
      <c r="M81" s="23">
        <f ca="1">+G81*L81</f>
        <v>0</v>
      </c>
      <c r="N81" s="12"/>
      <c r="O81" s="12"/>
      <c r="P81" s="27"/>
      <c r="Q81" s="12">
        <f ca="1">M81/$M$88</f>
        <v>0</v>
      </c>
      <c r="R81" s="28"/>
      <c r="S81" s="77"/>
    </row>
    <row r="82" spans="1:19" x14ac:dyDescent="0.25">
      <c r="A82" s="28" t="s">
        <v>60</v>
      </c>
      <c r="B82" s="18"/>
      <c r="C82" s="18"/>
      <c r="D82" s="18"/>
      <c r="E82" s="19"/>
      <c r="F82" s="20" t="s">
        <v>13</v>
      </c>
      <c r="G82" s="21"/>
      <c r="H82" s="21"/>
      <c r="I82" s="88"/>
      <c r="J82" s="88"/>
      <c r="K82" s="88"/>
      <c r="L82" s="22">
        <f ca="1">OFFSET(FCI!$A$1,34-1,MATCH(A82,FCI!$1:$1,0)-1)</f>
        <v>0.332036</v>
      </c>
      <c r="M82" s="23">
        <f ca="1">+G82*L82</f>
        <v>0</v>
      </c>
      <c r="N82" s="12"/>
      <c r="O82" s="12"/>
      <c r="P82" s="27"/>
      <c r="Q82" s="12">
        <f ca="1">M82/$M$88</f>
        <v>0</v>
      </c>
      <c r="R82" s="28"/>
      <c r="S82" s="77"/>
    </row>
    <row r="83" spans="1:19" x14ac:dyDescent="0.25">
      <c r="A83" s="32" t="s">
        <v>98</v>
      </c>
      <c r="B83" s="48"/>
      <c r="C83" s="48"/>
      <c r="D83" s="48"/>
      <c r="E83" s="33"/>
      <c r="F83" s="48"/>
      <c r="G83" s="34"/>
      <c r="H83" s="34"/>
      <c r="I83" s="34"/>
      <c r="J83" s="34"/>
      <c r="K83" s="34"/>
      <c r="L83" s="35"/>
      <c r="M83" s="36"/>
      <c r="N83" s="37"/>
      <c r="O83" s="37"/>
      <c r="P83" s="38"/>
      <c r="Q83" s="39"/>
      <c r="R83" s="28"/>
      <c r="S83" s="77"/>
    </row>
    <row r="84" spans="1:19" x14ac:dyDescent="0.25">
      <c r="A84" s="28" t="s">
        <v>32</v>
      </c>
      <c r="B84" s="28"/>
      <c r="C84" s="28"/>
      <c r="D84" s="28"/>
      <c r="E84" s="28"/>
      <c r="F84" s="20" t="s">
        <v>38</v>
      </c>
      <c r="G84" s="30">
        <v>0</v>
      </c>
      <c r="H84" s="30"/>
      <c r="I84" s="89"/>
      <c r="J84" s="89"/>
      <c r="K84" s="89"/>
      <c r="L84" s="22">
        <v>18.649000000000001</v>
      </c>
      <c r="M84" s="23">
        <v>0</v>
      </c>
      <c r="N84" s="56"/>
      <c r="O84" s="56"/>
      <c r="P84" s="27"/>
      <c r="Q84" s="12">
        <f ca="1">M84/$M$88</f>
        <v>0</v>
      </c>
      <c r="R84" s="28"/>
      <c r="S84" s="77"/>
    </row>
    <row r="85" spans="1:19" x14ac:dyDescent="0.25">
      <c r="A85" s="28" t="s">
        <v>32</v>
      </c>
      <c r="B85" s="28"/>
      <c r="C85" s="28"/>
      <c r="D85" s="28"/>
      <c r="E85" s="28"/>
      <c r="F85" s="20" t="s">
        <v>82</v>
      </c>
      <c r="G85" s="30">
        <v>0</v>
      </c>
      <c r="H85" s="30"/>
      <c r="I85" s="89"/>
      <c r="J85" s="89"/>
      <c r="K85" s="89"/>
      <c r="L85" s="22">
        <v>1</v>
      </c>
      <c r="M85" s="23">
        <v>0</v>
      </c>
      <c r="N85" s="56"/>
      <c r="O85" s="56"/>
      <c r="P85" s="27"/>
      <c r="Q85" s="12">
        <f ca="1">M85/$M$88</f>
        <v>0</v>
      </c>
      <c r="R85" s="28"/>
      <c r="S85" s="77"/>
    </row>
    <row r="86" spans="1:19" x14ac:dyDescent="0.25">
      <c r="A86" s="5" t="s">
        <v>97</v>
      </c>
      <c r="B86" s="28"/>
      <c r="C86" s="28"/>
      <c r="D86" s="28"/>
      <c r="E86" s="28"/>
      <c r="F86" s="20" t="s">
        <v>82</v>
      </c>
      <c r="G86" s="30">
        <v>0</v>
      </c>
      <c r="H86" s="30"/>
      <c r="I86" s="89"/>
      <c r="J86" s="89"/>
      <c r="K86" s="89"/>
      <c r="L86" s="22">
        <v>1</v>
      </c>
      <c r="M86" s="23">
        <v>0</v>
      </c>
      <c r="N86" s="56"/>
      <c r="O86" s="56"/>
      <c r="P86" s="27"/>
      <c r="Q86" s="12">
        <f ca="1">M86/$M$88</f>
        <v>0</v>
      </c>
      <c r="R86" s="28"/>
      <c r="S86" s="77"/>
    </row>
    <row r="87" spans="1:19" x14ac:dyDescent="0.25">
      <c r="A87" s="28"/>
      <c r="B87" s="28"/>
      <c r="C87" s="28"/>
      <c r="D87" s="28"/>
      <c r="E87" s="40"/>
      <c r="F87" s="28"/>
      <c r="G87" s="21"/>
      <c r="H87" s="21"/>
      <c r="I87" s="21"/>
      <c r="J87" s="21"/>
      <c r="K87" s="21"/>
      <c r="L87" s="22"/>
      <c r="M87" s="41"/>
      <c r="N87" s="57"/>
      <c r="O87" s="57"/>
      <c r="P87" s="43"/>
      <c r="Q87" s="44"/>
      <c r="R87" s="28"/>
      <c r="S87" s="77"/>
    </row>
    <row r="88" spans="1:19" x14ac:dyDescent="0.25">
      <c r="A88" s="58" t="s">
        <v>20</v>
      </c>
      <c r="B88" s="59"/>
      <c r="C88" s="59"/>
      <c r="D88" s="59"/>
      <c r="E88" s="59"/>
      <c r="F88" s="60"/>
      <c r="G88" s="61"/>
      <c r="H88" s="61"/>
      <c r="I88" s="61"/>
      <c r="J88" s="61"/>
      <c r="K88" s="61"/>
      <c r="L88" s="62"/>
      <c r="M88" s="63">
        <f ca="1">SUM(M5:M86)</f>
        <v>3005496497.9559655</v>
      </c>
      <c r="N88" s="64"/>
      <c r="O88" s="64" t="e">
        <f>SUMPRODUCT(O4:O87,Q4:Q87)</f>
        <v>#N/A</v>
      </c>
      <c r="P88" s="65" t="e">
        <f>SUMPRODUCT(P4:P87,Q4:Q87)</f>
        <v>#N/A</v>
      </c>
      <c r="Q88" s="66">
        <v>1</v>
      </c>
      <c r="R88" s="67"/>
      <c r="S88" s="80"/>
    </row>
    <row r="89" spans="1:19" x14ac:dyDescent="0.25">
      <c r="A89" s="28"/>
      <c r="B89" s="28"/>
      <c r="C89" s="28"/>
      <c r="D89" s="28"/>
      <c r="E89" s="28"/>
      <c r="F89" s="28"/>
      <c r="G89" s="68"/>
      <c r="H89" s="68"/>
      <c r="I89" s="68"/>
      <c r="J89" s="68"/>
      <c r="K89" s="68"/>
      <c r="L89" s="22"/>
      <c r="M89" s="30"/>
      <c r="N89" s="20"/>
      <c r="O89" s="20"/>
      <c r="P89" s="69"/>
      <c r="Q89" s="12"/>
      <c r="R89" s="28"/>
      <c r="S89" s="77"/>
    </row>
    <row r="90" spans="1:19" x14ac:dyDescent="0.25">
      <c r="A90" s="28"/>
      <c r="B90" s="28"/>
      <c r="C90" s="28"/>
      <c r="D90" s="28"/>
      <c r="E90" s="28"/>
      <c r="F90" s="28"/>
      <c r="G90" s="68"/>
      <c r="H90" s="68"/>
      <c r="I90" s="68"/>
      <c r="J90" s="68"/>
      <c r="K90" s="68"/>
      <c r="L90" s="22"/>
      <c r="M90" s="30"/>
      <c r="N90" s="20"/>
      <c r="O90" s="20"/>
      <c r="P90" s="69"/>
      <c r="Q90" s="12"/>
      <c r="R90" s="28"/>
      <c r="S90" s="77"/>
    </row>
    <row r="91" spans="1:19" x14ac:dyDescent="0.25">
      <c r="A91" s="28" t="s">
        <v>290</v>
      </c>
      <c r="B91" s="28"/>
      <c r="C91" s="28"/>
      <c r="D91" s="28"/>
      <c r="E91" s="28"/>
      <c r="F91" s="28"/>
      <c r="G91" s="68"/>
      <c r="H91" s="68"/>
      <c r="I91" s="68"/>
      <c r="J91" s="68"/>
      <c r="K91" s="68"/>
      <c r="L91" s="22"/>
      <c r="M91" s="30"/>
      <c r="N91" s="20"/>
      <c r="O91" s="20"/>
      <c r="P91" s="69"/>
      <c r="Q91" s="12"/>
      <c r="R91" s="28"/>
      <c r="S91" s="77"/>
    </row>
    <row r="92" spans="1:19" x14ac:dyDescent="0.25">
      <c r="A92" s="87" t="s">
        <v>287</v>
      </c>
      <c r="B92" s="114">
        <v>0.231375</v>
      </c>
      <c r="C92" s="87"/>
      <c r="D92" s="87"/>
      <c r="E92" s="87"/>
      <c r="F92" s="87"/>
      <c r="G92" s="68"/>
      <c r="H92" s="68"/>
      <c r="I92" s="68"/>
      <c r="J92" s="68"/>
      <c r="K92" s="68"/>
      <c r="L92" s="22"/>
      <c r="M92" s="30"/>
      <c r="N92" s="20"/>
      <c r="O92" s="20"/>
      <c r="P92" s="69"/>
      <c r="Q92" s="12"/>
      <c r="R92" s="87"/>
      <c r="S92" s="77"/>
    </row>
    <row r="93" spans="1:19" x14ac:dyDescent="0.25">
      <c r="A93" s="87" t="s">
        <v>288</v>
      </c>
      <c r="B93" s="114">
        <v>0.186</v>
      </c>
      <c r="C93" s="87"/>
      <c r="D93" s="87"/>
      <c r="E93" s="87"/>
      <c r="F93" s="87"/>
      <c r="G93" s="21"/>
      <c r="H93" s="21"/>
      <c r="I93" s="21"/>
      <c r="J93" s="21"/>
      <c r="K93" s="21"/>
      <c r="L93" s="22"/>
      <c r="M93" s="87"/>
      <c r="N93" s="20"/>
      <c r="O93" s="20"/>
      <c r="P93" s="69"/>
      <c r="Q93" s="12"/>
      <c r="R93" s="87"/>
      <c r="S93" s="77"/>
    </row>
    <row r="94" spans="1:19" x14ac:dyDescent="0.25">
      <c r="A94" s="87" t="s">
        <v>289</v>
      </c>
      <c r="B94" s="114">
        <v>0.11</v>
      </c>
      <c r="C94" s="87"/>
      <c r="D94" s="87"/>
      <c r="E94" s="87"/>
      <c r="F94" s="87"/>
      <c r="G94" s="21"/>
      <c r="H94" s="21"/>
      <c r="I94" s="21"/>
      <c r="J94" s="21"/>
      <c r="K94" s="21"/>
      <c r="L94" s="22"/>
      <c r="M94" s="87"/>
      <c r="N94" s="20"/>
      <c r="O94" s="20"/>
      <c r="P94" s="69"/>
      <c r="Q94" s="12"/>
      <c r="R94" s="87"/>
      <c r="S94" s="77"/>
    </row>
    <row r="95" spans="1:19" x14ac:dyDescent="0.25">
      <c r="A95" s="87"/>
      <c r="B95" s="87"/>
      <c r="C95" s="87"/>
      <c r="D95" s="87"/>
      <c r="E95" s="87"/>
      <c r="F95" s="87"/>
      <c r="G95" s="21"/>
      <c r="H95" s="21"/>
      <c r="I95" s="21"/>
      <c r="J95" s="21"/>
      <c r="K95" s="21"/>
      <c r="L95" s="22"/>
      <c r="M95" s="87"/>
      <c r="N95" s="20"/>
      <c r="O95" s="20"/>
      <c r="P95" s="69"/>
      <c r="Q95" s="12"/>
      <c r="R95" s="87"/>
      <c r="S95" s="77"/>
    </row>
  </sheetData>
  <conditionalFormatting sqref="E27 E31 E41:E42 E72 E14 E11 E77 E75 E46 E5:E9">
    <cfRule type="cellIs" dxfId="26" priority="34" operator="lessThan">
      <formula>#REF!</formula>
    </cfRule>
  </conditionalFormatting>
  <conditionalFormatting sqref="E28">
    <cfRule type="cellIs" dxfId="25" priority="32" operator="lessThanOrEqual">
      <formula>#REF!</formula>
    </cfRule>
  </conditionalFormatting>
  <conditionalFormatting sqref="E34:E36">
    <cfRule type="cellIs" dxfId="24" priority="31" operator="lessThanOrEqual">
      <formula>#REF!</formula>
    </cfRule>
  </conditionalFormatting>
  <conditionalFormatting sqref="E12:E13">
    <cfRule type="cellIs" dxfId="23" priority="30" operator="lessThan">
      <formula>#REF!</formula>
    </cfRule>
  </conditionalFormatting>
  <conditionalFormatting sqref="E29">
    <cfRule type="cellIs" dxfId="22" priority="28" operator="lessThanOrEqual">
      <formula>#REF!</formula>
    </cfRule>
  </conditionalFormatting>
  <conditionalFormatting sqref="E37">
    <cfRule type="cellIs" dxfId="21" priority="27" operator="lessThanOrEqual">
      <formula>#REF!</formula>
    </cfRule>
  </conditionalFormatting>
  <conditionalFormatting sqref="E55">
    <cfRule type="cellIs" dxfId="20" priority="26" operator="lessThan">
      <formula>#REF!</formula>
    </cfRule>
  </conditionalFormatting>
  <conditionalFormatting sqref="E39">
    <cfRule type="cellIs" dxfId="19" priority="25" operator="lessThanOrEqual">
      <formula>#REF!</formula>
    </cfRule>
  </conditionalFormatting>
  <conditionalFormatting sqref="E40">
    <cfRule type="cellIs" dxfId="18" priority="23" operator="lessThanOrEqual">
      <formula>#REF!</formula>
    </cfRule>
  </conditionalFormatting>
  <conditionalFormatting sqref="E30">
    <cfRule type="cellIs" dxfId="17" priority="22" operator="lessThanOrEqual">
      <formula>#REF!</formula>
    </cfRule>
  </conditionalFormatting>
  <conditionalFormatting sqref="E24">
    <cfRule type="cellIs" dxfId="16" priority="21" operator="lessThan">
      <formula>#REF!</formula>
    </cfRule>
  </conditionalFormatting>
  <conditionalFormatting sqref="E25:E26">
    <cfRule type="cellIs" dxfId="15" priority="20" operator="lessThanOrEqual">
      <formula>#REF!</formula>
    </cfRule>
  </conditionalFormatting>
  <conditionalFormatting sqref="E57">
    <cfRule type="cellIs" dxfId="14" priority="18" operator="lessThan">
      <formula>#REF!</formula>
    </cfRule>
  </conditionalFormatting>
  <conditionalFormatting sqref="E53">
    <cfRule type="cellIs" dxfId="13" priority="17" operator="lessThan">
      <formula>#REF!</formula>
    </cfRule>
  </conditionalFormatting>
  <conditionalFormatting sqref="E38">
    <cfRule type="cellIs" dxfId="12" priority="16" operator="lessThanOrEqual">
      <formula>#REF!</formula>
    </cfRule>
  </conditionalFormatting>
  <conditionalFormatting sqref="E10">
    <cfRule type="cellIs" dxfId="11" priority="14" operator="lessThanOrEqual">
      <formula>#REF!</formula>
    </cfRule>
  </conditionalFormatting>
  <conditionalFormatting sqref="E33">
    <cfRule type="cellIs" dxfId="10" priority="13" operator="lessThan">
      <formula>#REF!</formula>
    </cfRule>
  </conditionalFormatting>
  <conditionalFormatting sqref="E18:E19">
    <cfRule type="cellIs" dxfId="9" priority="12" operator="lessThan">
      <formula>#REF!</formula>
    </cfRule>
  </conditionalFormatting>
  <conditionalFormatting sqref="E19:E21">
    <cfRule type="cellIs" dxfId="8" priority="11" operator="lessThanOrEqual">
      <formula>#REF!</formula>
    </cfRule>
  </conditionalFormatting>
  <conditionalFormatting sqref="E48:E57">
    <cfRule type="cellIs" dxfId="7" priority="10" operator="lessThan">
      <formula>#REF!</formula>
    </cfRule>
  </conditionalFormatting>
  <conditionalFormatting sqref="E54">
    <cfRule type="cellIs" dxfId="6" priority="9" operator="lessThan">
      <formula>#REF!</formula>
    </cfRule>
  </conditionalFormatting>
  <conditionalFormatting sqref="E56">
    <cfRule type="cellIs" dxfId="5" priority="8" operator="lessThan">
      <formula>#REF!</formula>
    </cfRule>
  </conditionalFormatting>
  <conditionalFormatting sqref="E49:E52">
    <cfRule type="cellIs" dxfId="4" priority="5" operator="lessThan">
      <formula>#REF!</formula>
    </cfRule>
  </conditionalFormatting>
  <conditionalFormatting sqref="E32">
    <cfRule type="cellIs" dxfId="3" priority="4" operator="lessThan">
      <formula>#REF!</formula>
    </cfRule>
  </conditionalFormatting>
  <conditionalFormatting sqref="E43">
    <cfRule type="cellIs" dxfId="2" priority="3" operator="lessThanOrEqual">
      <formula>#REF!</formula>
    </cfRule>
  </conditionalFormatting>
  <conditionalFormatting sqref="E15">
    <cfRule type="cellIs" dxfId="1" priority="2" operator="lessThan">
      <formula>#REF!</formula>
    </cfRule>
  </conditionalFormatting>
  <conditionalFormatting sqref="E44:E45">
    <cfRule type="cellIs" dxfId="0" priority="1" operator="lessThanOrEqual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3"/>
  <sheetViews>
    <sheetView workbookViewId="0">
      <selection activeCell="Q10" sqref="Q10"/>
    </sheetView>
  </sheetViews>
  <sheetFormatPr baseColWidth="10" defaultRowHeight="15" x14ac:dyDescent="0.25"/>
  <sheetData>
    <row r="1" spans="1:20" x14ac:dyDescent="0.25">
      <c r="B1" s="86" t="s">
        <v>77</v>
      </c>
      <c r="C1" s="86" t="s">
        <v>45</v>
      </c>
      <c r="D1" s="86" t="s">
        <v>26</v>
      </c>
      <c r="E1" s="86" t="s">
        <v>85</v>
      </c>
      <c r="F1" s="85" t="s">
        <v>86</v>
      </c>
      <c r="G1" s="85" t="s">
        <v>40</v>
      </c>
      <c r="H1" s="85" t="s">
        <v>87</v>
      </c>
      <c r="I1" s="85" t="s">
        <v>89</v>
      </c>
      <c r="J1" s="85" t="s">
        <v>64</v>
      </c>
      <c r="K1" t="s">
        <v>72</v>
      </c>
      <c r="L1" t="s">
        <v>83</v>
      </c>
      <c r="M1" t="s">
        <v>60</v>
      </c>
      <c r="R1" s="94" t="s">
        <v>223</v>
      </c>
      <c r="S1" s="94"/>
      <c r="T1" s="94"/>
    </row>
    <row r="2" spans="1:20" x14ac:dyDescent="0.25">
      <c r="A2" t="s">
        <v>198</v>
      </c>
    </row>
    <row r="3" spans="1:20" x14ac:dyDescent="0.25">
      <c r="A3" t="s">
        <v>193</v>
      </c>
      <c r="B3" t="s">
        <v>194</v>
      </c>
      <c r="C3" t="s">
        <v>194</v>
      </c>
      <c r="D3" t="s">
        <v>194</v>
      </c>
      <c r="E3" t="s">
        <v>194</v>
      </c>
      <c r="F3" t="s">
        <v>194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</row>
    <row r="4" spans="1:20" x14ac:dyDescent="0.25">
      <c r="A4" s="82">
        <v>43145</v>
      </c>
      <c r="B4">
        <v>7.6886979999999996</v>
      </c>
      <c r="C4">
        <v>1.037933</v>
      </c>
      <c r="D4">
        <v>6.9018309999999996</v>
      </c>
      <c r="E4">
        <v>6.7438219999999998</v>
      </c>
      <c r="F4">
        <v>4.1428510000000003</v>
      </c>
      <c r="G4">
        <v>6.0613539999999997</v>
      </c>
      <c r="H4">
        <v>4.0656670000000004</v>
      </c>
      <c r="I4">
        <v>0.66227499999999995</v>
      </c>
      <c r="J4">
        <v>3.3889109999999998</v>
      </c>
      <c r="K4">
        <v>3.1772279999999999</v>
      </c>
      <c r="L4">
        <v>3.3123969999999998</v>
      </c>
      <c r="M4">
        <v>0.34244599999999997</v>
      </c>
    </row>
    <row r="5" spans="1:20" x14ac:dyDescent="0.25">
      <c r="A5" s="82">
        <v>43140</v>
      </c>
      <c r="B5">
        <v>7.6633969999999998</v>
      </c>
      <c r="C5">
        <v>1.0379290000000001</v>
      </c>
      <c r="D5">
        <v>6.8938309999999996</v>
      </c>
      <c r="E5">
        <v>6.7356860000000003</v>
      </c>
      <c r="F5">
        <v>4.1404129999999997</v>
      </c>
      <c r="G5">
        <v>6.0553100000000004</v>
      </c>
      <c r="H5">
        <v>4.062138</v>
      </c>
      <c r="I5">
        <v>0.66270600000000002</v>
      </c>
      <c r="J5">
        <v>3.3791630000000001</v>
      </c>
      <c r="K5">
        <v>3.168831</v>
      </c>
      <c r="L5">
        <v>3.3023220000000002</v>
      </c>
      <c r="M5">
        <v>0.34119300000000002</v>
      </c>
    </row>
    <row r="6" spans="1:20" x14ac:dyDescent="0.25">
      <c r="A6" s="82">
        <v>43139</v>
      </c>
      <c r="B6">
        <v>7.6584519999999996</v>
      </c>
      <c r="C6">
        <v>1.037841</v>
      </c>
      <c r="D6">
        <v>6.8757580000000003</v>
      </c>
      <c r="E6">
        <v>6.7182300000000001</v>
      </c>
      <c r="F6">
        <v>4.1266639999999999</v>
      </c>
      <c r="G6">
        <v>6.0375189999999996</v>
      </c>
      <c r="H6">
        <v>4.0503359999999997</v>
      </c>
      <c r="I6">
        <v>0.66166199999999997</v>
      </c>
      <c r="J6">
        <v>3.3758629999999998</v>
      </c>
      <c r="K6">
        <v>3.1669640000000001</v>
      </c>
      <c r="L6">
        <v>3.3001809999999998</v>
      </c>
      <c r="M6">
        <v>0.34099699999999999</v>
      </c>
    </row>
    <row r="7" spans="1:20" x14ac:dyDescent="0.25">
      <c r="A7" s="82">
        <v>43138</v>
      </c>
      <c r="B7">
        <v>7.653505</v>
      </c>
      <c r="C7">
        <v>1.0378350000000001</v>
      </c>
      <c r="D7">
        <v>6.8712169999999997</v>
      </c>
      <c r="E7">
        <v>6.7137469999999997</v>
      </c>
      <c r="F7">
        <v>4.1238400000000004</v>
      </c>
      <c r="G7">
        <v>6.0333779999999999</v>
      </c>
      <c r="H7">
        <v>4.0476510000000001</v>
      </c>
      <c r="I7">
        <v>0.65652200000000005</v>
      </c>
      <c r="J7">
        <v>3.373259</v>
      </c>
      <c r="K7">
        <v>3.1652239999999998</v>
      </c>
      <c r="L7">
        <v>3.2982649999999998</v>
      </c>
      <c r="M7">
        <v>0.34099299999999999</v>
      </c>
    </row>
    <row r="8" spans="1:20" x14ac:dyDescent="0.25">
      <c r="A8" s="82">
        <v>43137</v>
      </c>
      <c r="B8">
        <v>7.6486499999999999</v>
      </c>
      <c r="C8">
        <v>1.037744</v>
      </c>
      <c r="D8">
        <v>6.8665989999999999</v>
      </c>
      <c r="E8">
        <v>6.7092710000000002</v>
      </c>
      <c r="F8">
        <v>4.1210380000000004</v>
      </c>
      <c r="G8">
        <v>6.0290460000000001</v>
      </c>
      <c r="H8">
        <v>4.044905</v>
      </c>
      <c r="I8">
        <v>0.65342100000000003</v>
      </c>
      <c r="J8">
        <v>3.3709220000000002</v>
      </c>
      <c r="K8">
        <v>3.1636489999999999</v>
      </c>
      <c r="L8">
        <v>3.296262</v>
      </c>
      <c r="M8">
        <v>0.34072400000000003</v>
      </c>
    </row>
    <row r="9" spans="1:20" x14ac:dyDescent="0.25">
      <c r="A9" s="82">
        <v>43136</v>
      </c>
      <c r="B9">
        <v>7.6438940000000004</v>
      </c>
      <c r="C9">
        <v>1.0377190000000001</v>
      </c>
      <c r="D9">
        <v>6.8621629999999998</v>
      </c>
      <c r="E9">
        <v>6.7043569999999999</v>
      </c>
      <c r="F9">
        <v>4.1181239999999999</v>
      </c>
      <c r="G9">
        <v>6.0246579999999996</v>
      </c>
      <c r="H9">
        <v>4.0420740000000004</v>
      </c>
      <c r="I9">
        <v>0.65225999999999995</v>
      </c>
      <c r="J9">
        <v>3.3690340000000001</v>
      </c>
      <c r="K9">
        <v>3.1619410000000001</v>
      </c>
      <c r="L9">
        <v>3.2941590000000001</v>
      </c>
      <c r="M9">
        <v>0.34051700000000001</v>
      </c>
    </row>
    <row r="10" spans="1:20" x14ac:dyDescent="0.25">
      <c r="A10" s="82">
        <v>43133</v>
      </c>
      <c r="B10">
        <v>7.6291919999999998</v>
      </c>
      <c r="C10">
        <v>1.0377149999999999</v>
      </c>
      <c r="D10">
        <v>6.8543950000000002</v>
      </c>
      <c r="E10">
        <v>6.6979930000000003</v>
      </c>
      <c r="F10">
        <v>4.1153029999999999</v>
      </c>
      <c r="G10">
        <v>6.0193399999999997</v>
      </c>
      <c r="H10">
        <v>4.038475</v>
      </c>
      <c r="I10">
        <v>0.65249699999999999</v>
      </c>
      <c r="J10">
        <v>3.3626659999999999</v>
      </c>
      <c r="K10">
        <v>3.1568520000000002</v>
      </c>
      <c r="L10">
        <v>3.2881749999999998</v>
      </c>
      <c r="M10">
        <v>0.33996599999999999</v>
      </c>
    </row>
    <row r="11" spans="1:20" x14ac:dyDescent="0.25">
      <c r="A11" s="82">
        <v>43132</v>
      </c>
      <c r="B11">
        <v>7.6242780000000003</v>
      </c>
      <c r="C11">
        <v>1.0375449999999999</v>
      </c>
      <c r="D11">
        <v>6.843483</v>
      </c>
      <c r="E11">
        <v>6.6858899999999997</v>
      </c>
      <c r="F11">
        <v>4.1062969999999996</v>
      </c>
      <c r="G11">
        <v>6.0078250000000004</v>
      </c>
      <c r="H11">
        <v>4.0309600000000003</v>
      </c>
      <c r="I11">
        <v>0.65004099999999998</v>
      </c>
      <c r="J11">
        <v>3.361761</v>
      </c>
      <c r="K11">
        <v>3.1550379999999998</v>
      </c>
      <c r="L11">
        <v>3.286241</v>
      </c>
      <c r="M11">
        <v>0.33969700000000003</v>
      </c>
    </row>
    <row r="12" spans="1:20" x14ac:dyDescent="0.25">
      <c r="A12" s="82">
        <v>43131</v>
      </c>
      <c r="B12">
        <v>7.6197509999999999</v>
      </c>
      <c r="C12">
        <v>1.037461</v>
      </c>
      <c r="D12">
        <v>6.8388879999999999</v>
      </c>
      <c r="E12">
        <v>6.6811509999999998</v>
      </c>
      <c r="F12">
        <v>4.1032349999999997</v>
      </c>
      <c r="G12">
        <v>6.003717</v>
      </c>
      <c r="H12">
        <v>4.0281289999999998</v>
      </c>
      <c r="I12">
        <v>0.65503400000000001</v>
      </c>
      <c r="J12">
        <v>3.3601429999999999</v>
      </c>
      <c r="K12">
        <v>3.1533069999999999</v>
      </c>
      <c r="L12">
        <v>3.2842690000000001</v>
      </c>
      <c r="M12">
        <v>0.339777</v>
      </c>
    </row>
    <row r="13" spans="1:20" x14ac:dyDescent="0.25">
      <c r="A13" s="82">
        <v>43130</v>
      </c>
      <c r="B13">
        <v>7.6151400000000002</v>
      </c>
      <c r="C13">
        <v>1.0374019999999999</v>
      </c>
      <c r="D13">
        <v>6.8346099999999996</v>
      </c>
      <c r="E13">
        <v>6.6766079999999999</v>
      </c>
      <c r="F13">
        <v>4.0996160000000001</v>
      </c>
      <c r="G13">
        <v>5.9998100000000001</v>
      </c>
      <c r="H13">
        <v>4.0255960000000002</v>
      </c>
      <c r="I13">
        <v>0.65363400000000005</v>
      </c>
      <c r="J13">
        <v>3.3578899999999998</v>
      </c>
      <c r="K13">
        <v>3.1517930000000001</v>
      </c>
      <c r="L13">
        <v>3.2822659999999999</v>
      </c>
      <c r="M13">
        <v>0.33937299999999998</v>
      </c>
    </row>
    <row r="14" spans="1:20" x14ac:dyDescent="0.25">
      <c r="A14" s="82">
        <v>43129</v>
      </c>
      <c r="B14">
        <v>7.610309</v>
      </c>
      <c r="C14">
        <v>1.03738</v>
      </c>
      <c r="D14">
        <v>6.8298589999999999</v>
      </c>
      <c r="E14">
        <v>6.6718440000000001</v>
      </c>
      <c r="F14">
        <v>4.0968090000000004</v>
      </c>
      <c r="G14">
        <v>5.9956209999999999</v>
      </c>
      <c r="H14">
        <v>4.0216880000000002</v>
      </c>
      <c r="I14">
        <v>0.65896999999999994</v>
      </c>
      <c r="J14">
        <v>3.355861</v>
      </c>
      <c r="K14">
        <v>3.1502699999999999</v>
      </c>
      <c r="L14">
        <v>3.280303</v>
      </c>
      <c r="M14">
        <v>0.33920499999999998</v>
      </c>
    </row>
    <row r="15" spans="1:20" x14ac:dyDescent="0.25">
      <c r="A15" s="82">
        <v>43126</v>
      </c>
      <c r="B15">
        <v>7.5956960000000002</v>
      </c>
      <c r="C15">
        <v>1.0372790000000001</v>
      </c>
      <c r="D15">
        <v>6.8246779999999996</v>
      </c>
      <c r="E15">
        <v>6.6659470000000001</v>
      </c>
      <c r="F15">
        <v>4.094061</v>
      </c>
      <c r="G15">
        <v>5.9904390000000003</v>
      </c>
      <c r="H15">
        <v>4.0182789999999997</v>
      </c>
      <c r="I15">
        <v>0.65901799999999999</v>
      </c>
      <c r="J15">
        <v>3.3503470000000002</v>
      </c>
      <c r="K15">
        <v>3.1456680000000001</v>
      </c>
      <c r="L15">
        <v>3.27433</v>
      </c>
      <c r="M15">
        <v>0.33865400000000001</v>
      </c>
    </row>
    <row r="16" spans="1:20" x14ac:dyDescent="0.25">
      <c r="A16" s="82">
        <v>43125</v>
      </c>
      <c r="B16">
        <v>7.5908920000000002</v>
      </c>
      <c r="C16">
        <v>1.0371109999999999</v>
      </c>
      <c r="D16">
        <v>6.8116250000000003</v>
      </c>
      <c r="E16">
        <v>6.6531229999999999</v>
      </c>
      <c r="F16">
        <v>4.0857640000000002</v>
      </c>
      <c r="G16">
        <v>5.9792129999999997</v>
      </c>
      <c r="H16">
        <v>4.010961</v>
      </c>
      <c r="I16">
        <v>0.65833600000000003</v>
      </c>
      <c r="J16">
        <v>3.3483510000000001</v>
      </c>
      <c r="K16">
        <v>3.1441270000000001</v>
      </c>
      <c r="L16">
        <v>3.272335</v>
      </c>
      <c r="M16">
        <v>0.33839999999999998</v>
      </c>
    </row>
    <row r="17" spans="1:13" x14ac:dyDescent="0.25">
      <c r="A17" s="82">
        <v>43124</v>
      </c>
      <c r="B17">
        <v>7.5859230000000002</v>
      </c>
      <c r="C17">
        <v>1.0369440000000001</v>
      </c>
      <c r="D17">
        <v>6.8070599999999999</v>
      </c>
      <c r="E17">
        <v>6.6478260000000002</v>
      </c>
      <c r="F17">
        <v>4.0831720000000002</v>
      </c>
      <c r="G17">
        <v>5.9751659999999998</v>
      </c>
      <c r="H17">
        <v>4.0082789999999999</v>
      </c>
      <c r="I17">
        <v>0.66085300000000002</v>
      </c>
      <c r="J17">
        <v>3.344716</v>
      </c>
      <c r="K17">
        <v>3.1425700000000001</v>
      </c>
      <c r="L17">
        <v>3.2703220000000002</v>
      </c>
      <c r="M17">
        <v>0.33832299999999998</v>
      </c>
    </row>
    <row r="18" spans="1:13" x14ac:dyDescent="0.25">
      <c r="A18" s="82">
        <v>43123</v>
      </c>
      <c r="B18">
        <v>7.5811289999999998</v>
      </c>
      <c r="C18">
        <v>1.036853</v>
      </c>
      <c r="D18">
        <v>6.8029029999999997</v>
      </c>
      <c r="E18">
        <v>6.6438560000000004</v>
      </c>
      <c r="F18">
        <v>4.080298</v>
      </c>
      <c r="G18">
        <v>5.9714749999999999</v>
      </c>
      <c r="H18">
        <v>4.0059319999999996</v>
      </c>
      <c r="I18">
        <v>0.65475399999999995</v>
      </c>
      <c r="J18">
        <v>3.3418519999999998</v>
      </c>
      <c r="K18">
        <v>3.141041</v>
      </c>
      <c r="L18">
        <v>3.268386</v>
      </c>
      <c r="M18">
        <v>0.33782299999999998</v>
      </c>
    </row>
    <row r="19" spans="1:13" x14ac:dyDescent="0.25">
      <c r="A19" s="82">
        <v>43122</v>
      </c>
      <c r="B19">
        <v>7.5765690000000001</v>
      </c>
      <c r="C19">
        <v>1.0367649999999999</v>
      </c>
      <c r="D19">
        <v>6.7972970000000004</v>
      </c>
      <c r="E19">
        <v>6.6380549999999996</v>
      </c>
      <c r="F19">
        <v>4.0770860000000004</v>
      </c>
      <c r="G19">
        <v>5.9665100000000004</v>
      </c>
      <c r="H19">
        <v>4.0026419999999998</v>
      </c>
      <c r="I19">
        <v>0.65028399999999997</v>
      </c>
      <c r="J19">
        <v>3.339181</v>
      </c>
      <c r="K19">
        <v>3.1395040000000001</v>
      </c>
      <c r="L19">
        <v>3.2660300000000002</v>
      </c>
      <c r="M19">
        <v>0.33742299999999997</v>
      </c>
    </row>
    <row r="20" spans="1:13" x14ac:dyDescent="0.25">
      <c r="A20" s="82">
        <v>43119</v>
      </c>
      <c r="B20">
        <v>7.5620380000000003</v>
      </c>
      <c r="C20">
        <v>1.036513</v>
      </c>
      <c r="D20">
        <v>6.7910250000000003</v>
      </c>
      <c r="E20">
        <v>6.6310229999999999</v>
      </c>
      <c r="F20">
        <v>4.0742510000000003</v>
      </c>
      <c r="G20">
        <v>5.9614339999999997</v>
      </c>
      <c r="H20">
        <v>3.999301</v>
      </c>
      <c r="I20">
        <v>0.64715400000000001</v>
      </c>
      <c r="J20">
        <v>3.332865</v>
      </c>
      <c r="K20">
        <v>3.134862</v>
      </c>
      <c r="L20">
        <v>3.2600310000000001</v>
      </c>
      <c r="M20">
        <v>0.33671099999999998</v>
      </c>
    </row>
    <row r="21" spans="1:13" x14ac:dyDescent="0.25">
      <c r="A21" s="82">
        <v>43118</v>
      </c>
      <c r="B21">
        <v>7.5574300000000001</v>
      </c>
      <c r="C21">
        <v>1.0363439999999999</v>
      </c>
      <c r="D21">
        <v>6.7785399999999996</v>
      </c>
      <c r="E21">
        <v>6.6199579999999996</v>
      </c>
      <c r="F21">
        <v>4.0662440000000002</v>
      </c>
      <c r="G21">
        <v>5.9502680000000003</v>
      </c>
      <c r="H21">
        <v>3.9918900000000002</v>
      </c>
      <c r="I21">
        <v>0.644092</v>
      </c>
      <c r="J21">
        <v>3.3308879999999998</v>
      </c>
      <c r="K21">
        <v>3.1332629999999999</v>
      </c>
      <c r="L21">
        <v>3.258057</v>
      </c>
      <c r="M21">
        <v>0.33637499999999998</v>
      </c>
    </row>
    <row r="22" spans="1:13" x14ac:dyDescent="0.25">
      <c r="A22" s="82">
        <v>43117</v>
      </c>
      <c r="B22">
        <v>7.5527160000000002</v>
      </c>
      <c r="C22">
        <v>1.036171</v>
      </c>
      <c r="D22">
        <v>6.7737420000000004</v>
      </c>
      <c r="E22">
        <v>6.6152769999999999</v>
      </c>
      <c r="F22">
        <v>4.0632380000000001</v>
      </c>
      <c r="G22">
        <v>5.9460329999999999</v>
      </c>
      <c r="H22">
        <v>3.9889999999999999</v>
      </c>
      <c r="I22">
        <v>0.64310199999999995</v>
      </c>
      <c r="J22">
        <v>3.329285</v>
      </c>
      <c r="K22">
        <v>3.1316199999999998</v>
      </c>
      <c r="L22">
        <v>3.256094</v>
      </c>
      <c r="M22">
        <v>0.336175</v>
      </c>
    </row>
    <row r="23" spans="1:13" x14ac:dyDescent="0.25">
      <c r="A23" s="82">
        <v>43116</v>
      </c>
      <c r="B23">
        <v>7.5479310000000002</v>
      </c>
      <c r="C23">
        <v>1.0360799999999999</v>
      </c>
      <c r="D23">
        <v>6.7692059999999996</v>
      </c>
      <c r="E23">
        <v>6.6113039999999996</v>
      </c>
      <c r="F23">
        <v>4.0604449999999996</v>
      </c>
      <c r="G23">
        <v>5.9422709999999999</v>
      </c>
      <c r="H23">
        <v>3.985544</v>
      </c>
      <c r="I23">
        <v>0.64459699999999998</v>
      </c>
      <c r="J23">
        <v>3.3267530000000001</v>
      </c>
      <c r="K23">
        <v>3.1300249999999998</v>
      </c>
      <c r="L23">
        <v>3.254124</v>
      </c>
      <c r="M23">
        <v>0.33607599999999999</v>
      </c>
    </row>
    <row r="24" spans="1:13" x14ac:dyDescent="0.25">
      <c r="A24" s="82">
        <v>43115</v>
      </c>
      <c r="B24">
        <v>7.542948</v>
      </c>
      <c r="C24">
        <v>1.035989</v>
      </c>
      <c r="D24">
        <v>6.7636370000000001</v>
      </c>
      <c r="E24">
        <v>6.6054959999999996</v>
      </c>
      <c r="F24">
        <v>4.057474</v>
      </c>
      <c r="G24">
        <v>5.9373509999999996</v>
      </c>
      <c r="H24">
        <v>3.9833069999999999</v>
      </c>
      <c r="I24">
        <v>0.64115900000000003</v>
      </c>
      <c r="J24">
        <v>3.324484</v>
      </c>
      <c r="K24">
        <v>3.1285210000000001</v>
      </c>
      <c r="L24">
        <v>3.2521409999999999</v>
      </c>
      <c r="M24">
        <v>0.33562399999999998</v>
      </c>
    </row>
    <row r="25" spans="1:13" x14ac:dyDescent="0.25">
      <c r="A25" s="82">
        <v>43112</v>
      </c>
      <c r="B25">
        <v>7.5278710000000002</v>
      </c>
      <c r="C25">
        <v>1.0357400000000001</v>
      </c>
      <c r="D25">
        <v>6.7564039999999999</v>
      </c>
      <c r="E25">
        <v>6.5993209999999998</v>
      </c>
      <c r="F25">
        <v>4.0546730000000002</v>
      </c>
      <c r="G25">
        <v>5.9317929999999999</v>
      </c>
      <c r="H25">
        <v>3.9796109999999998</v>
      </c>
      <c r="I25">
        <v>0.63891900000000001</v>
      </c>
      <c r="J25">
        <v>3.3171970000000002</v>
      </c>
      <c r="K25">
        <v>3.1239330000000001</v>
      </c>
      <c r="L25">
        <v>3.246184</v>
      </c>
      <c r="M25">
        <v>0.33494800000000002</v>
      </c>
    </row>
    <row r="26" spans="1:13" x14ac:dyDescent="0.25">
      <c r="A26" s="82">
        <v>43111</v>
      </c>
      <c r="B26">
        <v>7.522926</v>
      </c>
      <c r="C26">
        <v>1.0355529999999999</v>
      </c>
      <c r="D26">
        <v>6.7445000000000004</v>
      </c>
      <c r="E26">
        <v>6.5878610000000002</v>
      </c>
      <c r="F26">
        <v>4.0463149999999999</v>
      </c>
      <c r="G26">
        <v>5.9203979999999996</v>
      </c>
      <c r="H26">
        <v>3.9721880000000001</v>
      </c>
      <c r="I26">
        <v>0.63863899999999996</v>
      </c>
      <c r="J26">
        <v>3.3155860000000001</v>
      </c>
      <c r="K26">
        <v>3.1223939999999999</v>
      </c>
      <c r="L26">
        <v>3.244192</v>
      </c>
      <c r="M26">
        <v>0.33471699999999999</v>
      </c>
    </row>
    <row r="27" spans="1:13" x14ac:dyDescent="0.25">
      <c r="A27" s="82">
        <v>43110</v>
      </c>
      <c r="B27">
        <v>7.5180090000000002</v>
      </c>
      <c r="C27">
        <v>1.0353870000000001</v>
      </c>
      <c r="D27">
        <v>6.7405109999999997</v>
      </c>
      <c r="E27">
        <v>6.584104</v>
      </c>
      <c r="F27">
        <v>4.0438419999999997</v>
      </c>
      <c r="G27">
        <v>5.9168289999999999</v>
      </c>
      <c r="H27">
        <v>3.9698069999999999</v>
      </c>
      <c r="I27">
        <v>0.637015</v>
      </c>
      <c r="J27">
        <v>3.314578</v>
      </c>
      <c r="K27">
        <v>3.1208490000000002</v>
      </c>
      <c r="L27">
        <v>3.242197</v>
      </c>
      <c r="M27">
        <v>0.33428600000000003</v>
      </c>
    </row>
    <row r="28" spans="1:13" x14ac:dyDescent="0.25">
      <c r="A28" s="82">
        <v>43109</v>
      </c>
      <c r="B28">
        <v>7.5131600000000001</v>
      </c>
      <c r="C28">
        <v>1.0353079999999999</v>
      </c>
      <c r="D28">
        <v>6.7357909999999999</v>
      </c>
      <c r="E28">
        <v>6.5794860000000002</v>
      </c>
      <c r="F28">
        <v>4.0409709999999999</v>
      </c>
      <c r="G28">
        <v>5.9124470000000002</v>
      </c>
      <c r="H28">
        <v>3.9669249999999998</v>
      </c>
      <c r="I28">
        <v>0.64339999999999997</v>
      </c>
      <c r="J28">
        <v>3.3139660000000002</v>
      </c>
      <c r="K28">
        <v>3.1193219999999999</v>
      </c>
      <c r="L28">
        <v>3.2401949999999999</v>
      </c>
      <c r="M28">
        <v>0.33454800000000001</v>
      </c>
    </row>
    <row r="29" spans="1:13" x14ac:dyDescent="0.25">
      <c r="A29" s="82">
        <v>43108</v>
      </c>
      <c r="B29">
        <v>7.5082440000000004</v>
      </c>
      <c r="C29">
        <v>1.035223</v>
      </c>
      <c r="D29">
        <v>6.7309650000000003</v>
      </c>
      <c r="E29">
        <v>6.5750289999999998</v>
      </c>
      <c r="F29">
        <v>4.038335</v>
      </c>
      <c r="G29">
        <v>5.9080649999999997</v>
      </c>
      <c r="H29">
        <v>3.9640300000000002</v>
      </c>
      <c r="I29">
        <v>0.64537500000000003</v>
      </c>
      <c r="J29">
        <v>3.311353</v>
      </c>
      <c r="K29">
        <v>3.117766</v>
      </c>
      <c r="L29">
        <v>3.2382049999999998</v>
      </c>
      <c r="M29">
        <v>0.33448</v>
      </c>
    </row>
    <row r="30" spans="1:13" x14ac:dyDescent="0.25">
      <c r="A30" s="82">
        <v>43105</v>
      </c>
      <c r="B30">
        <v>7.4937250000000004</v>
      </c>
      <c r="C30">
        <v>1.034961</v>
      </c>
      <c r="D30">
        <v>6.7273639999999997</v>
      </c>
      <c r="E30">
        <v>6.5690179999999998</v>
      </c>
      <c r="F30">
        <v>4.0355809999999996</v>
      </c>
      <c r="G30">
        <v>5.9028099999999997</v>
      </c>
      <c r="H30">
        <v>3.960194</v>
      </c>
      <c r="I30">
        <v>0.64134599999999997</v>
      </c>
      <c r="J30">
        <v>3.305482</v>
      </c>
      <c r="K30">
        <v>3.1131039999999999</v>
      </c>
      <c r="L30">
        <v>3.2323590000000002</v>
      </c>
      <c r="M30">
        <v>0.33354800000000001</v>
      </c>
    </row>
    <row r="31" spans="1:13" x14ac:dyDescent="0.25">
      <c r="A31" s="82">
        <v>43104</v>
      </c>
      <c r="B31">
        <v>7.4889830000000002</v>
      </c>
      <c r="C31">
        <v>1.034845</v>
      </c>
      <c r="D31">
        <v>6.7119739999999997</v>
      </c>
      <c r="E31">
        <v>6.5564359999999997</v>
      </c>
      <c r="F31">
        <v>4.0267090000000003</v>
      </c>
      <c r="G31">
        <v>5.8917549999999999</v>
      </c>
      <c r="H31">
        <v>3.9529070000000002</v>
      </c>
      <c r="I31">
        <v>0.63643300000000003</v>
      </c>
      <c r="J31">
        <v>3.301946</v>
      </c>
      <c r="K31">
        <v>3.1122299999999998</v>
      </c>
      <c r="L31">
        <v>3.23034</v>
      </c>
      <c r="M31">
        <v>0.33300000000000002</v>
      </c>
    </row>
    <row r="32" spans="1:13" x14ac:dyDescent="0.25">
      <c r="A32" s="82">
        <v>43103</v>
      </c>
      <c r="B32">
        <v>7.4842510000000004</v>
      </c>
      <c r="C32">
        <v>1.03467</v>
      </c>
      <c r="D32">
        <v>6.7076229999999999</v>
      </c>
      <c r="E32">
        <v>6.5522429999999998</v>
      </c>
      <c r="F32">
        <v>4.024057</v>
      </c>
      <c r="G32">
        <v>5.8879390000000003</v>
      </c>
      <c r="H32">
        <v>3.9503430000000002</v>
      </c>
      <c r="I32">
        <v>0.63186500000000001</v>
      </c>
      <c r="J32">
        <v>3.3003010000000002</v>
      </c>
      <c r="K32">
        <v>3.1105160000000001</v>
      </c>
      <c r="L32">
        <v>3.2284359999999999</v>
      </c>
      <c r="M32">
        <v>0.33254699999999998</v>
      </c>
    </row>
    <row r="33" spans="1:13" x14ac:dyDescent="0.25">
      <c r="A33" s="82">
        <v>43102</v>
      </c>
      <c r="B33">
        <v>7.4794799999999997</v>
      </c>
      <c r="C33">
        <v>1.0346200000000001</v>
      </c>
      <c r="D33">
        <v>6.7025899999999998</v>
      </c>
      <c r="E33">
        <v>6.547644</v>
      </c>
      <c r="F33">
        <v>4.0213489999999998</v>
      </c>
      <c r="G33">
        <v>5.8838480000000004</v>
      </c>
      <c r="H33">
        <v>3.9475340000000001</v>
      </c>
      <c r="I33">
        <v>0.631969</v>
      </c>
      <c r="J33">
        <v>3.2984049999999998</v>
      </c>
      <c r="K33">
        <v>3.1087959999999999</v>
      </c>
      <c r="L33">
        <v>3.2264729999999999</v>
      </c>
      <c r="M33">
        <v>0.33229399999999998</v>
      </c>
    </row>
    <row r="34" spans="1:13" x14ac:dyDescent="0.25">
      <c r="A34" s="82">
        <v>43098</v>
      </c>
      <c r="B34">
        <v>7.4615919999999996</v>
      </c>
      <c r="C34">
        <v>1.0344120000000001</v>
      </c>
      <c r="D34">
        <v>6.6987860000000001</v>
      </c>
      <c r="E34">
        <v>6.5394959999999998</v>
      </c>
      <c r="F34">
        <v>4.0181120000000004</v>
      </c>
      <c r="G34">
        <v>5.8788970000000003</v>
      </c>
      <c r="H34">
        <v>3.9447890000000001</v>
      </c>
      <c r="I34">
        <v>0.63544999999999996</v>
      </c>
      <c r="J34">
        <v>3.2946270000000002</v>
      </c>
      <c r="K34">
        <v>3.1022530000000001</v>
      </c>
      <c r="L34">
        <v>3.2196579999999999</v>
      </c>
      <c r="M34">
        <v>0.332036</v>
      </c>
    </row>
    <row r="35" spans="1:13" x14ac:dyDescent="0.25">
      <c r="A35" s="82">
        <v>43097</v>
      </c>
      <c r="B35">
        <v>7.4568469999999998</v>
      </c>
      <c r="C35">
        <v>1.0342789999999999</v>
      </c>
      <c r="D35">
        <v>6.6656550000000001</v>
      </c>
      <c r="E35">
        <v>6.5227279999999999</v>
      </c>
      <c r="F35">
        <v>4.0036589999999999</v>
      </c>
      <c r="G35">
        <v>5.861726</v>
      </c>
      <c r="H35">
        <v>3.9338950000000001</v>
      </c>
      <c r="I35">
        <v>0.64171299999999998</v>
      </c>
      <c r="J35">
        <v>3.2886099999999998</v>
      </c>
      <c r="K35">
        <v>3.100536</v>
      </c>
      <c r="L35">
        <v>3.2163360000000001</v>
      </c>
      <c r="M35">
        <v>0.33238400000000001</v>
      </c>
    </row>
    <row r="36" spans="1:13" x14ac:dyDescent="0.25">
      <c r="A36" s="82">
        <v>43096</v>
      </c>
      <c r="B36">
        <v>7.452064</v>
      </c>
      <c r="C36">
        <v>1.0340849999999999</v>
      </c>
      <c r="D36">
        <v>6.6530250000000004</v>
      </c>
      <c r="E36">
        <v>6.5086060000000003</v>
      </c>
      <c r="F36">
        <v>3.9979469999999999</v>
      </c>
      <c r="G36">
        <v>5.8469569999999997</v>
      </c>
      <c r="H36">
        <v>3.9223590000000002</v>
      </c>
      <c r="I36">
        <v>0.63012800000000002</v>
      </c>
      <c r="J36">
        <v>3.282626</v>
      </c>
      <c r="K36">
        <v>3.0987990000000001</v>
      </c>
      <c r="L36">
        <v>3.214137</v>
      </c>
      <c r="M36">
        <v>0.33178999999999997</v>
      </c>
    </row>
    <row r="37" spans="1:13" x14ac:dyDescent="0.25">
      <c r="A37" s="82">
        <v>43095</v>
      </c>
      <c r="B37">
        <v>7.4473130000000003</v>
      </c>
      <c r="C37">
        <v>1.033995</v>
      </c>
      <c r="D37">
        <v>6.6506910000000001</v>
      </c>
      <c r="E37">
        <v>6.5042489999999997</v>
      </c>
      <c r="F37">
        <v>3.995317</v>
      </c>
      <c r="G37">
        <v>5.842886</v>
      </c>
      <c r="H37">
        <v>3.9198620000000002</v>
      </c>
      <c r="I37">
        <v>0.62707599999999997</v>
      </c>
      <c r="J37">
        <v>3.2799019999999999</v>
      </c>
      <c r="K37">
        <v>3.0970960000000001</v>
      </c>
      <c r="L37">
        <v>3.2121029999999999</v>
      </c>
      <c r="M37">
        <v>0.33130500000000002</v>
      </c>
    </row>
    <row r="38" spans="1:13" x14ac:dyDescent="0.25">
      <c r="A38" s="82">
        <v>43091</v>
      </c>
      <c r="B38">
        <v>7.4277430000000004</v>
      </c>
      <c r="C38">
        <v>1.033655</v>
      </c>
      <c r="D38">
        <v>6.6424269999999996</v>
      </c>
      <c r="E38">
        <v>6.4954390000000002</v>
      </c>
      <c r="F38">
        <v>3.9924339999999998</v>
      </c>
      <c r="G38">
        <v>5.8369020000000003</v>
      </c>
      <c r="H38">
        <v>3.9156689999999998</v>
      </c>
      <c r="I38">
        <v>0.62222900000000003</v>
      </c>
      <c r="J38">
        <v>3.2711359999999998</v>
      </c>
      <c r="K38">
        <v>3.0902289999999999</v>
      </c>
      <c r="L38">
        <v>3.2049910000000001</v>
      </c>
      <c r="M38">
        <v>0.33075500000000002</v>
      </c>
    </row>
    <row r="39" spans="1:13" x14ac:dyDescent="0.25">
      <c r="A39" s="82">
        <v>43090</v>
      </c>
      <c r="B39">
        <v>7.422714</v>
      </c>
      <c r="C39">
        <v>1.0334950000000001</v>
      </c>
      <c r="D39">
        <v>6.6246049999999999</v>
      </c>
      <c r="E39">
        <v>6.4810290000000004</v>
      </c>
      <c r="F39">
        <v>3.981468</v>
      </c>
      <c r="G39">
        <v>5.8217049999999997</v>
      </c>
      <c r="H39">
        <v>3.9059940000000002</v>
      </c>
      <c r="I39">
        <v>0.619672</v>
      </c>
      <c r="J39">
        <v>3.2670780000000001</v>
      </c>
      <c r="K39">
        <v>3.088508</v>
      </c>
      <c r="L39">
        <v>3.2020430000000002</v>
      </c>
      <c r="M39">
        <v>0.33044299999999999</v>
      </c>
    </row>
    <row r="40" spans="1:13" x14ac:dyDescent="0.25">
      <c r="A40" s="82">
        <v>43089</v>
      </c>
      <c r="B40">
        <v>7.4179490000000001</v>
      </c>
      <c r="C40">
        <v>1.033282</v>
      </c>
      <c r="D40">
        <v>6.6193030000000004</v>
      </c>
      <c r="E40">
        <v>6.476267</v>
      </c>
      <c r="F40">
        <v>3.9787340000000002</v>
      </c>
      <c r="G40">
        <v>5.8174279999999996</v>
      </c>
      <c r="H40">
        <v>3.9027630000000002</v>
      </c>
      <c r="I40">
        <v>0.61541100000000004</v>
      </c>
      <c r="J40">
        <v>3.2648739999999998</v>
      </c>
      <c r="K40">
        <v>3.0868139999999999</v>
      </c>
      <c r="L40">
        <v>3.2000980000000001</v>
      </c>
      <c r="M40">
        <v>0.33008300000000002</v>
      </c>
    </row>
    <row r="41" spans="1:13" x14ac:dyDescent="0.25">
      <c r="A41" s="82">
        <v>43088</v>
      </c>
      <c r="B41">
        <v>7.4128160000000003</v>
      </c>
      <c r="C41">
        <v>1.0331969999999999</v>
      </c>
      <c r="D41">
        <v>6.6133649999999999</v>
      </c>
      <c r="E41">
        <v>6.4710580000000002</v>
      </c>
      <c r="F41">
        <v>3.9754320000000001</v>
      </c>
      <c r="G41">
        <v>5.8113169999999998</v>
      </c>
      <c r="H41">
        <v>3.9000759999999999</v>
      </c>
      <c r="I41">
        <v>0.61385599999999996</v>
      </c>
      <c r="J41">
        <v>3.2625199999999999</v>
      </c>
      <c r="K41">
        <v>3.085099</v>
      </c>
      <c r="L41">
        <v>3.1981009999999999</v>
      </c>
      <c r="M41">
        <v>0.329845</v>
      </c>
    </row>
    <row r="42" spans="1:13" x14ac:dyDescent="0.25">
      <c r="A42" s="82">
        <v>43087</v>
      </c>
      <c r="B42">
        <v>7.4077830000000002</v>
      </c>
      <c r="C42">
        <v>1.033112</v>
      </c>
      <c r="D42">
        <v>6.6045369999999997</v>
      </c>
      <c r="E42">
        <v>6.4641669999999998</v>
      </c>
      <c r="F42">
        <v>3.9718019999999998</v>
      </c>
      <c r="G42">
        <v>5.8066820000000003</v>
      </c>
      <c r="H42">
        <v>3.895184</v>
      </c>
      <c r="I42">
        <v>0.61150499999999997</v>
      </c>
      <c r="J42">
        <v>3.263007</v>
      </c>
      <c r="K42">
        <v>3.0831469999999999</v>
      </c>
      <c r="L42">
        <v>3.1960540000000002</v>
      </c>
      <c r="M42">
        <v>0.329598</v>
      </c>
    </row>
    <row r="43" spans="1:13" x14ac:dyDescent="0.25">
      <c r="A43" s="82">
        <v>43084</v>
      </c>
      <c r="B43">
        <v>7.3922819999999998</v>
      </c>
      <c r="C43">
        <v>1.032891</v>
      </c>
      <c r="D43">
        <v>6.5996300000000003</v>
      </c>
      <c r="E43">
        <v>6.4574590000000001</v>
      </c>
      <c r="F43">
        <v>3.9683860000000002</v>
      </c>
      <c r="G43">
        <v>5.8009500000000003</v>
      </c>
      <c r="H43">
        <v>3.8916140000000001</v>
      </c>
      <c r="I43">
        <v>0.61010500000000001</v>
      </c>
      <c r="J43">
        <v>3.257158</v>
      </c>
      <c r="K43">
        <v>3.0778729999999999</v>
      </c>
      <c r="L43">
        <v>3.1907009999999998</v>
      </c>
      <c r="M43">
        <v>0.32904600000000001</v>
      </c>
    </row>
    <row r="44" spans="1:13" x14ac:dyDescent="0.25">
      <c r="A44" s="82">
        <v>43083</v>
      </c>
      <c r="B44">
        <v>7.3871779999999996</v>
      </c>
      <c r="C44">
        <v>1.032775</v>
      </c>
      <c r="D44">
        <v>6.5837640000000004</v>
      </c>
      <c r="E44">
        <v>6.4453889999999996</v>
      </c>
      <c r="F44">
        <v>3.9591470000000002</v>
      </c>
      <c r="G44">
        <v>5.7894769999999998</v>
      </c>
      <c r="H44">
        <v>3.8839250000000001</v>
      </c>
      <c r="I44">
        <v>0.60793900000000001</v>
      </c>
      <c r="J44">
        <v>3.2534779999999999</v>
      </c>
      <c r="K44">
        <v>3.0761620000000001</v>
      </c>
      <c r="L44">
        <v>3.1869010000000002</v>
      </c>
      <c r="M44">
        <v>0.32841599999999999</v>
      </c>
    </row>
    <row r="45" spans="1:13" x14ac:dyDescent="0.25">
      <c r="A45" s="82">
        <v>43082</v>
      </c>
      <c r="B45">
        <v>7.3820600000000001</v>
      </c>
      <c r="C45">
        <v>1.03261</v>
      </c>
      <c r="D45">
        <v>6.5789989999999996</v>
      </c>
      <c r="E45">
        <v>6.4413590000000003</v>
      </c>
      <c r="F45">
        <v>3.9562710000000001</v>
      </c>
      <c r="G45">
        <v>5.7852680000000003</v>
      </c>
      <c r="H45">
        <v>3.8811640000000001</v>
      </c>
      <c r="I45">
        <v>0.60589800000000005</v>
      </c>
      <c r="J45">
        <v>3.251471</v>
      </c>
      <c r="K45">
        <v>3.0744470000000002</v>
      </c>
      <c r="L45">
        <v>3.1849090000000002</v>
      </c>
      <c r="M45">
        <v>0.32831199999999999</v>
      </c>
    </row>
    <row r="46" spans="1:13" x14ac:dyDescent="0.25">
      <c r="A46" s="82">
        <v>43081</v>
      </c>
      <c r="B46">
        <v>7.3769460000000002</v>
      </c>
      <c r="C46">
        <v>1.032527</v>
      </c>
      <c r="D46">
        <v>6.574058</v>
      </c>
      <c r="E46">
        <v>6.4371479999999996</v>
      </c>
      <c r="F46">
        <v>3.953303</v>
      </c>
      <c r="G46">
        <v>5.7809720000000002</v>
      </c>
      <c r="H46">
        <v>3.878374</v>
      </c>
      <c r="I46">
        <v>0.60641599999999996</v>
      </c>
      <c r="J46">
        <v>3.2492030000000001</v>
      </c>
      <c r="K46">
        <v>3.0727310000000001</v>
      </c>
      <c r="L46">
        <v>3.1827740000000002</v>
      </c>
      <c r="M46">
        <v>0.32813100000000001</v>
      </c>
    </row>
    <row r="47" spans="1:13" x14ac:dyDescent="0.25">
      <c r="A47" s="82">
        <v>43080</v>
      </c>
      <c r="B47">
        <v>7.3719799999999998</v>
      </c>
      <c r="C47">
        <v>1.03244</v>
      </c>
      <c r="D47">
        <v>6.5692709999999996</v>
      </c>
      <c r="E47">
        <v>6.4322030000000003</v>
      </c>
      <c r="F47">
        <v>3.9502700000000002</v>
      </c>
      <c r="G47">
        <v>5.776688</v>
      </c>
      <c r="H47">
        <v>3.875489</v>
      </c>
      <c r="I47">
        <v>0.60471900000000001</v>
      </c>
      <c r="J47">
        <v>3.2477580000000001</v>
      </c>
      <c r="K47">
        <v>3.0709970000000002</v>
      </c>
      <c r="L47">
        <v>3.1805789999999998</v>
      </c>
      <c r="M47">
        <v>0.327901</v>
      </c>
    </row>
    <row r="48" spans="1:13" x14ac:dyDescent="0.25">
      <c r="A48" s="82">
        <v>43076</v>
      </c>
      <c r="B48">
        <v>7.351667</v>
      </c>
      <c r="C48">
        <v>1.0321880000000001</v>
      </c>
      <c r="D48">
        <v>6.5612050000000002</v>
      </c>
      <c r="E48">
        <v>6.4257549999999997</v>
      </c>
      <c r="F48">
        <v>3.9478399999999998</v>
      </c>
      <c r="G48">
        <v>5.7708199999999996</v>
      </c>
      <c r="H48">
        <v>3.871788</v>
      </c>
      <c r="I48">
        <v>0.60476700000000005</v>
      </c>
      <c r="J48">
        <v>3.2394270000000001</v>
      </c>
      <c r="K48">
        <v>3.0641449999999999</v>
      </c>
      <c r="L48">
        <v>3.1741329999999999</v>
      </c>
      <c r="M48">
        <v>0.32722299999999999</v>
      </c>
    </row>
    <row r="49" spans="1:13" x14ac:dyDescent="0.25">
      <c r="A49" s="82">
        <v>43075</v>
      </c>
      <c r="B49">
        <v>7.3468439999999999</v>
      </c>
      <c r="C49">
        <v>1.032011</v>
      </c>
      <c r="D49">
        <v>6.5456209999999997</v>
      </c>
      <c r="E49">
        <v>6.4091709999999997</v>
      </c>
      <c r="F49">
        <v>3.9361760000000001</v>
      </c>
      <c r="G49">
        <v>5.7554369999999997</v>
      </c>
      <c r="H49">
        <v>3.861548</v>
      </c>
      <c r="I49">
        <v>0.603495</v>
      </c>
      <c r="J49">
        <v>3.2364120000000001</v>
      </c>
      <c r="K49">
        <v>3.0624210000000001</v>
      </c>
      <c r="L49">
        <v>3.170442</v>
      </c>
      <c r="M49">
        <v>0.32686999999999999</v>
      </c>
    </row>
    <row r="50" spans="1:13" x14ac:dyDescent="0.25">
      <c r="A50" s="82">
        <v>43074</v>
      </c>
      <c r="B50">
        <v>7.3419990000000004</v>
      </c>
      <c r="C50">
        <v>1.031803</v>
      </c>
      <c r="D50">
        <v>6.5412140000000001</v>
      </c>
      <c r="E50">
        <v>6.4046409999999998</v>
      </c>
      <c r="F50">
        <v>3.9341249999999999</v>
      </c>
      <c r="G50">
        <v>5.751474</v>
      </c>
      <c r="H50">
        <v>3.8592029999999999</v>
      </c>
      <c r="I50">
        <v>0.60381200000000002</v>
      </c>
      <c r="J50">
        <v>3.235779</v>
      </c>
      <c r="K50">
        <v>3.0607129999999998</v>
      </c>
      <c r="L50">
        <v>3.1695869999999999</v>
      </c>
      <c r="M50">
        <v>0.326677</v>
      </c>
    </row>
    <row r="51" spans="1:13" x14ac:dyDescent="0.25">
      <c r="A51" s="82">
        <v>43073</v>
      </c>
      <c r="B51">
        <v>7.3372099999999998</v>
      </c>
      <c r="C51">
        <v>1.0317179999999999</v>
      </c>
      <c r="D51">
        <v>6.5369869999999999</v>
      </c>
      <c r="E51">
        <v>6.4005900000000002</v>
      </c>
      <c r="F51">
        <v>3.931219</v>
      </c>
      <c r="G51">
        <v>5.7480079999999996</v>
      </c>
      <c r="H51">
        <v>3.8566449999999999</v>
      </c>
      <c r="I51">
        <v>0.60430399999999995</v>
      </c>
      <c r="J51">
        <v>3.2335069999999999</v>
      </c>
      <c r="K51">
        <v>3.0590120000000001</v>
      </c>
      <c r="L51">
        <v>3.1677420000000001</v>
      </c>
      <c r="M51">
        <v>0.32641700000000001</v>
      </c>
    </row>
    <row r="52" spans="1:13" x14ac:dyDescent="0.25">
      <c r="A52" s="82">
        <v>43070</v>
      </c>
      <c r="B52">
        <v>7.3227770000000003</v>
      </c>
      <c r="C52">
        <v>1.031477</v>
      </c>
      <c r="D52">
        <v>6.5315070000000004</v>
      </c>
      <c r="E52">
        <v>6.3943779999999997</v>
      </c>
      <c r="F52">
        <v>3.92849</v>
      </c>
      <c r="G52">
        <v>5.7424970000000002</v>
      </c>
      <c r="H52">
        <v>3.853094</v>
      </c>
      <c r="I52">
        <v>0.60249399999999997</v>
      </c>
      <c r="J52">
        <v>3.2274910000000001</v>
      </c>
      <c r="K52">
        <v>3.0539049999999999</v>
      </c>
      <c r="L52">
        <v>3.1626029999999998</v>
      </c>
      <c r="M52">
        <v>0.32604300000000003</v>
      </c>
    </row>
    <row r="53" spans="1:13" x14ac:dyDescent="0.25">
      <c r="A53" s="82">
        <v>43069</v>
      </c>
      <c r="B53">
        <v>7.3180930000000002</v>
      </c>
      <c r="C53">
        <v>1.0313380000000001</v>
      </c>
      <c r="D53">
        <v>6.5167809999999999</v>
      </c>
      <c r="E53">
        <v>6.3801620000000003</v>
      </c>
      <c r="F53">
        <v>3.9195489999999999</v>
      </c>
      <c r="G53">
        <v>5.7299910000000001</v>
      </c>
      <c r="H53">
        <v>3.8453580000000001</v>
      </c>
      <c r="I53">
        <v>0.60338999999999998</v>
      </c>
      <c r="J53">
        <v>3.226016</v>
      </c>
      <c r="K53">
        <v>3.052206</v>
      </c>
      <c r="M53">
        <v>0.32575900000000002</v>
      </c>
    </row>
    <row r="54" spans="1:13" x14ac:dyDescent="0.25">
      <c r="A54" s="82">
        <v>43068</v>
      </c>
      <c r="B54">
        <v>7.3134009999999998</v>
      </c>
      <c r="C54">
        <v>1.0311710000000001</v>
      </c>
      <c r="D54">
        <v>6.5120560000000003</v>
      </c>
      <c r="E54">
        <v>6.3756349999999999</v>
      </c>
      <c r="F54">
        <v>3.916585</v>
      </c>
      <c r="G54">
        <v>5.7258500000000003</v>
      </c>
      <c r="H54">
        <v>3.8426580000000001</v>
      </c>
      <c r="I54">
        <v>0.59992199999999996</v>
      </c>
      <c r="J54">
        <v>3.224335</v>
      </c>
      <c r="K54">
        <v>3.0504549999999999</v>
      </c>
      <c r="L54">
        <v>3.157467</v>
      </c>
      <c r="M54">
        <v>0.325486</v>
      </c>
    </row>
    <row r="55" spans="1:13" x14ac:dyDescent="0.25">
      <c r="A55" s="82">
        <v>43067</v>
      </c>
      <c r="B55">
        <v>7.3088680000000004</v>
      </c>
      <c r="C55">
        <v>1.0310870000000001</v>
      </c>
      <c r="D55">
        <v>6.5076210000000003</v>
      </c>
      <c r="E55">
        <v>6.3711989999999998</v>
      </c>
      <c r="F55">
        <v>3.9140519999999999</v>
      </c>
      <c r="G55">
        <v>5.7220849999999999</v>
      </c>
      <c r="H55">
        <v>3.840163</v>
      </c>
      <c r="I55">
        <v>0.59886099999999998</v>
      </c>
      <c r="J55">
        <v>3.2222729999999999</v>
      </c>
      <c r="K55">
        <v>3.0487039999999999</v>
      </c>
      <c r="M55">
        <v>0.32551200000000002</v>
      </c>
    </row>
    <row r="56" spans="1:13" x14ac:dyDescent="0.25">
      <c r="A56" s="82">
        <v>43066</v>
      </c>
      <c r="B56">
        <v>7.3042160000000003</v>
      </c>
      <c r="C56">
        <v>1.031002</v>
      </c>
      <c r="D56">
        <v>6.5029339999999998</v>
      </c>
      <c r="E56">
        <v>6.3679050000000004</v>
      </c>
      <c r="F56">
        <v>3.911133</v>
      </c>
      <c r="G56">
        <v>5.7179019999999996</v>
      </c>
      <c r="H56">
        <v>3.837704</v>
      </c>
      <c r="I56">
        <v>0.59817900000000002</v>
      </c>
      <c r="J56">
        <v>3.2203089999999999</v>
      </c>
      <c r="K56">
        <v>3.0506639999999998</v>
      </c>
      <c r="L56">
        <v>3.1537229999999998</v>
      </c>
      <c r="M56">
        <v>0.32537899999999997</v>
      </c>
    </row>
    <row r="57" spans="1:13" x14ac:dyDescent="0.25">
      <c r="A57" s="82">
        <v>43063</v>
      </c>
      <c r="B57">
        <v>7.2901340000000001</v>
      </c>
      <c r="C57">
        <v>1.0307200000000001</v>
      </c>
      <c r="D57">
        <v>6.4975100000000001</v>
      </c>
      <c r="E57">
        <v>6.3618449999999998</v>
      </c>
      <c r="F57">
        <v>3.9078089999999999</v>
      </c>
      <c r="G57">
        <v>5.7125260000000004</v>
      </c>
      <c r="H57">
        <v>3.834219</v>
      </c>
      <c r="I57">
        <v>0.59812299999999996</v>
      </c>
      <c r="J57">
        <v>3.2151869999999998</v>
      </c>
      <c r="K57">
        <v>3.045776</v>
      </c>
      <c r="L57">
        <v>3.1487479999999999</v>
      </c>
      <c r="M57">
        <v>0.32476500000000003</v>
      </c>
    </row>
    <row r="58" spans="1:13" x14ac:dyDescent="0.25">
      <c r="A58" s="82">
        <v>43062</v>
      </c>
      <c r="B58">
        <v>7.2854270000000003</v>
      </c>
      <c r="C58">
        <v>1.0305880000000001</v>
      </c>
      <c r="D58">
        <v>6.4836410000000004</v>
      </c>
      <c r="E58">
        <v>6.3492439999999997</v>
      </c>
      <c r="F58">
        <v>3.8993820000000001</v>
      </c>
      <c r="G58">
        <v>5.7012029999999996</v>
      </c>
      <c r="H58">
        <v>3.826603</v>
      </c>
      <c r="I58">
        <v>0.59895399999999999</v>
      </c>
      <c r="J58">
        <v>3.2122660000000001</v>
      </c>
      <c r="K58">
        <v>3.0452050000000002</v>
      </c>
      <c r="L58">
        <v>3.1452300000000002</v>
      </c>
      <c r="M58">
        <v>0.32452300000000001</v>
      </c>
    </row>
    <row r="59" spans="1:13" x14ac:dyDescent="0.25">
      <c r="A59" s="82">
        <v>43061</v>
      </c>
      <c r="B59">
        <v>7.2810230000000002</v>
      </c>
      <c r="C59">
        <v>1.0304230000000001</v>
      </c>
      <c r="D59">
        <v>6.4787739999999996</v>
      </c>
      <c r="E59">
        <v>6.3443829999999997</v>
      </c>
      <c r="F59">
        <v>3.8962599999999998</v>
      </c>
      <c r="G59">
        <v>5.6965589999999997</v>
      </c>
      <c r="H59">
        <v>3.8234880000000002</v>
      </c>
      <c r="I59">
        <v>0.60265800000000003</v>
      </c>
      <c r="J59">
        <v>3.2103640000000002</v>
      </c>
      <c r="K59">
        <v>3.0436160000000001</v>
      </c>
      <c r="L59">
        <v>3.1431680000000002</v>
      </c>
      <c r="M59">
        <v>0.324324</v>
      </c>
    </row>
    <row r="60" spans="1:13" x14ac:dyDescent="0.25">
      <c r="A60" s="82">
        <v>43060</v>
      </c>
      <c r="B60">
        <v>7.2764949999999997</v>
      </c>
      <c r="C60">
        <v>1.03034</v>
      </c>
      <c r="D60">
        <v>6.4752270000000003</v>
      </c>
      <c r="E60">
        <v>6.3401829999999997</v>
      </c>
      <c r="F60">
        <v>3.8938060000000001</v>
      </c>
      <c r="G60">
        <v>5.6929990000000004</v>
      </c>
      <c r="H60">
        <v>3.821097</v>
      </c>
      <c r="I60">
        <v>0.60221499999999994</v>
      </c>
      <c r="J60">
        <v>3.2084169999999999</v>
      </c>
      <c r="K60">
        <v>3.04203</v>
      </c>
      <c r="L60">
        <v>3.1413690000000001</v>
      </c>
      <c r="M60">
        <v>0.32383800000000001</v>
      </c>
    </row>
    <row r="61" spans="1:13" x14ac:dyDescent="0.25">
      <c r="A61" s="82">
        <v>43056</v>
      </c>
      <c r="B61">
        <v>7.2578630000000004</v>
      </c>
      <c r="C61">
        <v>1.03</v>
      </c>
      <c r="D61">
        <v>6.4698419999999999</v>
      </c>
      <c r="E61">
        <v>6.3336949999999996</v>
      </c>
      <c r="F61">
        <v>3.891311</v>
      </c>
      <c r="G61">
        <v>5.6876220000000002</v>
      </c>
      <c r="H61">
        <v>3.8174510000000001</v>
      </c>
      <c r="I61">
        <v>0.60198700000000005</v>
      </c>
      <c r="J61">
        <v>3.2011880000000001</v>
      </c>
      <c r="K61">
        <v>3.0373399999999999</v>
      </c>
      <c r="L61">
        <v>3.1351529999999999</v>
      </c>
      <c r="M61">
        <v>0.32317699999999999</v>
      </c>
    </row>
    <row r="62" spans="1:13" x14ac:dyDescent="0.25">
      <c r="A62" s="82">
        <v>43055</v>
      </c>
      <c r="B62">
        <v>7.2534169999999998</v>
      </c>
      <c r="C62">
        <v>1.0298259999999999</v>
      </c>
      <c r="D62">
        <v>6.4527520000000003</v>
      </c>
      <c r="E62">
        <v>6.3189359999999999</v>
      </c>
      <c r="F62">
        <v>3.8810959999999999</v>
      </c>
      <c r="G62">
        <v>5.6742350000000004</v>
      </c>
      <c r="H62">
        <v>3.808411</v>
      </c>
      <c r="I62">
        <v>0.60126100000000005</v>
      </c>
      <c r="J62">
        <v>3.1980080000000002</v>
      </c>
      <c r="K62">
        <v>3.0352779999999999</v>
      </c>
      <c r="L62">
        <v>3.1316920000000001</v>
      </c>
      <c r="M62">
        <v>0.32292799999999999</v>
      </c>
    </row>
    <row r="63" spans="1:13" x14ac:dyDescent="0.25">
      <c r="A63" s="82">
        <v>43054</v>
      </c>
      <c r="B63">
        <v>7.2489229999999996</v>
      </c>
      <c r="C63">
        <v>1.02966</v>
      </c>
      <c r="D63">
        <v>6.4461719999999998</v>
      </c>
      <c r="E63">
        <v>6.3133280000000003</v>
      </c>
      <c r="F63">
        <v>3.877659</v>
      </c>
      <c r="G63">
        <v>5.6688520000000002</v>
      </c>
      <c r="H63">
        <v>3.804513</v>
      </c>
      <c r="I63">
        <v>0.60067199999999998</v>
      </c>
      <c r="J63">
        <v>3.1959179999999998</v>
      </c>
      <c r="K63">
        <v>3.0336479999999999</v>
      </c>
      <c r="L63">
        <v>3.1295600000000001</v>
      </c>
      <c r="M63">
        <v>0.32266800000000001</v>
      </c>
    </row>
    <row r="64" spans="1:13" x14ac:dyDescent="0.25">
      <c r="A64" s="82">
        <v>43053</v>
      </c>
      <c r="B64">
        <v>7.2441579999999997</v>
      </c>
      <c r="C64">
        <v>1.0295749999999999</v>
      </c>
      <c r="D64">
        <v>6.4408849999999997</v>
      </c>
      <c r="E64">
        <v>6.3106030000000004</v>
      </c>
      <c r="F64">
        <v>3.8744800000000001</v>
      </c>
      <c r="G64">
        <v>5.6647629999999998</v>
      </c>
      <c r="H64">
        <v>3.802238</v>
      </c>
      <c r="I64">
        <v>0.60059899999999999</v>
      </c>
      <c r="J64">
        <v>3.1938819999999999</v>
      </c>
      <c r="K64">
        <v>3.0320130000000001</v>
      </c>
      <c r="L64">
        <v>3.127643</v>
      </c>
      <c r="M64">
        <v>0.32253599999999999</v>
      </c>
    </row>
    <row r="65" spans="1:13" x14ac:dyDescent="0.25">
      <c r="A65" s="82">
        <v>43052</v>
      </c>
      <c r="B65">
        <v>7.2394639999999999</v>
      </c>
      <c r="C65">
        <v>1.02949</v>
      </c>
      <c r="D65">
        <v>6.4358430000000002</v>
      </c>
      <c r="E65">
        <v>6.3068080000000002</v>
      </c>
      <c r="F65">
        <v>3.8728220000000002</v>
      </c>
      <c r="G65">
        <v>5.6604000000000001</v>
      </c>
      <c r="H65">
        <v>3.8004669999999998</v>
      </c>
      <c r="I65">
        <v>0.60321400000000003</v>
      </c>
      <c r="J65">
        <v>3.191891</v>
      </c>
      <c r="K65">
        <v>3.0303969999999998</v>
      </c>
      <c r="L65">
        <v>3.1256029999999999</v>
      </c>
      <c r="M65">
        <v>0.32230900000000001</v>
      </c>
    </row>
    <row r="66" spans="1:13" x14ac:dyDescent="0.25">
      <c r="A66" s="82">
        <v>43049</v>
      </c>
      <c r="B66">
        <v>7.225339</v>
      </c>
      <c r="C66">
        <v>1.029382</v>
      </c>
      <c r="D66">
        <v>6.4286820000000002</v>
      </c>
      <c r="E66">
        <v>6.2997059999999996</v>
      </c>
      <c r="F66">
        <v>3.86911</v>
      </c>
      <c r="G66">
        <v>5.6551819999999999</v>
      </c>
      <c r="H66">
        <v>3.7968139999999999</v>
      </c>
      <c r="I66">
        <v>0.60280199999999995</v>
      </c>
      <c r="J66">
        <v>3.1869369999999999</v>
      </c>
      <c r="K66">
        <v>3.0258799999999999</v>
      </c>
      <c r="L66">
        <v>3.1207760000000002</v>
      </c>
      <c r="M66">
        <v>0.32177299999999998</v>
      </c>
    </row>
    <row r="67" spans="1:13" x14ac:dyDescent="0.25">
      <c r="A67" s="82">
        <v>43048</v>
      </c>
      <c r="B67">
        <v>7.2207350000000003</v>
      </c>
      <c r="C67">
        <v>1.029245</v>
      </c>
      <c r="D67">
        <v>6.4186930000000002</v>
      </c>
      <c r="E67">
        <v>6.2882600000000002</v>
      </c>
      <c r="F67">
        <v>3.8616899999999998</v>
      </c>
      <c r="G67">
        <v>5.6443110000000001</v>
      </c>
      <c r="H67">
        <v>3.7900230000000001</v>
      </c>
      <c r="I67">
        <v>0.60305399999999998</v>
      </c>
      <c r="J67">
        <v>3.1842769999999998</v>
      </c>
      <c r="K67">
        <v>3.0239910000000001</v>
      </c>
      <c r="L67">
        <v>3.1178129999999999</v>
      </c>
      <c r="M67">
        <v>0.32152700000000001</v>
      </c>
    </row>
    <row r="68" spans="1:13" x14ac:dyDescent="0.25">
      <c r="A68" s="82">
        <v>43047</v>
      </c>
      <c r="B68">
        <v>7.2161340000000003</v>
      </c>
      <c r="C68">
        <v>1.02908</v>
      </c>
      <c r="D68">
        <v>6.4154400000000003</v>
      </c>
      <c r="E68">
        <v>6.2849079999999997</v>
      </c>
      <c r="F68">
        <v>3.859531</v>
      </c>
      <c r="G68">
        <v>5.6416810000000002</v>
      </c>
      <c r="H68">
        <v>3.7890489999999999</v>
      </c>
      <c r="I68">
        <v>0.60266299999999995</v>
      </c>
      <c r="J68">
        <v>3.1811769999999999</v>
      </c>
      <c r="K68">
        <v>3.0223689999999999</v>
      </c>
      <c r="L68">
        <v>3.1158739999999998</v>
      </c>
      <c r="M68">
        <v>0.32131399999999999</v>
      </c>
    </row>
    <row r="69" spans="1:13" x14ac:dyDescent="0.25">
      <c r="A69" s="82">
        <v>43046</v>
      </c>
      <c r="B69">
        <v>7.2117069999999996</v>
      </c>
      <c r="C69">
        <v>1.0289980000000001</v>
      </c>
      <c r="D69">
        <v>6.4172969999999996</v>
      </c>
      <c r="E69">
        <v>6.2839010000000002</v>
      </c>
      <c r="F69">
        <v>3.8578619999999999</v>
      </c>
      <c r="G69">
        <v>5.6398729999999997</v>
      </c>
      <c r="H69">
        <v>3.7887019999999998</v>
      </c>
      <c r="I69">
        <v>0.60436999999999996</v>
      </c>
      <c r="J69">
        <v>3.1823920000000001</v>
      </c>
      <c r="K69">
        <v>3.0211070000000002</v>
      </c>
      <c r="L69">
        <v>3.1141009999999998</v>
      </c>
      <c r="M69">
        <v>0.321189</v>
      </c>
    </row>
    <row r="70" spans="1:13" x14ac:dyDescent="0.25">
      <c r="A70" s="82">
        <v>43042</v>
      </c>
      <c r="B70">
        <v>7.1935919999999998</v>
      </c>
      <c r="C70">
        <v>1.0287299999999999</v>
      </c>
      <c r="D70">
        <v>6.4089429999999998</v>
      </c>
      <c r="E70">
        <v>6.2771549999999996</v>
      </c>
      <c r="F70">
        <v>3.8548629999999999</v>
      </c>
      <c r="G70">
        <v>5.6330910000000003</v>
      </c>
      <c r="H70">
        <v>3.784767</v>
      </c>
      <c r="I70">
        <v>0.60364899999999999</v>
      </c>
      <c r="J70">
        <v>3.174947</v>
      </c>
      <c r="K70">
        <v>3.0145460000000002</v>
      </c>
      <c r="L70">
        <v>3.1079249999999998</v>
      </c>
      <c r="M70">
        <v>0.32052000000000003</v>
      </c>
    </row>
    <row r="71" spans="1:13" x14ac:dyDescent="0.25">
      <c r="A71" s="82">
        <v>43041</v>
      </c>
      <c r="B71">
        <v>7.1890929999999997</v>
      </c>
      <c r="C71">
        <v>1.0285359999999999</v>
      </c>
      <c r="D71">
        <v>6.3994359999999997</v>
      </c>
      <c r="E71">
        <v>6.2622619999999998</v>
      </c>
      <c r="F71">
        <v>3.8443450000000001</v>
      </c>
      <c r="G71">
        <v>5.6189730000000004</v>
      </c>
      <c r="H71">
        <v>3.7762760000000002</v>
      </c>
      <c r="J71">
        <v>3.171881</v>
      </c>
      <c r="K71">
        <v>3.0122599999999999</v>
      </c>
      <c r="L71">
        <v>3.1045829999999999</v>
      </c>
      <c r="M71">
        <v>0.32020599999999999</v>
      </c>
    </row>
    <row r="72" spans="1:13" x14ac:dyDescent="0.25">
      <c r="A72" s="82">
        <v>43040</v>
      </c>
      <c r="B72">
        <v>7.1847320000000003</v>
      </c>
      <c r="C72">
        <v>1.0283709999999999</v>
      </c>
      <c r="D72">
        <v>6.3945590000000001</v>
      </c>
      <c r="E72">
        <v>6.2565189999999999</v>
      </c>
      <c r="F72">
        <v>3.8407140000000002</v>
      </c>
      <c r="G72">
        <v>5.6137059999999996</v>
      </c>
      <c r="H72">
        <v>3.7732450000000002</v>
      </c>
      <c r="J72">
        <v>3.1698460000000002</v>
      </c>
      <c r="K72">
        <v>3.0105550000000001</v>
      </c>
      <c r="L72">
        <v>3.102592</v>
      </c>
      <c r="M72">
        <v>0.32009100000000001</v>
      </c>
    </row>
    <row r="73" spans="1:13" x14ac:dyDescent="0.25">
      <c r="A73" s="82">
        <v>43039</v>
      </c>
      <c r="B73">
        <v>7.1803819999999998</v>
      </c>
      <c r="C73">
        <v>1.028281</v>
      </c>
      <c r="D73">
        <v>6.3919860000000002</v>
      </c>
      <c r="E73">
        <v>6.2532019999999999</v>
      </c>
      <c r="F73">
        <v>3.8387129999999998</v>
      </c>
      <c r="G73">
        <v>5.6113629999999999</v>
      </c>
      <c r="H73">
        <v>3.7716639999999999</v>
      </c>
      <c r="J73">
        <v>3.1683020000000002</v>
      </c>
      <c r="K73">
        <v>3.009109</v>
      </c>
      <c r="L73">
        <v>3.100803</v>
      </c>
      <c r="M73">
        <v>0.31988899999999998</v>
      </c>
    </row>
    <row r="74" spans="1:13" x14ac:dyDescent="0.25">
      <c r="A74" s="82">
        <v>43038</v>
      </c>
      <c r="B74">
        <v>7.1759360000000001</v>
      </c>
      <c r="C74">
        <v>1.028187</v>
      </c>
      <c r="D74">
        <v>6.3881779999999999</v>
      </c>
      <c r="E74">
        <v>6.2487709999999996</v>
      </c>
      <c r="F74">
        <v>3.8361420000000002</v>
      </c>
      <c r="G74">
        <v>5.6076600000000001</v>
      </c>
      <c r="H74">
        <v>3.7702059999999999</v>
      </c>
      <c r="J74">
        <v>3.1664080000000001</v>
      </c>
      <c r="K74">
        <v>3.0075050000000001</v>
      </c>
      <c r="L74">
        <v>3.099116</v>
      </c>
      <c r="M74">
        <v>0.31979600000000002</v>
      </c>
    </row>
    <row r="75" spans="1:13" x14ac:dyDescent="0.25">
      <c r="A75" s="82">
        <v>43035</v>
      </c>
      <c r="B75">
        <v>7.1627720000000004</v>
      </c>
      <c r="C75">
        <v>1.0278940000000001</v>
      </c>
      <c r="D75">
        <v>6.3843870000000003</v>
      </c>
      <c r="E75">
        <v>6.2433009999999998</v>
      </c>
      <c r="F75">
        <v>3.8334100000000002</v>
      </c>
      <c r="G75">
        <v>5.6022150000000002</v>
      </c>
      <c r="H75">
        <v>3.7694890000000001</v>
      </c>
      <c r="J75">
        <v>3.1616629999999999</v>
      </c>
      <c r="K75">
        <v>3.0031099999999999</v>
      </c>
      <c r="L75">
        <v>3.094392</v>
      </c>
      <c r="M75">
        <v>0.31940000000000002</v>
      </c>
    </row>
    <row r="76" spans="1:13" x14ac:dyDescent="0.25">
      <c r="A76" s="82">
        <v>43034</v>
      </c>
      <c r="B76">
        <v>7.1585590000000003</v>
      </c>
      <c r="C76">
        <v>1.027738</v>
      </c>
      <c r="D76">
        <v>6.3778649999999999</v>
      </c>
      <c r="E76">
        <v>6.2360800000000003</v>
      </c>
      <c r="F76">
        <v>3.826794</v>
      </c>
      <c r="G76">
        <v>5.594201</v>
      </c>
      <c r="H76">
        <v>3.7640570000000002</v>
      </c>
      <c r="J76">
        <v>3.1586219999999998</v>
      </c>
      <c r="K76">
        <v>3.0010500000000002</v>
      </c>
      <c r="L76">
        <v>3.0917309999999998</v>
      </c>
      <c r="M76">
        <v>0.31903599999999999</v>
      </c>
    </row>
    <row r="77" spans="1:13" x14ac:dyDescent="0.25">
      <c r="A77" s="82">
        <v>43033</v>
      </c>
      <c r="B77">
        <v>7.1546500000000002</v>
      </c>
      <c r="C77">
        <v>1.0275510000000001</v>
      </c>
      <c r="D77">
        <v>6.376684</v>
      </c>
      <c r="E77">
        <v>6.2338570000000004</v>
      </c>
      <c r="F77">
        <v>3.8254739999999998</v>
      </c>
      <c r="G77">
        <v>5.5904730000000002</v>
      </c>
      <c r="H77">
        <v>3.7631610000000002</v>
      </c>
      <c r="J77">
        <v>3.1578550000000001</v>
      </c>
      <c r="K77">
        <v>3.0001950000000002</v>
      </c>
      <c r="L77">
        <v>3.0897540000000001</v>
      </c>
      <c r="M77">
        <v>0.31894499999999998</v>
      </c>
    </row>
    <row r="78" spans="1:13" x14ac:dyDescent="0.25">
      <c r="A78" s="82">
        <v>43032</v>
      </c>
      <c r="B78">
        <v>7.1504370000000002</v>
      </c>
      <c r="C78">
        <v>1.0274589999999999</v>
      </c>
      <c r="D78">
        <v>6.3762429999999997</v>
      </c>
      <c r="E78">
        <v>6.2311030000000001</v>
      </c>
      <c r="F78">
        <v>3.823658</v>
      </c>
      <c r="G78">
        <v>5.5901050000000003</v>
      </c>
      <c r="H78">
        <v>3.7612070000000002</v>
      </c>
      <c r="J78">
        <v>3.1558220000000001</v>
      </c>
      <c r="K78">
        <v>2.9986120000000001</v>
      </c>
      <c r="L78">
        <v>3.0881660000000002</v>
      </c>
      <c r="M78">
        <v>0.318797</v>
      </c>
    </row>
    <row r="79" spans="1:13" x14ac:dyDescent="0.25">
      <c r="A79" s="82">
        <v>43031</v>
      </c>
      <c r="B79">
        <v>7.1461410000000001</v>
      </c>
      <c r="C79">
        <v>1.0273669999999999</v>
      </c>
      <c r="D79">
        <v>6.3720249999999998</v>
      </c>
      <c r="E79">
        <v>6.2267450000000002</v>
      </c>
      <c r="F79">
        <v>3.8211740000000001</v>
      </c>
      <c r="G79">
        <v>5.5859880000000004</v>
      </c>
      <c r="H79">
        <v>3.758759</v>
      </c>
      <c r="J79">
        <v>3.15395</v>
      </c>
      <c r="K79">
        <v>2.9970490000000001</v>
      </c>
      <c r="L79">
        <v>3.086293</v>
      </c>
      <c r="M79">
        <v>0.31858900000000001</v>
      </c>
    </row>
    <row r="80" spans="1:13" x14ac:dyDescent="0.25">
      <c r="A80" s="82">
        <v>43028</v>
      </c>
      <c r="B80">
        <v>7.1331490000000004</v>
      </c>
      <c r="C80">
        <v>1.0270090000000001</v>
      </c>
      <c r="D80">
        <v>6.3658080000000004</v>
      </c>
      <c r="E80">
        <v>6.2211740000000004</v>
      </c>
      <c r="F80">
        <v>3.818683</v>
      </c>
      <c r="G80">
        <v>5.5813220000000001</v>
      </c>
      <c r="H80">
        <v>3.7559269999999998</v>
      </c>
      <c r="J80">
        <v>3.1491889999999998</v>
      </c>
      <c r="K80">
        <v>2.9927489999999999</v>
      </c>
      <c r="L80">
        <v>3.0815830000000002</v>
      </c>
      <c r="M80">
        <v>0.31814100000000001</v>
      </c>
    </row>
    <row r="81" spans="1:13" x14ac:dyDescent="0.25">
      <c r="A81" s="82">
        <v>43027</v>
      </c>
      <c r="B81">
        <v>7.1289879999999997</v>
      </c>
      <c r="C81">
        <v>1.0268630000000001</v>
      </c>
      <c r="D81">
        <v>6.3563210000000003</v>
      </c>
      <c r="E81">
        <v>6.2113889999999996</v>
      </c>
      <c r="F81">
        <v>3.8115429999999999</v>
      </c>
      <c r="G81">
        <v>5.5718189999999996</v>
      </c>
      <c r="H81">
        <v>3.7498279999999999</v>
      </c>
      <c r="J81">
        <v>3.1464460000000001</v>
      </c>
      <c r="K81">
        <v>2.990761</v>
      </c>
      <c r="L81">
        <v>3.079002</v>
      </c>
      <c r="M81">
        <v>0.31785000000000002</v>
      </c>
    </row>
    <row r="82" spans="1:13" x14ac:dyDescent="0.25">
      <c r="A82" s="82">
        <v>43026</v>
      </c>
      <c r="B82">
        <v>7.1249409999999997</v>
      </c>
      <c r="C82">
        <v>1.02667</v>
      </c>
      <c r="D82">
        <v>6.3528310000000001</v>
      </c>
      <c r="E82">
        <v>6.206124</v>
      </c>
      <c r="F82">
        <v>3.8089189999999999</v>
      </c>
      <c r="G82">
        <v>5.5676550000000002</v>
      </c>
      <c r="H82">
        <v>3.746947</v>
      </c>
      <c r="J82">
        <v>3.1446529999999999</v>
      </c>
      <c r="K82">
        <v>2.9892840000000001</v>
      </c>
      <c r="L82">
        <v>3.0772010000000001</v>
      </c>
      <c r="M82">
        <v>0.31769900000000001</v>
      </c>
    </row>
    <row r="83" spans="1:13" x14ac:dyDescent="0.25">
      <c r="A83" s="82">
        <v>43025</v>
      </c>
      <c r="B83">
        <v>7.12073</v>
      </c>
      <c r="C83">
        <v>1.0265759999999999</v>
      </c>
      <c r="D83">
        <v>6.3470839999999997</v>
      </c>
      <c r="E83">
        <v>6.2030539999999998</v>
      </c>
      <c r="F83">
        <v>3.806368</v>
      </c>
      <c r="G83">
        <v>5.5635830000000004</v>
      </c>
      <c r="H83">
        <v>3.7447659999999998</v>
      </c>
      <c r="J83">
        <v>3.1426880000000001</v>
      </c>
      <c r="K83">
        <v>2.9876849999999999</v>
      </c>
      <c r="L83">
        <v>3.075342</v>
      </c>
      <c r="M83">
        <v>0.31754599999999999</v>
      </c>
    </row>
    <row r="84" spans="1:13" x14ac:dyDescent="0.25">
      <c r="A84" s="82">
        <v>43021</v>
      </c>
      <c r="B84">
        <v>7.1035170000000001</v>
      </c>
      <c r="C84">
        <v>1.0261480000000001</v>
      </c>
      <c r="D84">
        <v>6.3411020000000002</v>
      </c>
      <c r="E84">
        <v>6.195595</v>
      </c>
      <c r="F84">
        <v>3.8036029999999998</v>
      </c>
      <c r="G84">
        <v>5.5581100000000001</v>
      </c>
      <c r="H84">
        <v>3.741123</v>
      </c>
      <c r="J84">
        <v>3.1366589999999999</v>
      </c>
      <c r="K84">
        <v>2.9819170000000002</v>
      </c>
      <c r="L84">
        <v>3.0691999999999999</v>
      </c>
      <c r="M84">
        <v>0.31684899999999999</v>
      </c>
    </row>
    <row r="85" spans="1:13" x14ac:dyDescent="0.25">
      <c r="A85" s="82">
        <v>43020</v>
      </c>
      <c r="B85">
        <v>7.0992430000000004</v>
      </c>
      <c r="C85">
        <v>1.0260069999999999</v>
      </c>
      <c r="D85">
        <v>6.3251720000000002</v>
      </c>
      <c r="E85">
        <v>6.182188</v>
      </c>
      <c r="F85">
        <v>3.7934640000000002</v>
      </c>
      <c r="G85">
        <v>5.5441839999999996</v>
      </c>
      <c r="H85">
        <v>3.7321589999999998</v>
      </c>
      <c r="J85">
        <v>3.1336309999999998</v>
      </c>
      <c r="K85">
        <v>2.9797410000000002</v>
      </c>
      <c r="L85">
        <v>3.0661860000000001</v>
      </c>
      <c r="M85">
        <v>0.31645499999999999</v>
      </c>
    </row>
    <row r="86" spans="1:13" x14ac:dyDescent="0.25">
      <c r="A86" s="82">
        <v>43019</v>
      </c>
      <c r="B86">
        <v>7.0949669999999996</v>
      </c>
      <c r="C86">
        <v>1.025814</v>
      </c>
      <c r="D86">
        <v>6.3210369999999996</v>
      </c>
      <c r="E86">
        <v>6.1781709999999999</v>
      </c>
      <c r="F86">
        <v>3.7909809999999999</v>
      </c>
      <c r="G86">
        <v>5.540483</v>
      </c>
      <c r="H86">
        <v>3.7296849999999999</v>
      </c>
      <c r="J86">
        <v>3.1318419999999998</v>
      </c>
      <c r="K86">
        <v>2.9782500000000001</v>
      </c>
      <c r="L86">
        <v>3.064832</v>
      </c>
      <c r="M86">
        <v>0.31643900000000003</v>
      </c>
    </row>
    <row r="87" spans="1:13" x14ac:dyDescent="0.25">
      <c r="A87" s="82">
        <v>43018</v>
      </c>
      <c r="B87">
        <v>7.0905659999999999</v>
      </c>
      <c r="C87">
        <v>1.025722</v>
      </c>
      <c r="D87">
        <v>6.3165969999999998</v>
      </c>
      <c r="E87">
        <v>6.1737089999999997</v>
      </c>
      <c r="F87">
        <v>3.7881070000000001</v>
      </c>
      <c r="G87">
        <v>5.5362489999999998</v>
      </c>
      <c r="H87">
        <v>3.7270810000000001</v>
      </c>
      <c r="J87">
        <v>3.130125</v>
      </c>
      <c r="K87">
        <v>2.9767100000000002</v>
      </c>
      <c r="L87">
        <v>3.0630160000000002</v>
      </c>
      <c r="M87">
        <v>0.31628699999999998</v>
      </c>
    </row>
    <row r="88" spans="1:13" x14ac:dyDescent="0.25">
      <c r="A88" s="82">
        <v>43017</v>
      </c>
      <c r="B88">
        <v>7.0862569999999998</v>
      </c>
      <c r="C88">
        <v>1.0256289999999999</v>
      </c>
      <c r="D88">
        <v>6.3122179999999997</v>
      </c>
      <c r="E88">
        <v>6.1695279999999997</v>
      </c>
      <c r="F88">
        <v>3.7856179999999999</v>
      </c>
      <c r="G88">
        <v>5.5324499999999999</v>
      </c>
      <c r="H88">
        <v>3.7245699999999999</v>
      </c>
      <c r="J88">
        <v>3.1280009999999998</v>
      </c>
      <c r="K88">
        <v>2.9750809999999999</v>
      </c>
      <c r="L88">
        <v>3.0612200000000001</v>
      </c>
      <c r="M88">
        <v>0.31609199999999998</v>
      </c>
    </row>
    <row r="89" spans="1:13" x14ac:dyDescent="0.25">
      <c r="A89" s="82">
        <v>43014</v>
      </c>
      <c r="B89">
        <v>7.0732679999999997</v>
      </c>
      <c r="C89">
        <v>1.0253650000000001</v>
      </c>
      <c r="D89">
        <v>6.304837</v>
      </c>
      <c r="E89">
        <v>6.1634690000000001</v>
      </c>
      <c r="F89">
        <v>3.783118</v>
      </c>
      <c r="G89">
        <v>5.5269110000000001</v>
      </c>
      <c r="H89">
        <v>3.7212160000000001</v>
      </c>
      <c r="J89">
        <v>3.123348</v>
      </c>
      <c r="K89">
        <v>2.9709460000000001</v>
      </c>
      <c r="L89">
        <v>3.0566110000000002</v>
      </c>
      <c r="M89">
        <v>0.315639</v>
      </c>
    </row>
    <row r="90" spans="1:13" x14ac:dyDescent="0.25">
      <c r="A90" s="82">
        <v>43013</v>
      </c>
      <c r="B90">
        <v>7.0690749999999998</v>
      </c>
      <c r="C90">
        <v>1.0251699999999999</v>
      </c>
      <c r="D90">
        <v>6.2943610000000003</v>
      </c>
      <c r="E90">
        <v>6.1527529999999997</v>
      </c>
      <c r="F90">
        <v>3.7748339999999998</v>
      </c>
      <c r="G90">
        <v>5.5163859999999998</v>
      </c>
      <c r="H90">
        <v>3.7145820000000001</v>
      </c>
      <c r="J90">
        <v>3.1204459999999998</v>
      </c>
      <c r="K90">
        <v>2.9688560000000002</v>
      </c>
      <c r="L90">
        <v>3.0541390000000002</v>
      </c>
      <c r="M90">
        <v>0.315359</v>
      </c>
    </row>
    <row r="91" spans="1:13" x14ac:dyDescent="0.25">
      <c r="A91" s="82">
        <v>43012</v>
      </c>
      <c r="B91">
        <v>7.0648629999999999</v>
      </c>
      <c r="C91">
        <v>1.0250010000000001</v>
      </c>
      <c r="D91">
        <v>6.2906430000000002</v>
      </c>
      <c r="E91">
        <v>6.1489289999999999</v>
      </c>
      <c r="F91">
        <v>3.772351</v>
      </c>
      <c r="G91">
        <v>5.5129140000000003</v>
      </c>
      <c r="H91">
        <v>3.7117429999999998</v>
      </c>
      <c r="J91">
        <v>3.1188989999999999</v>
      </c>
      <c r="K91">
        <v>2.9674200000000002</v>
      </c>
      <c r="L91">
        <v>3.0522770000000001</v>
      </c>
      <c r="M91">
        <v>0.315189</v>
      </c>
    </row>
    <row r="92" spans="1:13" x14ac:dyDescent="0.25">
      <c r="A92" s="82">
        <v>43011</v>
      </c>
      <c r="B92">
        <v>7.0606720000000003</v>
      </c>
      <c r="C92">
        <v>1.024894</v>
      </c>
      <c r="D92">
        <v>6.2855780000000001</v>
      </c>
      <c r="E92">
        <v>6.1446440000000004</v>
      </c>
      <c r="F92">
        <v>3.7693279999999998</v>
      </c>
      <c r="G92">
        <v>5.5084739999999996</v>
      </c>
      <c r="H92">
        <v>3.7088549999999998</v>
      </c>
      <c r="J92">
        <v>3.1174599999999999</v>
      </c>
      <c r="K92">
        <v>2.965786</v>
      </c>
      <c r="L92">
        <v>3.0503070000000001</v>
      </c>
      <c r="M92">
        <v>0.31497399999999998</v>
      </c>
    </row>
    <row r="93" spans="1:13" x14ac:dyDescent="0.25">
      <c r="A93" s="82">
        <v>43010</v>
      </c>
      <c r="B93">
        <v>7.0564369999999998</v>
      </c>
      <c r="C93">
        <v>1.024802</v>
      </c>
      <c r="D93">
        <v>6.2815060000000003</v>
      </c>
      <c r="E93">
        <v>6.1401859999999999</v>
      </c>
      <c r="F93">
        <v>3.7671190000000001</v>
      </c>
      <c r="G93">
        <v>5.5047420000000002</v>
      </c>
      <c r="H93">
        <v>3.706</v>
      </c>
      <c r="J93">
        <v>3.1155529999999998</v>
      </c>
      <c r="K93">
        <v>2.9642680000000001</v>
      </c>
      <c r="L93">
        <v>3.0486409999999999</v>
      </c>
      <c r="M93">
        <v>0.31476799999999999</v>
      </c>
    </row>
    <row r="94" spans="1:13" x14ac:dyDescent="0.25">
      <c r="A94" s="82">
        <v>43007</v>
      </c>
      <c r="B94">
        <v>7.0437750000000001</v>
      </c>
      <c r="C94">
        <v>1.024526</v>
      </c>
      <c r="D94">
        <v>6.2765500000000003</v>
      </c>
      <c r="E94">
        <v>6.133902</v>
      </c>
      <c r="F94">
        <v>3.764154</v>
      </c>
      <c r="G94">
        <v>5.4998310000000004</v>
      </c>
      <c r="H94">
        <v>3.7032370000000001</v>
      </c>
      <c r="J94">
        <v>3.1126710000000002</v>
      </c>
      <c r="K94">
        <v>2.9600330000000001</v>
      </c>
      <c r="L94">
        <v>3.0440480000000001</v>
      </c>
      <c r="M94">
        <v>0.31434800000000002</v>
      </c>
    </row>
    <row r="95" spans="1:13" x14ac:dyDescent="0.25">
      <c r="A95" s="82">
        <v>43006</v>
      </c>
      <c r="B95">
        <v>7.0396289999999997</v>
      </c>
      <c r="C95">
        <v>1.0243770000000001</v>
      </c>
      <c r="D95">
        <v>6.2644359999999999</v>
      </c>
      <c r="E95">
        <v>6.1240690000000004</v>
      </c>
      <c r="F95">
        <v>3.7573180000000002</v>
      </c>
      <c r="G95">
        <v>5.4894119999999997</v>
      </c>
      <c r="H95">
        <v>3.6969080000000001</v>
      </c>
      <c r="J95">
        <v>3.108816</v>
      </c>
      <c r="K95">
        <v>2.9581520000000001</v>
      </c>
      <c r="L95">
        <v>3.0412810000000001</v>
      </c>
      <c r="M95">
        <v>0.31418099999999999</v>
      </c>
    </row>
    <row r="96" spans="1:13" x14ac:dyDescent="0.25">
      <c r="A96" s="82">
        <v>43005</v>
      </c>
      <c r="B96">
        <v>7.0355049999999997</v>
      </c>
      <c r="C96">
        <v>1.024179</v>
      </c>
      <c r="D96">
        <v>6.2607970000000002</v>
      </c>
      <c r="E96">
        <v>6.1204900000000002</v>
      </c>
      <c r="F96">
        <v>3.7549769999999998</v>
      </c>
      <c r="G96">
        <v>5.4856299999999996</v>
      </c>
      <c r="H96">
        <v>3.6942029999999999</v>
      </c>
      <c r="J96">
        <v>3.1071059999999999</v>
      </c>
      <c r="K96">
        <v>2.9566439999999998</v>
      </c>
      <c r="L96">
        <v>3.0395120000000002</v>
      </c>
      <c r="M96">
        <v>0.31407000000000002</v>
      </c>
    </row>
    <row r="97" spans="1:13" x14ac:dyDescent="0.25">
      <c r="A97" s="82">
        <v>43004</v>
      </c>
      <c r="B97">
        <v>7.0313829999999999</v>
      </c>
      <c r="C97">
        <v>1.024084</v>
      </c>
      <c r="D97">
        <v>6.2572599999999996</v>
      </c>
      <c r="E97">
        <v>6.118239</v>
      </c>
      <c r="F97">
        <v>3.7529189999999999</v>
      </c>
      <c r="G97">
        <v>5.4822240000000004</v>
      </c>
      <c r="H97">
        <v>3.692367</v>
      </c>
      <c r="J97">
        <v>3.1053389999999998</v>
      </c>
      <c r="K97">
        <v>2.955111</v>
      </c>
      <c r="L97">
        <v>3.0378430000000001</v>
      </c>
      <c r="M97">
        <v>0.31387900000000002</v>
      </c>
    </row>
    <row r="98" spans="1:13" x14ac:dyDescent="0.25">
      <c r="A98" s="82">
        <v>43003</v>
      </c>
      <c r="B98">
        <v>7.027298</v>
      </c>
      <c r="C98">
        <v>1.02399</v>
      </c>
      <c r="D98">
        <v>6.2535780000000001</v>
      </c>
      <c r="E98">
        <v>6.1152800000000003</v>
      </c>
      <c r="F98">
        <v>3.7503229999999999</v>
      </c>
      <c r="G98">
        <v>5.4795030000000002</v>
      </c>
      <c r="H98">
        <v>3.6903280000000001</v>
      </c>
      <c r="J98">
        <v>3.1031439999999999</v>
      </c>
      <c r="K98">
        <v>2.9536030000000002</v>
      </c>
      <c r="L98">
        <v>3.0360360000000002</v>
      </c>
      <c r="M98">
        <v>0.31370999999999999</v>
      </c>
    </row>
    <row r="99" spans="1:13" x14ac:dyDescent="0.25">
      <c r="A99" s="82">
        <v>43000</v>
      </c>
      <c r="B99">
        <v>7.0148960000000002</v>
      </c>
      <c r="C99">
        <v>1.0237890000000001</v>
      </c>
      <c r="D99">
        <v>6.2511130000000001</v>
      </c>
      <c r="E99">
        <v>6.1109330000000002</v>
      </c>
      <c r="F99">
        <v>3.7484790000000001</v>
      </c>
      <c r="G99">
        <v>5.4761230000000003</v>
      </c>
      <c r="H99">
        <v>3.688758</v>
      </c>
      <c r="J99">
        <v>3.0974819999999998</v>
      </c>
      <c r="K99">
        <v>2.9493320000000001</v>
      </c>
      <c r="L99">
        <v>3.0314179999999999</v>
      </c>
      <c r="M99">
        <v>0.313307</v>
      </c>
    </row>
    <row r="100" spans="1:13" x14ac:dyDescent="0.25">
      <c r="A100" s="82">
        <v>42999</v>
      </c>
      <c r="B100">
        <v>7.0109070000000004</v>
      </c>
      <c r="C100">
        <v>1.023639</v>
      </c>
      <c r="D100">
        <v>6.2451679999999996</v>
      </c>
      <c r="E100">
        <v>6.1005560000000001</v>
      </c>
      <c r="F100">
        <v>3.7411919999999999</v>
      </c>
      <c r="G100">
        <v>5.4664970000000004</v>
      </c>
      <c r="H100">
        <v>3.6833079999999998</v>
      </c>
      <c r="J100">
        <v>3.0945749999999999</v>
      </c>
      <c r="K100">
        <v>2.9476490000000002</v>
      </c>
      <c r="L100">
        <v>3.0290530000000002</v>
      </c>
      <c r="M100">
        <v>0.31307600000000002</v>
      </c>
    </row>
    <row r="101" spans="1:13" x14ac:dyDescent="0.25">
      <c r="A101" s="82">
        <v>42998</v>
      </c>
      <c r="B101">
        <v>7.0069379999999999</v>
      </c>
      <c r="C101">
        <v>1.023444</v>
      </c>
      <c r="D101">
        <v>6.2387649999999999</v>
      </c>
      <c r="E101">
        <v>6.0960210000000004</v>
      </c>
      <c r="F101">
        <v>3.738629</v>
      </c>
      <c r="G101">
        <v>5.460534</v>
      </c>
      <c r="H101">
        <v>3.6799970000000002</v>
      </c>
      <c r="J101">
        <v>3.092724</v>
      </c>
      <c r="K101">
        <v>2.9460579999999998</v>
      </c>
      <c r="L101">
        <v>3.0272190000000001</v>
      </c>
      <c r="M101">
        <v>0.31289</v>
      </c>
    </row>
    <row r="102" spans="1:13" x14ac:dyDescent="0.25">
      <c r="A102" s="82">
        <v>42997</v>
      </c>
      <c r="B102">
        <v>7.0026520000000003</v>
      </c>
      <c r="C102">
        <v>1.0233429999999999</v>
      </c>
      <c r="D102">
        <v>6.2306520000000001</v>
      </c>
      <c r="E102">
        <v>6.092403</v>
      </c>
      <c r="F102">
        <v>3.7355830000000001</v>
      </c>
      <c r="G102">
        <v>5.4566619999999997</v>
      </c>
      <c r="H102">
        <v>3.6766589999999999</v>
      </c>
      <c r="J102">
        <v>3.0905529999999999</v>
      </c>
      <c r="K102">
        <v>2.9445429999999999</v>
      </c>
      <c r="L102">
        <v>3.0253410000000001</v>
      </c>
      <c r="M102">
        <v>0.31270900000000001</v>
      </c>
    </row>
    <row r="103" spans="1:13" x14ac:dyDescent="0.25">
      <c r="A103" s="82">
        <v>42996</v>
      </c>
      <c r="B103">
        <v>6.998399</v>
      </c>
      <c r="C103">
        <v>1.0231870000000001</v>
      </c>
      <c r="D103">
        <v>6.2236989999999999</v>
      </c>
      <c r="E103">
        <v>6.0862990000000003</v>
      </c>
      <c r="F103">
        <v>3.7326069999999998</v>
      </c>
      <c r="G103">
        <v>5.4527580000000002</v>
      </c>
      <c r="H103">
        <v>3.673308</v>
      </c>
      <c r="J103">
        <v>3.0882480000000001</v>
      </c>
      <c r="K103">
        <v>2.9429959999999999</v>
      </c>
      <c r="L103">
        <v>3.0235979999999998</v>
      </c>
      <c r="M103">
        <v>0.312527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workbookViewId="0">
      <selection activeCell="H13" sqref="H13"/>
    </sheetView>
  </sheetViews>
  <sheetFormatPr baseColWidth="10" defaultRowHeight="15" x14ac:dyDescent="0.2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 x14ac:dyDescent="0.25">
      <c r="A1" s="85" t="s">
        <v>107</v>
      </c>
      <c r="B1" s="85">
        <v>5327</v>
      </c>
      <c r="C1" s="85" t="s">
        <v>202</v>
      </c>
      <c r="D1" s="90">
        <v>170000000</v>
      </c>
      <c r="E1" s="95">
        <v>170000000</v>
      </c>
      <c r="G1" s="92"/>
    </row>
    <row r="2" spans="1:7" x14ac:dyDescent="0.25">
      <c r="A2" s="85" t="s">
        <v>108</v>
      </c>
      <c r="B2" s="85">
        <v>52584</v>
      </c>
      <c r="C2" s="85" t="s">
        <v>109</v>
      </c>
      <c r="D2" s="90">
        <v>24666666</v>
      </c>
      <c r="E2" s="95">
        <v>24666666</v>
      </c>
      <c r="F2" s="85"/>
      <c r="G2" s="92"/>
    </row>
    <row r="3" spans="1:7" x14ac:dyDescent="0.25">
      <c r="A3" s="85"/>
      <c r="B3" s="85">
        <v>46824</v>
      </c>
      <c r="C3" s="85" t="s">
        <v>203</v>
      </c>
      <c r="D3" s="90">
        <v>150000000</v>
      </c>
      <c r="E3" s="95">
        <v>150000000</v>
      </c>
      <c r="F3" s="85"/>
      <c r="G3" s="92"/>
    </row>
    <row r="4" spans="1:7" x14ac:dyDescent="0.25">
      <c r="A4" s="85"/>
      <c r="B4" s="85">
        <v>46825</v>
      </c>
      <c r="C4" s="85" t="s">
        <v>204</v>
      </c>
      <c r="D4" s="90">
        <v>579600000</v>
      </c>
      <c r="E4" s="95">
        <v>579600000</v>
      </c>
      <c r="F4" s="85"/>
      <c r="G4" s="92"/>
    </row>
    <row r="5" spans="1:7" x14ac:dyDescent="0.25">
      <c r="A5" s="85"/>
      <c r="B5" s="85">
        <v>46827</v>
      </c>
      <c r="C5" s="85" t="s">
        <v>205</v>
      </c>
      <c r="D5" s="90">
        <v>220000000</v>
      </c>
      <c r="E5" s="95">
        <v>220000000</v>
      </c>
      <c r="F5" s="85"/>
      <c r="G5" s="92"/>
    </row>
    <row r="6" spans="1:7" x14ac:dyDescent="0.25">
      <c r="A6" s="85" t="s">
        <v>206</v>
      </c>
      <c r="B6" s="85">
        <v>52897</v>
      </c>
      <c r="C6" s="85" t="s">
        <v>207</v>
      </c>
      <c r="D6" s="90">
        <v>10000000</v>
      </c>
      <c r="E6" s="95">
        <v>10000000</v>
      </c>
      <c r="F6" s="85"/>
      <c r="G6" s="92"/>
    </row>
    <row r="7" spans="1:7" x14ac:dyDescent="0.25">
      <c r="A7" s="85"/>
      <c r="B7" s="85">
        <v>46828</v>
      </c>
      <c r="C7" s="85" t="s">
        <v>208</v>
      </c>
      <c r="D7" s="90">
        <v>210000000</v>
      </c>
      <c r="E7" s="95">
        <v>210000000</v>
      </c>
      <c r="F7" s="85"/>
      <c r="G7" s="92"/>
    </row>
    <row r="8" spans="1:7" x14ac:dyDescent="0.25">
      <c r="A8" s="85" t="s">
        <v>209</v>
      </c>
      <c r="B8" s="85">
        <v>53068</v>
      </c>
      <c r="C8" s="85" t="s">
        <v>210</v>
      </c>
      <c r="D8" s="91">
        <v>50000000</v>
      </c>
      <c r="E8" s="95">
        <v>50000000</v>
      </c>
      <c r="F8" s="85"/>
      <c r="G8" s="92"/>
    </row>
    <row r="9" spans="1:7" x14ac:dyDescent="0.25">
      <c r="A9" s="85" t="s">
        <v>110</v>
      </c>
      <c r="B9" s="85">
        <v>2571</v>
      </c>
      <c r="C9" s="85" t="s">
        <v>211</v>
      </c>
      <c r="D9" s="90">
        <v>50000000</v>
      </c>
      <c r="E9" s="95">
        <v>50000000</v>
      </c>
      <c r="F9" s="85"/>
      <c r="G9" s="92"/>
    </row>
    <row r="10" spans="1:7" x14ac:dyDescent="0.25">
      <c r="A10" s="85" t="s">
        <v>111</v>
      </c>
      <c r="B10" s="85">
        <v>2405</v>
      </c>
      <c r="C10" s="85" t="s">
        <v>112</v>
      </c>
      <c r="D10" s="90">
        <v>74344426</v>
      </c>
      <c r="E10" s="95">
        <v>1576101.8311999999</v>
      </c>
      <c r="F10" s="85"/>
      <c r="G10" s="92"/>
    </row>
    <row r="11" spans="1:7" x14ac:dyDescent="0.25">
      <c r="A11" s="85" t="s">
        <v>113</v>
      </c>
      <c r="B11" s="85">
        <v>38678</v>
      </c>
      <c r="C11" s="85" t="s">
        <v>114</v>
      </c>
      <c r="D11" s="90">
        <v>19000000</v>
      </c>
      <c r="E11" s="95">
        <v>19000000</v>
      </c>
      <c r="F11" s="85"/>
      <c r="G11" s="92"/>
    </row>
    <row r="12" spans="1:7" x14ac:dyDescent="0.25">
      <c r="A12" s="85" t="s">
        <v>115</v>
      </c>
      <c r="B12" s="85">
        <v>38679</v>
      </c>
      <c r="C12" s="85" t="s">
        <v>116</v>
      </c>
      <c r="D12" s="90">
        <v>3700000</v>
      </c>
      <c r="E12" s="95">
        <v>3700000</v>
      </c>
      <c r="F12" s="85"/>
      <c r="G12" s="92"/>
    </row>
    <row r="13" spans="1:7" x14ac:dyDescent="0.25">
      <c r="A13" s="85" t="s">
        <v>117</v>
      </c>
      <c r="B13" s="85">
        <v>5454</v>
      </c>
      <c r="C13" s="85" t="s">
        <v>212</v>
      </c>
      <c r="D13" s="90">
        <v>175742532</v>
      </c>
      <c r="E13" s="95">
        <v>175742532</v>
      </c>
      <c r="F13" s="85"/>
      <c r="G13" s="92"/>
    </row>
    <row r="14" spans="1:7" x14ac:dyDescent="0.25">
      <c r="A14" s="85" t="s">
        <v>118</v>
      </c>
      <c r="B14" s="85">
        <v>90154</v>
      </c>
      <c r="C14" s="85" t="s">
        <v>119</v>
      </c>
      <c r="D14" s="90">
        <v>1507000</v>
      </c>
      <c r="E14" s="95">
        <v>1507000</v>
      </c>
      <c r="F14" s="85"/>
      <c r="G14" s="92"/>
    </row>
    <row r="15" spans="1:7" x14ac:dyDescent="0.25">
      <c r="A15" s="85" t="s">
        <v>120</v>
      </c>
      <c r="B15" s="85">
        <v>5462</v>
      </c>
      <c r="C15" s="85" t="s">
        <v>213</v>
      </c>
      <c r="D15" s="90">
        <v>1766398</v>
      </c>
      <c r="E15" s="95">
        <v>1766398</v>
      </c>
      <c r="F15" s="85"/>
      <c r="G15" s="92"/>
    </row>
    <row r="16" spans="1:7" x14ac:dyDescent="0.25">
      <c r="A16" s="85" t="s">
        <v>121</v>
      </c>
      <c r="B16" s="85">
        <v>50108</v>
      </c>
      <c r="C16" s="85" t="s">
        <v>122</v>
      </c>
      <c r="D16" s="90">
        <v>29755000</v>
      </c>
      <c r="E16" s="95">
        <v>29755000</v>
      </c>
      <c r="F16" s="85"/>
      <c r="G16" s="92"/>
    </row>
    <row r="17" spans="1:7" x14ac:dyDescent="0.25">
      <c r="A17" s="85" t="s">
        <v>123</v>
      </c>
      <c r="B17" s="85">
        <v>50879</v>
      </c>
      <c r="C17" s="85" t="s">
        <v>124</v>
      </c>
      <c r="D17" s="90">
        <v>5803165</v>
      </c>
      <c r="E17" s="95">
        <v>5803165</v>
      </c>
      <c r="F17" s="85"/>
      <c r="G17" s="92"/>
    </row>
    <row r="18" spans="1:7" x14ac:dyDescent="0.25">
      <c r="A18" s="85" t="s">
        <v>126</v>
      </c>
      <c r="B18" s="85">
        <v>51035</v>
      </c>
      <c r="C18" s="85" t="s">
        <v>127</v>
      </c>
      <c r="D18" s="90">
        <v>7344309</v>
      </c>
      <c r="E18" s="95">
        <v>7344309</v>
      </c>
      <c r="F18" s="85"/>
      <c r="G18" s="92"/>
    </row>
    <row r="19" spans="1:7" x14ac:dyDescent="0.25">
      <c r="A19" s="85" t="s">
        <v>128</v>
      </c>
      <c r="B19" s="85">
        <v>51097</v>
      </c>
      <c r="C19" s="85" t="s">
        <v>129</v>
      </c>
      <c r="D19" s="90">
        <v>13763244</v>
      </c>
      <c r="E19" s="95">
        <v>13763244</v>
      </c>
      <c r="F19" s="85"/>
      <c r="G19" s="92"/>
    </row>
    <row r="20" spans="1:7" x14ac:dyDescent="0.25">
      <c r="A20" s="85" t="s">
        <v>130</v>
      </c>
      <c r="B20" s="85">
        <v>51296</v>
      </c>
      <c r="C20" s="85" t="s">
        <v>131</v>
      </c>
      <c r="D20" s="90">
        <v>4800000</v>
      </c>
      <c r="E20" s="95">
        <v>1600320</v>
      </c>
      <c r="F20" s="85"/>
      <c r="G20" s="92"/>
    </row>
    <row r="21" spans="1:7" x14ac:dyDescent="0.25">
      <c r="A21" s="85" t="s">
        <v>132</v>
      </c>
      <c r="B21" s="85">
        <v>5475</v>
      </c>
      <c r="C21" s="85" t="s">
        <v>133</v>
      </c>
      <c r="D21" s="90">
        <v>15000000</v>
      </c>
      <c r="E21" s="95">
        <v>15000000</v>
      </c>
      <c r="F21" s="85"/>
      <c r="G21" s="92"/>
    </row>
    <row r="22" spans="1:7" x14ac:dyDescent="0.25">
      <c r="A22" s="85" t="s">
        <v>134</v>
      </c>
      <c r="B22" s="85">
        <v>5476</v>
      </c>
      <c r="C22" s="85" t="s">
        <v>135</v>
      </c>
      <c r="D22" s="90">
        <v>120000000</v>
      </c>
      <c r="E22" s="95">
        <v>120000000</v>
      </c>
      <c r="F22" s="85"/>
      <c r="G22" s="92"/>
    </row>
    <row r="23" spans="1:7" x14ac:dyDescent="0.25">
      <c r="A23" s="85" t="s">
        <v>136</v>
      </c>
      <c r="B23" s="85">
        <v>51350</v>
      </c>
      <c r="C23" s="85" t="s">
        <v>137</v>
      </c>
      <c r="D23" s="90">
        <v>5084982</v>
      </c>
      <c r="E23" s="95">
        <v>5084982</v>
      </c>
      <c r="F23" s="85"/>
      <c r="G23" s="92"/>
    </row>
    <row r="24" spans="1:7" x14ac:dyDescent="0.25">
      <c r="A24" s="85" t="s">
        <v>138</v>
      </c>
      <c r="B24" s="85">
        <v>51579</v>
      </c>
      <c r="C24" s="85" t="s">
        <v>214</v>
      </c>
      <c r="D24" s="90">
        <v>15000000</v>
      </c>
      <c r="E24" s="95">
        <v>15000000</v>
      </c>
      <c r="F24" s="85"/>
      <c r="G24" s="92"/>
    </row>
    <row r="25" spans="1:7" x14ac:dyDescent="0.25">
      <c r="A25" s="85" t="s">
        <v>139</v>
      </c>
      <c r="B25" s="85">
        <v>51630</v>
      </c>
      <c r="C25" s="85" t="s">
        <v>140</v>
      </c>
      <c r="D25" s="90">
        <v>15888888</v>
      </c>
      <c r="E25" s="95">
        <v>15888888</v>
      </c>
      <c r="F25" s="85"/>
      <c r="G25" s="92"/>
    </row>
    <row r="26" spans="1:7" x14ac:dyDescent="0.25">
      <c r="A26" s="85" t="s">
        <v>141</v>
      </c>
      <c r="B26" s="85">
        <v>5315</v>
      </c>
      <c r="C26" s="85" t="s">
        <v>215</v>
      </c>
      <c r="D26" s="90">
        <v>261600000</v>
      </c>
      <c r="E26" s="95">
        <v>261600000</v>
      </c>
      <c r="F26" s="85"/>
      <c r="G26" s="92"/>
    </row>
    <row r="27" spans="1:7" x14ac:dyDescent="0.25">
      <c r="A27" s="85" t="s">
        <v>142</v>
      </c>
      <c r="B27" s="85">
        <v>51685</v>
      </c>
      <c r="C27" s="85" t="s">
        <v>143</v>
      </c>
      <c r="D27" s="90">
        <v>21900000</v>
      </c>
      <c r="E27" s="95">
        <v>21900000</v>
      </c>
      <c r="F27" s="85"/>
      <c r="G27" s="92"/>
    </row>
    <row r="28" spans="1:7" x14ac:dyDescent="0.25">
      <c r="A28" s="85" t="s">
        <v>144</v>
      </c>
      <c r="B28" s="85">
        <v>51730</v>
      </c>
      <c r="C28" s="85" t="s">
        <v>145</v>
      </c>
      <c r="D28" s="90">
        <v>11546000</v>
      </c>
      <c r="E28" s="95">
        <v>11546000</v>
      </c>
      <c r="F28" s="85"/>
      <c r="G28" s="92"/>
    </row>
    <row r="29" spans="1:7" x14ac:dyDescent="0.25">
      <c r="A29" s="85" t="s">
        <v>146</v>
      </c>
      <c r="B29" s="85">
        <v>51734</v>
      </c>
      <c r="C29" s="85" t="s">
        <v>147</v>
      </c>
      <c r="D29" s="90">
        <v>8000000</v>
      </c>
      <c r="E29" s="95">
        <v>8000000</v>
      </c>
      <c r="F29" s="85"/>
      <c r="G29" s="92"/>
    </row>
    <row r="30" spans="1:7" x14ac:dyDescent="0.25">
      <c r="A30" s="85" t="s">
        <v>148</v>
      </c>
      <c r="B30" s="85">
        <v>51769</v>
      </c>
      <c r="C30" s="85" t="s">
        <v>149</v>
      </c>
      <c r="D30" s="90">
        <v>10821428</v>
      </c>
      <c r="E30" s="95">
        <v>10821428</v>
      </c>
      <c r="F30" s="85"/>
      <c r="G30" s="92"/>
    </row>
    <row r="31" spans="1:7" x14ac:dyDescent="0.25">
      <c r="A31" s="85" t="s">
        <v>150</v>
      </c>
      <c r="B31" s="85">
        <v>51856</v>
      </c>
      <c r="C31" s="85" t="s">
        <v>151</v>
      </c>
      <c r="D31" s="90">
        <v>46463333</v>
      </c>
      <c r="E31" s="95">
        <v>46463333</v>
      </c>
      <c r="F31" s="85"/>
      <c r="G31" s="92"/>
    </row>
    <row r="32" spans="1:7" x14ac:dyDescent="0.25">
      <c r="A32" s="85" t="s">
        <v>152</v>
      </c>
      <c r="B32" s="85">
        <v>51863</v>
      </c>
      <c r="C32" s="85" t="s">
        <v>153</v>
      </c>
      <c r="D32" s="90">
        <v>8500000</v>
      </c>
      <c r="E32" s="95">
        <v>8500000</v>
      </c>
      <c r="F32" s="85"/>
      <c r="G32" s="92"/>
    </row>
    <row r="33" spans="1:7" x14ac:dyDescent="0.25">
      <c r="A33" s="85" t="s">
        <v>154</v>
      </c>
      <c r="B33" s="85">
        <v>51916</v>
      </c>
      <c r="C33" s="85" t="s">
        <v>155</v>
      </c>
      <c r="D33" s="90">
        <v>35023666</v>
      </c>
      <c r="E33" s="95">
        <v>35023666</v>
      </c>
      <c r="F33" s="85"/>
      <c r="G33" s="92"/>
    </row>
    <row r="34" spans="1:7" x14ac:dyDescent="0.25">
      <c r="A34" s="85" t="s">
        <v>156</v>
      </c>
      <c r="B34" s="85">
        <v>51938</v>
      </c>
      <c r="C34" s="85" t="s">
        <v>157</v>
      </c>
      <c r="D34" s="90">
        <v>26277777</v>
      </c>
      <c r="E34" s="95">
        <v>26277777</v>
      </c>
      <c r="F34" s="85"/>
      <c r="G34" s="92"/>
    </row>
    <row r="35" spans="1:7" x14ac:dyDescent="0.25">
      <c r="A35" s="85" t="s">
        <v>158</v>
      </c>
      <c r="B35" s="85">
        <v>51988</v>
      </c>
      <c r="C35" s="85" t="s">
        <v>159</v>
      </c>
      <c r="D35" s="90">
        <v>36000000</v>
      </c>
      <c r="E35" s="95">
        <v>36000000</v>
      </c>
      <c r="F35" s="85"/>
      <c r="G35" s="92"/>
    </row>
    <row r="36" spans="1:7" x14ac:dyDescent="0.25">
      <c r="A36" s="85" t="s">
        <v>160</v>
      </c>
      <c r="B36" s="85">
        <v>52167</v>
      </c>
      <c r="C36" s="85" t="s">
        <v>161</v>
      </c>
      <c r="D36" s="90">
        <v>5285714</v>
      </c>
      <c r="E36" s="95">
        <v>5285714</v>
      </c>
      <c r="F36" s="85"/>
      <c r="G36" s="92"/>
    </row>
    <row r="37" spans="1:7" x14ac:dyDescent="0.25">
      <c r="A37" s="85" t="s">
        <v>162</v>
      </c>
      <c r="B37" s="85">
        <v>52186</v>
      </c>
      <c r="C37" s="85" t="s">
        <v>163</v>
      </c>
      <c r="D37" s="90">
        <v>4900000</v>
      </c>
      <c r="E37" s="95">
        <v>4900000</v>
      </c>
      <c r="F37" s="85"/>
      <c r="G37" s="92"/>
    </row>
    <row r="38" spans="1:7" x14ac:dyDescent="0.25">
      <c r="A38" s="85" t="s">
        <v>164</v>
      </c>
      <c r="B38" s="85">
        <v>52259</v>
      </c>
      <c r="C38" s="85" t="s">
        <v>165</v>
      </c>
      <c r="D38" s="90">
        <v>51500000</v>
      </c>
      <c r="E38" s="95">
        <v>51500000</v>
      </c>
      <c r="F38" s="85"/>
      <c r="G38" s="92"/>
    </row>
    <row r="39" spans="1:7" x14ac:dyDescent="0.25">
      <c r="A39" s="85" t="s">
        <v>166</v>
      </c>
      <c r="B39" s="85">
        <v>52261</v>
      </c>
      <c r="C39" s="85" t="s">
        <v>167</v>
      </c>
      <c r="D39" s="90">
        <v>50000000</v>
      </c>
      <c r="E39" s="95">
        <v>50000000</v>
      </c>
      <c r="F39" s="85"/>
      <c r="G39" s="92"/>
    </row>
    <row r="40" spans="1:7" x14ac:dyDescent="0.25">
      <c r="A40" s="85" t="s">
        <v>168</v>
      </c>
      <c r="B40" s="85">
        <v>52320</v>
      </c>
      <c r="C40" s="85" t="s">
        <v>169</v>
      </c>
      <c r="D40" s="90">
        <v>80000000</v>
      </c>
      <c r="E40" s="95">
        <v>80000000</v>
      </c>
      <c r="F40" s="85"/>
      <c r="G40" s="92"/>
    </row>
    <row r="41" spans="1:7" x14ac:dyDescent="0.25">
      <c r="A41" s="85" t="s">
        <v>170</v>
      </c>
      <c r="B41" s="85">
        <v>5480</v>
      </c>
      <c r="C41" s="85" t="s">
        <v>216</v>
      </c>
      <c r="D41" s="90">
        <v>70000000</v>
      </c>
      <c r="E41" s="95">
        <v>70000000</v>
      </c>
      <c r="F41" s="85"/>
      <c r="G41" s="92"/>
    </row>
    <row r="42" spans="1:7" x14ac:dyDescent="0.25">
      <c r="A42" s="85" t="s">
        <v>171</v>
      </c>
      <c r="B42" s="85">
        <v>92583</v>
      </c>
      <c r="C42" s="85" t="s">
        <v>172</v>
      </c>
      <c r="D42" s="90">
        <v>3000000</v>
      </c>
      <c r="E42" s="95">
        <v>3000000</v>
      </c>
      <c r="F42" s="85"/>
      <c r="G42" s="92"/>
    </row>
    <row r="43" spans="1:7" x14ac:dyDescent="0.25">
      <c r="A43" s="85" t="s">
        <v>173</v>
      </c>
      <c r="B43" s="85">
        <v>52407</v>
      </c>
      <c r="C43" s="85" t="s">
        <v>174</v>
      </c>
      <c r="D43" s="90">
        <v>82000000</v>
      </c>
      <c r="E43" s="95">
        <v>82000000</v>
      </c>
      <c r="F43" s="85"/>
      <c r="G43" s="92"/>
    </row>
    <row r="44" spans="1:7" x14ac:dyDescent="0.25">
      <c r="A44" s="85" t="s">
        <v>175</v>
      </c>
      <c r="B44" s="85">
        <v>52435</v>
      </c>
      <c r="C44" s="85" t="s">
        <v>176</v>
      </c>
      <c r="D44" s="90">
        <v>3276500</v>
      </c>
      <c r="E44" s="95">
        <v>3276500</v>
      </c>
      <c r="F44" s="85"/>
      <c r="G44" s="92"/>
    </row>
    <row r="45" spans="1:7" x14ac:dyDescent="0.25">
      <c r="A45" s="85"/>
      <c r="B45" s="85"/>
      <c r="C45" s="85"/>
      <c r="D45" s="90"/>
      <c r="F45" s="85"/>
      <c r="G45" s="92"/>
    </row>
    <row r="46" spans="1:7" x14ac:dyDescent="0.25">
      <c r="A46" s="85"/>
      <c r="B46" s="85"/>
      <c r="C46" s="85"/>
      <c r="D46" s="90"/>
      <c r="F46" s="85"/>
      <c r="G46" s="92"/>
    </row>
    <row r="47" spans="1:7" x14ac:dyDescent="0.25">
      <c r="A47" s="85"/>
      <c r="B47" s="85"/>
      <c r="C47" s="85"/>
      <c r="D47" s="85"/>
    </row>
    <row r="48" spans="1:7" x14ac:dyDescent="0.25">
      <c r="A48" s="85"/>
      <c r="B48" s="85"/>
      <c r="C48" s="85"/>
      <c r="D48" s="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"/>
  <sheetViews>
    <sheetView workbookViewId="0">
      <selection activeCell="H18" sqref="H18"/>
    </sheetView>
  </sheetViews>
  <sheetFormatPr baseColWidth="10" defaultRowHeight="15" x14ac:dyDescent="0.25"/>
  <cols>
    <col min="1" max="1" width="15.140625" bestFit="1" customWidth="1"/>
    <col min="3" max="3" width="33.5703125" bestFit="1" customWidth="1"/>
    <col min="4" max="5" width="11.42578125" style="82"/>
  </cols>
  <sheetData>
    <row r="1" spans="1:13" x14ac:dyDescent="0.25">
      <c r="A1" s="83">
        <v>30030</v>
      </c>
      <c r="B1" s="83" t="s">
        <v>180</v>
      </c>
      <c r="C1" s="83" t="s">
        <v>181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 x14ac:dyDescent="0.25">
      <c r="A2" s="83">
        <v>30090</v>
      </c>
      <c r="B2" s="83" t="s">
        <v>180</v>
      </c>
      <c r="C2" s="83" t="s">
        <v>182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 x14ac:dyDescent="0.25">
      <c r="A3" s="83">
        <v>30091</v>
      </c>
      <c r="B3" s="83" t="s">
        <v>180</v>
      </c>
      <c r="C3" s="83" t="s">
        <v>183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 x14ac:dyDescent="0.25">
      <c r="A4" s="83">
        <v>30114</v>
      </c>
      <c r="B4" s="83" t="s">
        <v>180</v>
      </c>
      <c r="C4" s="83" t="s">
        <v>184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 x14ac:dyDescent="0.25">
      <c r="A5" s="83">
        <v>30252</v>
      </c>
      <c r="B5" s="83" t="s">
        <v>180</v>
      </c>
      <c r="C5" s="83" t="s">
        <v>184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 x14ac:dyDescent="0.25">
      <c r="A6" s="83">
        <v>30785</v>
      </c>
      <c r="B6" s="83" t="s">
        <v>180</v>
      </c>
      <c r="C6" s="83" t="s">
        <v>184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 x14ac:dyDescent="0.25">
      <c r="A7" s="83">
        <v>30786</v>
      </c>
      <c r="B7" s="83" t="s">
        <v>180</v>
      </c>
      <c r="C7" s="83" t="s">
        <v>183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 x14ac:dyDescent="0.25">
      <c r="A8" s="83">
        <v>30787</v>
      </c>
      <c r="B8" s="83" t="s">
        <v>180</v>
      </c>
      <c r="C8" s="83" t="s">
        <v>183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 x14ac:dyDescent="0.25">
      <c r="A9" s="83">
        <v>30873</v>
      </c>
      <c r="B9" s="83" t="s">
        <v>180</v>
      </c>
      <c r="C9" s="83" t="s">
        <v>184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 x14ac:dyDescent="0.25">
      <c r="A10" s="83">
        <v>30878</v>
      </c>
      <c r="B10" s="83" t="s">
        <v>180</v>
      </c>
      <c r="C10" s="83" t="s">
        <v>185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 x14ac:dyDescent="0.25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 x14ac:dyDescent="0.25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4" sqref="J24"/>
    </sheetView>
  </sheetViews>
  <sheetFormatPr baseColWidth="10" defaultRowHeight="15" x14ac:dyDescent="0.2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32" sqref="G32"/>
    </sheetView>
  </sheetViews>
  <sheetFormatPr baseColWidth="10" defaultRowHeight="15" x14ac:dyDescent="0.2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topLeftCell="A16" workbookViewId="0">
      <selection activeCell="A46" sqref="A46"/>
    </sheetView>
  </sheetViews>
  <sheetFormatPr baseColWidth="10" defaultRowHeight="15" x14ac:dyDescent="0.25"/>
  <cols>
    <col min="1" max="1" width="41.42578125" bestFit="1" customWidth="1"/>
    <col min="2" max="2" width="15.140625" bestFit="1" customWidth="1"/>
  </cols>
  <sheetData>
    <row r="1" spans="1:7" x14ac:dyDescent="0.25">
      <c r="A1" t="s">
        <v>27</v>
      </c>
      <c r="B1" t="s">
        <v>107</v>
      </c>
      <c r="C1">
        <v>5327</v>
      </c>
    </row>
    <row r="2" spans="1:7" x14ac:dyDescent="0.25">
      <c r="A2" t="s">
        <v>59</v>
      </c>
      <c r="B2" t="s">
        <v>108</v>
      </c>
      <c r="C2">
        <v>52584</v>
      </c>
      <c r="E2" s="85"/>
      <c r="F2" s="85"/>
      <c r="G2" s="85"/>
    </row>
    <row r="3" spans="1:7" x14ac:dyDescent="0.25">
      <c r="A3" t="s">
        <v>189</v>
      </c>
      <c r="B3">
        <v>0</v>
      </c>
      <c r="C3">
        <v>46824</v>
      </c>
      <c r="E3" s="85"/>
      <c r="F3" s="85"/>
      <c r="G3" s="85"/>
    </row>
    <row r="4" spans="1:7" x14ac:dyDescent="0.25">
      <c r="A4" t="s">
        <v>190</v>
      </c>
      <c r="B4">
        <v>0</v>
      </c>
      <c r="C4">
        <v>46825</v>
      </c>
      <c r="E4" s="85"/>
      <c r="F4" s="85"/>
      <c r="G4" s="85"/>
    </row>
    <row r="5" spans="1:7" x14ac:dyDescent="0.25">
      <c r="A5" t="s">
        <v>191</v>
      </c>
      <c r="B5">
        <v>0</v>
      </c>
      <c r="C5">
        <v>46827</v>
      </c>
      <c r="E5" s="85"/>
      <c r="F5" s="85"/>
      <c r="G5" s="85"/>
    </row>
    <row r="6" spans="1:7" s="85" customFormat="1" x14ac:dyDescent="0.25">
      <c r="A6" s="85" t="s">
        <v>192</v>
      </c>
      <c r="B6" s="85">
        <v>0</v>
      </c>
      <c r="C6" s="85">
        <v>46828</v>
      </c>
    </row>
    <row r="7" spans="1:7" x14ac:dyDescent="0.25">
      <c r="A7" t="s">
        <v>23</v>
      </c>
      <c r="B7" t="s">
        <v>110</v>
      </c>
      <c r="C7">
        <v>2571</v>
      </c>
      <c r="E7" s="85"/>
      <c r="F7" s="85"/>
      <c r="G7" s="85"/>
    </row>
    <row r="8" spans="1:7" x14ac:dyDescent="0.25">
      <c r="A8" t="s">
        <v>33</v>
      </c>
      <c r="B8" t="s">
        <v>111</v>
      </c>
      <c r="C8">
        <v>2405</v>
      </c>
      <c r="E8" s="85"/>
      <c r="F8" s="85"/>
      <c r="G8" s="85"/>
    </row>
    <row r="9" spans="1:7" x14ac:dyDescent="0.25">
      <c r="A9" t="s">
        <v>92</v>
      </c>
      <c r="B9" t="s">
        <v>113</v>
      </c>
      <c r="C9">
        <v>38678</v>
      </c>
      <c r="E9" s="85"/>
      <c r="F9" s="85"/>
      <c r="G9" s="85"/>
    </row>
    <row r="10" spans="1:7" x14ac:dyDescent="0.25">
      <c r="A10" t="str">
        <f>+Valuacion!A71</f>
        <v>IMPSA - OMPE11</v>
      </c>
      <c r="B10" t="s">
        <v>115</v>
      </c>
      <c r="C10">
        <v>38679</v>
      </c>
      <c r="E10" s="85"/>
      <c r="F10" s="85"/>
      <c r="G10" s="85"/>
    </row>
    <row r="11" spans="1:7" x14ac:dyDescent="0.25">
      <c r="A11" t="s">
        <v>16</v>
      </c>
      <c r="B11" t="s">
        <v>117</v>
      </c>
      <c r="C11">
        <v>5454</v>
      </c>
      <c r="E11" s="85"/>
      <c r="F11" s="85"/>
      <c r="G11" s="85"/>
    </row>
    <row r="12" spans="1:7" x14ac:dyDescent="0.25">
      <c r="A12" t="s">
        <v>80</v>
      </c>
      <c r="B12" t="s">
        <v>118</v>
      </c>
      <c r="C12">
        <v>90154</v>
      </c>
      <c r="E12" s="85"/>
      <c r="F12" s="85"/>
      <c r="G12" s="85"/>
    </row>
    <row r="13" spans="1:7" x14ac:dyDescent="0.25">
      <c r="A13" t="s">
        <v>36</v>
      </c>
      <c r="B13" t="s">
        <v>120</v>
      </c>
      <c r="C13">
        <v>5462</v>
      </c>
      <c r="E13" s="85"/>
      <c r="F13" s="85"/>
      <c r="G13" s="85"/>
    </row>
    <row r="14" spans="1:7" x14ac:dyDescent="0.25">
      <c r="A14" s="87" t="s">
        <v>197</v>
      </c>
      <c r="B14" t="s">
        <v>121</v>
      </c>
      <c r="C14">
        <v>50108</v>
      </c>
      <c r="E14" s="85"/>
      <c r="F14" s="85"/>
      <c r="G14" s="85"/>
    </row>
    <row r="15" spans="1:7" x14ac:dyDescent="0.25">
      <c r="A15" t="s">
        <v>90</v>
      </c>
      <c r="B15" t="s">
        <v>123</v>
      </c>
      <c r="C15">
        <v>50879</v>
      </c>
      <c r="E15" s="85"/>
      <c r="F15" s="85"/>
      <c r="G15" s="85"/>
    </row>
    <row r="16" spans="1:7" x14ac:dyDescent="0.25">
      <c r="A16" t="s">
        <v>12</v>
      </c>
      <c r="B16" t="s">
        <v>125</v>
      </c>
      <c r="C16">
        <v>5467</v>
      </c>
      <c r="E16" s="85"/>
      <c r="F16" s="85"/>
      <c r="G16" s="85"/>
    </row>
    <row r="17" spans="1:7" x14ac:dyDescent="0.25">
      <c r="A17" t="s">
        <v>195</v>
      </c>
      <c r="B17" t="s">
        <v>126</v>
      </c>
      <c r="C17">
        <v>51035</v>
      </c>
      <c r="E17" s="85"/>
      <c r="F17" s="85"/>
      <c r="G17" s="85"/>
    </row>
    <row r="18" spans="1:7" x14ac:dyDescent="0.25">
      <c r="A18" t="s">
        <v>196</v>
      </c>
      <c r="B18" t="s">
        <v>128</v>
      </c>
      <c r="C18">
        <v>51097</v>
      </c>
      <c r="E18" s="85"/>
      <c r="F18" s="85"/>
      <c r="G18" s="85"/>
    </row>
    <row r="19" spans="1:7" x14ac:dyDescent="0.25">
      <c r="A19" t="s">
        <v>201</v>
      </c>
      <c r="B19" t="s">
        <v>130</v>
      </c>
      <c r="C19">
        <v>51296</v>
      </c>
      <c r="E19" s="85"/>
      <c r="F19" s="85"/>
      <c r="G19" s="85"/>
    </row>
    <row r="20" spans="1:7" x14ac:dyDescent="0.25">
      <c r="A20" t="s">
        <v>14</v>
      </c>
      <c r="B20" t="s">
        <v>132</v>
      </c>
      <c r="C20">
        <v>5475</v>
      </c>
      <c r="E20" s="85"/>
      <c r="F20" s="85"/>
      <c r="G20" s="85"/>
    </row>
    <row r="21" spans="1:7" x14ac:dyDescent="0.25">
      <c r="A21" t="s">
        <v>18</v>
      </c>
      <c r="B21" t="s">
        <v>134</v>
      </c>
      <c r="C21">
        <v>5476</v>
      </c>
      <c r="E21" s="85"/>
      <c r="F21" s="85"/>
      <c r="G21" s="85"/>
    </row>
    <row r="22" spans="1:7" x14ac:dyDescent="0.25">
      <c r="A22" t="s">
        <v>199</v>
      </c>
      <c r="B22" t="s">
        <v>136</v>
      </c>
      <c r="C22">
        <v>51350</v>
      </c>
      <c r="E22" s="85"/>
      <c r="F22" s="85"/>
      <c r="G22" s="85"/>
    </row>
    <row r="23" spans="1:7" x14ac:dyDescent="0.25">
      <c r="A23" t="s">
        <v>57</v>
      </c>
      <c r="B23" t="s">
        <v>138</v>
      </c>
      <c r="C23">
        <v>51579</v>
      </c>
      <c r="E23" s="85"/>
      <c r="F23" s="85"/>
      <c r="G23" s="85"/>
    </row>
    <row r="24" spans="1:7" x14ac:dyDescent="0.25">
      <c r="A24" t="s">
        <v>50</v>
      </c>
      <c r="B24" t="s">
        <v>139</v>
      </c>
      <c r="C24">
        <v>51630</v>
      </c>
      <c r="E24" s="85"/>
      <c r="F24" s="85"/>
      <c r="G24" s="85"/>
    </row>
    <row r="25" spans="1:7" x14ac:dyDescent="0.25">
      <c r="A25" t="s">
        <v>30</v>
      </c>
      <c r="B25" t="s">
        <v>141</v>
      </c>
      <c r="C25">
        <v>5315</v>
      </c>
      <c r="E25" s="85"/>
      <c r="F25" s="85"/>
      <c r="G25" s="85"/>
    </row>
    <row r="26" spans="1:7" x14ac:dyDescent="0.25">
      <c r="A26" t="s">
        <v>62</v>
      </c>
      <c r="B26" t="s">
        <v>142</v>
      </c>
      <c r="C26">
        <v>51685</v>
      </c>
      <c r="E26" s="85"/>
      <c r="F26" s="85"/>
      <c r="G26" s="85"/>
    </row>
    <row r="27" spans="1:7" x14ac:dyDescent="0.25">
      <c r="A27" t="s">
        <v>52</v>
      </c>
      <c r="B27" t="s">
        <v>144</v>
      </c>
      <c r="C27">
        <v>51730</v>
      </c>
      <c r="E27" s="85"/>
      <c r="F27" s="85"/>
      <c r="G27" s="85"/>
    </row>
    <row r="28" spans="1:7" x14ac:dyDescent="0.25">
      <c r="A28" t="s">
        <v>188</v>
      </c>
      <c r="B28" t="s">
        <v>146</v>
      </c>
      <c r="C28">
        <v>51734</v>
      </c>
      <c r="E28" s="85"/>
      <c r="F28" s="85"/>
      <c r="G28" s="85"/>
    </row>
    <row r="29" spans="1:7" x14ac:dyDescent="0.25">
      <c r="A29" t="s">
        <v>71</v>
      </c>
      <c r="B29" t="s">
        <v>148</v>
      </c>
      <c r="C29">
        <v>51769</v>
      </c>
      <c r="E29" s="85"/>
      <c r="F29" s="85"/>
      <c r="G29" s="85"/>
    </row>
    <row r="30" spans="1:7" x14ac:dyDescent="0.25">
      <c r="A30" t="s">
        <v>65</v>
      </c>
      <c r="B30" t="s">
        <v>150</v>
      </c>
      <c r="C30">
        <v>51856</v>
      </c>
      <c r="E30" s="85"/>
      <c r="F30" s="85"/>
      <c r="G30" s="85"/>
    </row>
    <row r="31" spans="1:7" x14ac:dyDescent="0.25">
      <c r="A31" t="s">
        <v>78</v>
      </c>
      <c r="B31" t="s">
        <v>152</v>
      </c>
      <c r="C31">
        <v>51863</v>
      </c>
      <c r="E31" s="85"/>
      <c r="F31" s="85"/>
      <c r="G31" s="85"/>
    </row>
    <row r="32" spans="1:7" x14ac:dyDescent="0.25">
      <c r="A32" t="s">
        <v>74</v>
      </c>
      <c r="B32" t="s">
        <v>154</v>
      </c>
      <c r="C32">
        <v>51916</v>
      </c>
      <c r="E32" s="85"/>
      <c r="F32" s="85"/>
      <c r="G32" s="85"/>
    </row>
    <row r="33" spans="1:7" x14ac:dyDescent="0.25">
      <c r="A33" t="s">
        <v>187</v>
      </c>
      <c r="B33" t="s">
        <v>156</v>
      </c>
      <c r="C33">
        <v>51938</v>
      </c>
      <c r="E33" s="85"/>
      <c r="F33" s="85"/>
      <c r="G33" s="85"/>
    </row>
    <row r="34" spans="1:7" x14ac:dyDescent="0.25">
      <c r="A34" t="s">
        <v>70</v>
      </c>
      <c r="B34" t="s">
        <v>158</v>
      </c>
      <c r="C34">
        <v>51988</v>
      </c>
      <c r="E34" s="85"/>
      <c r="F34" s="85"/>
      <c r="G34" s="85"/>
    </row>
    <row r="35" spans="1:7" x14ac:dyDescent="0.25">
      <c r="A35" t="s">
        <v>55</v>
      </c>
      <c r="B35" t="s">
        <v>160</v>
      </c>
      <c r="C35">
        <v>52167</v>
      </c>
      <c r="E35" s="85"/>
      <c r="F35" s="85"/>
      <c r="G35" s="85"/>
    </row>
    <row r="36" spans="1:7" x14ac:dyDescent="0.25">
      <c r="A36" t="s">
        <v>68</v>
      </c>
      <c r="B36" t="s">
        <v>162</v>
      </c>
      <c r="C36">
        <v>52186</v>
      </c>
      <c r="E36" s="85"/>
      <c r="F36" s="85"/>
      <c r="G36" s="85"/>
    </row>
    <row r="37" spans="1:7" x14ac:dyDescent="0.25">
      <c r="A37" t="s">
        <v>43</v>
      </c>
      <c r="B37" t="s">
        <v>164</v>
      </c>
      <c r="C37">
        <v>52259</v>
      </c>
      <c r="E37" s="85"/>
      <c r="F37" s="85"/>
      <c r="G37" s="85"/>
    </row>
    <row r="38" spans="1:7" x14ac:dyDescent="0.25">
      <c r="A38" t="s">
        <v>46</v>
      </c>
      <c r="B38" t="s">
        <v>166</v>
      </c>
      <c r="C38">
        <v>52261</v>
      </c>
      <c r="E38" s="85"/>
      <c r="F38" s="85"/>
      <c r="G38" s="85"/>
    </row>
    <row r="39" spans="1:7" x14ac:dyDescent="0.25">
      <c r="A39" t="s">
        <v>42</v>
      </c>
      <c r="B39" t="s">
        <v>168</v>
      </c>
      <c r="C39">
        <v>52320</v>
      </c>
      <c r="E39" s="85"/>
      <c r="F39" s="85"/>
      <c r="G39" s="85"/>
    </row>
    <row r="40" spans="1:7" x14ac:dyDescent="0.25">
      <c r="A40" t="s">
        <v>21</v>
      </c>
      <c r="B40" t="s">
        <v>170</v>
      </c>
      <c r="C40">
        <v>5480</v>
      </c>
      <c r="E40" s="85"/>
      <c r="F40" s="85"/>
      <c r="G40" s="85"/>
    </row>
    <row r="41" spans="1:7" x14ac:dyDescent="0.25">
      <c r="A41" t="s">
        <v>39</v>
      </c>
      <c r="B41" t="s">
        <v>171</v>
      </c>
      <c r="C41">
        <v>92583</v>
      </c>
      <c r="E41" s="85"/>
      <c r="F41" s="85"/>
      <c r="G41" s="85"/>
    </row>
    <row r="42" spans="1:7" x14ac:dyDescent="0.25">
      <c r="A42" t="s">
        <v>200</v>
      </c>
      <c r="B42" t="s">
        <v>173</v>
      </c>
      <c r="C42">
        <v>52407</v>
      </c>
      <c r="E42" s="85"/>
      <c r="F42" s="85"/>
      <c r="G42" s="85"/>
    </row>
    <row r="43" spans="1:7" x14ac:dyDescent="0.25">
      <c r="A43" t="s">
        <v>48</v>
      </c>
      <c r="B43" t="s">
        <v>175</v>
      </c>
      <c r="C43">
        <v>52435</v>
      </c>
      <c r="E43" s="85"/>
      <c r="F43" s="85"/>
      <c r="G43" s="85"/>
    </row>
    <row r="44" spans="1:7" x14ac:dyDescent="0.25">
      <c r="A44" t="s">
        <v>104</v>
      </c>
      <c r="B44" t="s">
        <v>179</v>
      </c>
      <c r="C44">
        <v>5458</v>
      </c>
      <c r="E44" s="85"/>
      <c r="F44" s="85"/>
      <c r="G44" s="85"/>
    </row>
    <row r="45" spans="1:7" x14ac:dyDescent="0.25">
      <c r="A45" t="s">
        <v>221</v>
      </c>
      <c r="B45" t="s">
        <v>206</v>
      </c>
      <c r="C45">
        <v>52897</v>
      </c>
    </row>
    <row r="46" spans="1:7" x14ac:dyDescent="0.25">
      <c r="A46" t="s">
        <v>222</v>
      </c>
      <c r="B46" t="s">
        <v>209</v>
      </c>
      <c r="C46">
        <v>53068</v>
      </c>
    </row>
    <row r="47" spans="1:7" x14ac:dyDescent="0.25">
      <c r="A47" s="85" t="s">
        <v>218</v>
      </c>
      <c r="B47" s="85" t="s">
        <v>217</v>
      </c>
      <c r="C47" s="85">
        <v>99924</v>
      </c>
    </row>
    <row r="48" spans="1:7" x14ac:dyDescent="0.25">
      <c r="A48" s="85" t="s">
        <v>220</v>
      </c>
      <c r="B48" s="85" t="s">
        <v>219</v>
      </c>
      <c r="C48" s="85">
        <v>89545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7"/>
  <sheetViews>
    <sheetView topLeftCell="C1" zoomScale="90" zoomScaleNormal="90" workbookViewId="0">
      <selection activeCell="C10" sqref="C10:K10"/>
    </sheetView>
  </sheetViews>
  <sheetFormatPr baseColWidth="10" defaultRowHeight="15" outlineLevelCol="1" x14ac:dyDescent="0.25"/>
  <cols>
    <col min="1" max="1" width="73.85546875" style="96" hidden="1" customWidth="1" outlineLevel="1"/>
    <col min="2" max="2" width="54" style="96" hidden="1" customWidth="1" outlineLevel="1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56" width="11.42578125" style="85"/>
    <col min="257" max="258" width="0" style="85" hidden="1" customWidth="1"/>
    <col min="259" max="259" width="39" style="85" bestFit="1" customWidth="1"/>
    <col min="260" max="262" width="11.42578125" style="85" customWidth="1"/>
    <col min="263" max="264" width="11.42578125" style="85"/>
    <col min="265" max="265" width="39" style="85" bestFit="1" customWidth="1"/>
    <col min="266" max="266" width="39" style="85" customWidth="1"/>
    <col min="267" max="512" width="11.42578125" style="85"/>
    <col min="513" max="514" width="0" style="85" hidden="1" customWidth="1"/>
    <col min="515" max="515" width="39" style="85" bestFit="1" customWidth="1"/>
    <col min="516" max="518" width="11.42578125" style="85" customWidth="1"/>
    <col min="519" max="520" width="11.42578125" style="85"/>
    <col min="521" max="521" width="39" style="85" bestFit="1" customWidth="1"/>
    <col min="522" max="522" width="39" style="85" customWidth="1"/>
    <col min="523" max="768" width="11.42578125" style="85"/>
    <col min="769" max="770" width="0" style="85" hidden="1" customWidth="1"/>
    <col min="771" max="771" width="39" style="85" bestFit="1" customWidth="1"/>
    <col min="772" max="774" width="11.42578125" style="85" customWidth="1"/>
    <col min="775" max="776" width="11.42578125" style="85"/>
    <col min="777" max="777" width="39" style="85" bestFit="1" customWidth="1"/>
    <col min="778" max="778" width="39" style="85" customWidth="1"/>
    <col min="779" max="1024" width="11.42578125" style="85"/>
    <col min="1025" max="1026" width="0" style="85" hidden="1" customWidth="1"/>
    <col min="1027" max="1027" width="39" style="85" bestFit="1" customWidth="1"/>
    <col min="1028" max="1030" width="11.42578125" style="85" customWidth="1"/>
    <col min="1031" max="1032" width="11.42578125" style="85"/>
    <col min="1033" max="1033" width="39" style="85" bestFit="1" customWidth="1"/>
    <col min="1034" max="1034" width="39" style="85" customWidth="1"/>
    <col min="1035" max="1280" width="11.42578125" style="85"/>
    <col min="1281" max="1282" width="0" style="85" hidden="1" customWidth="1"/>
    <col min="1283" max="1283" width="39" style="85" bestFit="1" customWidth="1"/>
    <col min="1284" max="1286" width="11.42578125" style="85" customWidth="1"/>
    <col min="1287" max="1288" width="11.42578125" style="85"/>
    <col min="1289" max="1289" width="39" style="85" bestFit="1" customWidth="1"/>
    <col min="1290" max="1290" width="39" style="85" customWidth="1"/>
    <col min="1291" max="1536" width="11.42578125" style="85"/>
    <col min="1537" max="1538" width="0" style="85" hidden="1" customWidth="1"/>
    <col min="1539" max="1539" width="39" style="85" bestFit="1" customWidth="1"/>
    <col min="1540" max="1542" width="11.42578125" style="85" customWidth="1"/>
    <col min="1543" max="1544" width="11.42578125" style="85"/>
    <col min="1545" max="1545" width="39" style="85" bestFit="1" customWidth="1"/>
    <col min="1546" max="1546" width="39" style="85" customWidth="1"/>
    <col min="1547" max="1792" width="11.42578125" style="85"/>
    <col min="1793" max="1794" width="0" style="85" hidden="1" customWidth="1"/>
    <col min="1795" max="1795" width="39" style="85" bestFit="1" customWidth="1"/>
    <col min="1796" max="1798" width="11.42578125" style="85" customWidth="1"/>
    <col min="1799" max="1800" width="11.42578125" style="85"/>
    <col min="1801" max="1801" width="39" style="85" bestFit="1" customWidth="1"/>
    <col min="1802" max="1802" width="39" style="85" customWidth="1"/>
    <col min="1803" max="2048" width="11.42578125" style="85"/>
    <col min="2049" max="2050" width="0" style="85" hidden="1" customWidth="1"/>
    <col min="2051" max="2051" width="39" style="85" bestFit="1" customWidth="1"/>
    <col min="2052" max="2054" width="11.42578125" style="85" customWidth="1"/>
    <col min="2055" max="2056" width="11.42578125" style="85"/>
    <col min="2057" max="2057" width="39" style="85" bestFit="1" customWidth="1"/>
    <col min="2058" max="2058" width="39" style="85" customWidth="1"/>
    <col min="2059" max="2304" width="11.42578125" style="85"/>
    <col min="2305" max="2306" width="0" style="85" hidden="1" customWidth="1"/>
    <col min="2307" max="2307" width="39" style="85" bestFit="1" customWidth="1"/>
    <col min="2308" max="2310" width="11.42578125" style="85" customWidth="1"/>
    <col min="2311" max="2312" width="11.42578125" style="85"/>
    <col min="2313" max="2313" width="39" style="85" bestFit="1" customWidth="1"/>
    <col min="2314" max="2314" width="39" style="85" customWidth="1"/>
    <col min="2315" max="2560" width="11.42578125" style="85"/>
    <col min="2561" max="2562" width="0" style="85" hidden="1" customWidth="1"/>
    <col min="2563" max="2563" width="39" style="85" bestFit="1" customWidth="1"/>
    <col min="2564" max="2566" width="11.42578125" style="85" customWidth="1"/>
    <col min="2567" max="2568" width="11.42578125" style="85"/>
    <col min="2569" max="2569" width="39" style="85" bestFit="1" customWidth="1"/>
    <col min="2570" max="2570" width="39" style="85" customWidth="1"/>
    <col min="2571" max="2816" width="11.42578125" style="85"/>
    <col min="2817" max="2818" width="0" style="85" hidden="1" customWidth="1"/>
    <col min="2819" max="2819" width="39" style="85" bestFit="1" customWidth="1"/>
    <col min="2820" max="2822" width="11.42578125" style="85" customWidth="1"/>
    <col min="2823" max="2824" width="11.42578125" style="85"/>
    <col min="2825" max="2825" width="39" style="85" bestFit="1" customWidth="1"/>
    <col min="2826" max="2826" width="39" style="85" customWidth="1"/>
    <col min="2827" max="3072" width="11.42578125" style="85"/>
    <col min="3073" max="3074" width="0" style="85" hidden="1" customWidth="1"/>
    <col min="3075" max="3075" width="39" style="85" bestFit="1" customWidth="1"/>
    <col min="3076" max="3078" width="11.42578125" style="85" customWidth="1"/>
    <col min="3079" max="3080" width="11.42578125" style="85"/>
    <col min="3081" max="3081" width="39" style="85" bestFit="1" customWidth="1"/>
    <col min="3082" max="3082" width="39" style="85" customWidth="1"/>
    <col min="3083" max="3328" width="11.42578125" style="85"/>
    <col min="3329" max="3330" width="0" style="85" hidden="1" customWidth="1"/>
    <col min="3331" max="3331" width="39" style="85" bestFit="1" customWidth="1"/>
    <col min="3332" max="3334" width="11.42578125" style="85" customWidth="1"/>
    <col min="3335" max="3336" width="11.42578125" style="85"/>
    <col min="3337" max="3337" width="39" style="85" bestFit="1" customWidth="1"/>
    <col min="3338" max="3338" width="39" style="85" customWidth="1"/>
    <col min="3339" max="3584" width="11.42578125" style="85"/>
    <col min="3585" max="3586" width="0" style="85" hidden="1" customWidth="1"/>
    <col min="3587" max="3587" width="39" style="85" bestFit="1" customWidth="1"/>
    <col min="3588" max="3590" width="11.42578125" style="85" customWidth="1"/>
    <col min="3591" max="3592" width="11.42578125" style="85"/>
    <col min="3593" max="3593" width="39" style="85" bestFit="1" customWidth="1"/>
    <col min="3594" max="3594" width="39" style="85" customWidth="1"/>
    <col min="3595" max="3840" width="11.42578125" style="85"/>
    <col min="3841" max="3842" width="0" style="85" hidden="1" customWidth="1"/>
    <col min="3843" max="3843" width="39" style="85" bestFit="1" customWidth="1"/>
    <col min="3844" max="3846" width="11.42578125" style="85" customWidth="1"/>
    <col min="3847" max="3848" width="11.42578125" style="85"/>
    <col min="3849" max="3849" width="39" style="85" bestFit="1" customWidth="1"/>
    <col min="3850" max="3850" width="39" style="85" customWidth="1"/>
    <col min="3851" max="4096" width="11.42578125" style="85"/>
    <col min="4097" max="4098" width="0" style="85" hidden="1" customWidth="1"/>
    <col min="4099" max="4099" width="39" style="85" bestFit="1" customWidth="1"/>
    <col min="4100" max="4102" width="11.42578125" style="85" customWidth="1"/>
    <col min="4103" max="4104" width="11.42578125" style="85"/>
    <col min="4105" max="4105" width="39" style="85" bestFit="1" customWidth="1"/>
    <col min="4106" max="4106" width="39" style="85" customWidth="1"/>
    <col min="4107" max="4352" width="11.42578125" style="85"/>
    <col min="4353" max="4354" width="0" style="85" hidden="1" customWidth="1"/>
    <col min="4355" max="4355" width="39" style="85" bestFit="1" customWidth="1"/>
    <col min="4356" max="4358" width="11.42578125" style="85" customWidth="1"/>
    <col min="4359" max="4360" width="11.42578125" style="85"/>
    <col min="4361" max="4361" width="39" style="85" bestFit="1" customWidth="1"/>
    <col min="4362" max="4362" width="39" style="85" customWidth="1"/>
    <col min="4363" max="4608" width="11.42578125" style="85"/>
    <col min="4609" max="4610" width="0" style="85" hidden="1" customWidth="1"/>
    <col min="4611" max="4611" width="39" style="85" bestFit="1" customWidth="1"/>
    <col min="4612" max="4614" width="11.42578125" style="85" customWidth="1"/>
    <col min="4615" max="4616" width="11.42578125" style="85"/>
    <col min="4617" max="4617" width="39" style="85" bestFit="1" customWidth="1"/>
    <col min="4618" max="4618" width="39" style="85" customWidth="1"/>
    <col min="4619" max="4864" width="11.42578125" style="85"/>
    <col min="4865" max="4866" width="0" style="85" hidden="1" customWidth="1"/>
    <col min="4867" max="4867" width="39" style="85" bestFit="1" customWidth="1"/>
    <col min="4868" max="4870" width="11.42578125" style="85" customWidth="1"/>
    <col min="4871" max="4872" width="11.42578125" style="85"/>
    <col min="4873" max="4873" width="39" style="85" bestFit="1" customWidth="1"/>
    <col min="4874" max="4874" width="39" style="85" customWidth="1"/>
    <col min="4875" max="5120" width="11.42578125" style="85"/>
    <col min="5121" max="5122" width="0" style="85" hidden="1" customWidth="1"/>
    <col min="5123" max="5123" width="39" style="85" bestFit="1" customWidth="1"/>
    <col min="5124" max="5126" width="11.42578125" style="85" customWidth="1"/>
    <col min="5127" max="5128" width="11.42578125" style="85"/>
    <col min="5129" max="5129" width="39" style="85" bestFit="1" customWidth="1"/>
    <col min="5130" max="5130" width="39" style="85" customWidth="1"/>
    <col min="5131" max="5376" width="11.42578125" style="85"/>
    <col min="5377" max="5378" width="0" style="85" hidden="1" customWidth="1"/>
    <col min="5379" max="5379" width="39" style="85" bestFit="1" customWidth="1"/>
    <col min="5380" max="5382" width="11.42578125" style="85" customWidth="1"/>
    <col min="5383" max="5384" width="11.42578125" style="85"/>
    <col min="5385" max="5385" width="39" style="85" bestFit="1" customWidth="1"/>
    <col min="5386" max="5386" width="39" style="85" customWidth="1"/>
    <col min="5387" max="5632" width="11.42578125" style="85"/>
    <col min="5633" max="5634" width="0" style="85" hidden="1" customWidth="1"/>
    <col min="5635" max="5635" width="39" style="85" bestFit="1" customWidth="1"/>
    <col min="5636" max="5638" width="11.42578125" style="85" customWidth="1"/>
    <col min="5639" max="5640" width="11.42578125" style="85"/>
    <col min="5641" max="5641" width="39" style="85" bestFit="1" customWidth="1"/>
    <col min="5642" max="5642" width="39" style="85" customWidth="1"/>
    <col min="5643" max="5888" width="11.42578125" style="85"/>
    <col min="5889" max="5890" width="0" style="85" hidden="1" customWidth="1"/>
    <col min="5891" max="5891" width="39" style="85" bestFit="1" customWidth="1"/>
    <col min="5892" max="5894" width="11.42578125" style="85" customWidth="1"/>
    <col min="5895" max="5896" width="11.42578125" style="85"/>
    <col min="5897" max="5897" width="39" style="85" bestFit="1" customWidth="1"/>
    <col min="5898" max="5898" width="39" style="85" customWidth="1"/>
    <col min="5899" max="6144" width="11.42578125" style="85"/>
    <col min="6145" max="6146" width="0" style="85" hidden="1" customWidth="1"/>
    <col min="6147" max="6147" width="39" style="85" bestFit="1" customWidth="1"/>
    <col min="6148" max="6150" width="11.42578125" style="85" customWidth="1"/>
    <col min="6151" max="6152" width="11.42578125" style="85"/>
    <col min="6153" max="6153" width="39" style="85" bestFit="1" customWidth="1"/>
    <col min="6154" max="6154" width="39" style="85" customWidth="1"/>
    <col min="6155" max="6400" width="11.42578125" style="85"/>
    <col min="6401" max="6402" width="0" style="85" hidden="1" customWidth="1"/>
    <col min="6403" max="6403" width="39" style="85" bestFit="1" customWidth="1"/>
    <col min="6404" max="6406" width="11.42578125" style="85" customWidth="1"/>
    <col min="6407" max="6408" width="11.42578125" style="85"/>
    <col min="6409" max="6409" width="39" style="85" bestFit="1" customWidth="1"/>
    <col min="6410" max="6410" width="39" style="85" customWidth="1"/>
    <col min="6411" max="6656" width="11.42578125" style="85"/>
    <col min="6657" max="6658" width="0" style="85" hidden="1" customWidth="1"/>
    <col min="6659" max="6659" width="39" style="85" bestFit="1" customWidth="1"/>
    <col min="6660" max="6662" width="11.42578125" style="85" customWidth="1"/>
    <col min="6663" max="6664" width="11.42578125" style="85"/>
    <col min="6665" max="6665" width="39" style="85" bestFit="1" customWidth="1"/>
    <col min="6666" max="6666" width="39" style="85" customWidth="1"/>
    <col min="6667" max="6912" width="11.42578125" style="85"/>
    <col min="6913" max="6914" width="0" style="85" hidden="1" customWidth="1"/>
    <col min="6915" max="6915" width="39" style="85" bestFit="1" customWidth="1"/>
    <col min="6916" max="6918" width="11.42578125" style="85" customWidth="1"/>
    <col min="6919" max="6920" width="11.42578125" style="85"/>
    <col min="6921" max="6921" width="39" style="85" bestFit="1" customWidth="1"/>
    <col min="6922" max="6922" width="39" style="85" customWidth="1"/>
    <col min="6923" max="7168" width="11.42578125" style="85"/>
    <col min="7169" max="7170" width="0" style="85" hidden="1" customWidth="1"/>
    <col min="7171" max="7171" width="39" style="85" bestFit="1" customWidth="1"/>
    <col min="7172" max="7174" width="11.42578125" style="85" customWidth="1"/>
    <col min="7175" max="7176" width="11.42578125" style="85"/>
    <col min="7177" max="7177" width="39" style="85" bestFit="1" customWidth="1"/>
    <col min="7178" max="7178" width="39" style="85" customWidth="1"/>
    <col min="7179" max="7424" width="11.42578125" style="85"/>
    <col min="7425" max="7426" width="0" style="85" hidden="1" customWidth="1"/>
    <col min="7427" max="7427" width="39" style="85" bestFit="1" customWidth="1"/>
    <col min="7428" max="7430" width="11.42578125" style="85" customWidth="1"/>
    <col min="7431" max="7432" width="11.42578125" style="85"/>
    <col min="7433" max="7433" width="39" style="85" bestFit="1" customWidth="1"/>
    <col min="7434" max="7434" width="39" style="85" customWidth="1"/>
    <col min="7435" max="7680" width="11.42578125" style="85"/>
    <col min="7681" max="7682" width="0" style="85" hidden="1" customWidth="1"/>
    <col min="7683" max="7683" width="39" style="85" bestFit="1" customWidth="1"/>
    <col min="7684" max="7686" width="11.42578125" style="85" customWidth="1"/>
    <col min="7687" max="7688" width="11.42578125" style="85"/>
    <col min="7689" max="7689" width="39" style="85" bestFit="1" customWidth="1"/>
    <col min="7690" max="7690" width="39" style="85" customWidth="1"/>
    <col min="7691" max="7936" width="11.42578125" style="85"/>
    <col min="7937" max="7938" width="0" style="85" hidden="1" customWidth="1"/>
    <col min="7939" max="7939" width="39" style="85" bestFit="1" customWidth="1"/>
    <col min="7940" max="7942" width="11.42578125" style="85" customWidth="1"/>
    <col min="7943" max="7944" width="11.42578125" style="85"/>
    <col min="7945" max="7945" width="39" style="85" bestFit="1" customWidth="1"/>
    <col min="7946" max="7946" width="39" style="85" customWidth="1"/>
    <col min="7947" max="8192" width="11.42578125" style="85"/>
    <col min="8193" max="8194" width="0" style="85" hidden="1" customWidth="1"/>
    <col min="8195" max="8195" width="39" style="85" bestFit="1" customWidth="1"/>
    <col min="8196" max="8198" width="11.42578125" style="85" customWidth="1"/>
    <col min="8199" max="8200" width="11.42578125" style="85"/>
    <col min="8201" max="8201" width="39" style="85" bestFit="1" customWidth="1"/>
    <col min="8202" max="8202" width="39" style="85" customWidth="1"/>
    <col min="8203" max="8448" width="11.42578125" style="85"/>
    <col min="8449" max="8450" width="0" style="85" hidden="1" customWidth="1"/>
    <col min="8451" max="8451" width="39" style="85" bestFit="1" customWidth="1"/>
    <col min="8452" max="8454" width="11.42578125" style="85" customWidth="1"/>
    <col min="8455" max="8456" width="11.42578125" style="85"/>
    <col min="8457" max="8457" width="39" style="85" bestFit="1" customWidth="1"/>
    <col min="8458" max="8458" width="39" style="85" customWidth="1"/>
    <col min="8459" max="8704" width="11.42578125" style="85"/>
    <col min="8705" max="8706" width="0" style="85" hidden="1" customWidth="1"/>
    <col min="8707" max="8707" width="39" style="85" bestFit="1" customWidth="1"/>
    <col min="8708" max="8710" width="11.42578125" style="85" customWidth="1"/>
    <col min="8711" max="8712" width="11.42578125" style="85"/>
    <col min="8713" max="8713" width="39" style="85" bestFit="1" customWidth="1"/>
    <col min="8714" max="8714" width="39" style="85" customWidth="1"/>
    <col min="8715" max="8960" width="11.42578125" style="85"/>
    <col min="8961" max="8962" width="0" style="85" hidden="1" customWidth="1"/>
    <col min="8963" max="8963" width="39" style="85" bestFit="1" customWidth="1"/>
    <col min="8964" max="8966" width="11.42578125" style="85" customWidth="1"/>
    <col min="8967" max="8968" width="11.42578125" style="85"/>
    <col min="8969" max="8969" width="39" style="85" bestFit="1" customWidth="1"/>
    <col min="8970" max="8970" width="39" style="85" customWidth="1"/>
    <col min="8971" max="9216" width="11.42578125" style="85"/>
    <col min="9217" max="9218" width="0" style="85" hidden="1" customWidth="1"/>
    <col min="9219" max="9219" width="39" style="85" bestFit="1" customWidth="1"/>
    <col min="9220" max="9222" width="11.42578125" style="85" customWidth="1"/>
    <col min="9223" max="9224" width="11.42578125" style="85"/>
    <col min="9225" max="9225" width="39" style="85" bestFit="1" customWidth="1"/>
    <col min="9226" max="9226" width="39" style="85" customWidth="1"/>
    <col min="9227" max="9472" width="11.42578125" style="85"/>
    <col min="9473" max="9474" width="0" style="85" hidden="1" customWidth="1"/>
    <col min="9475" max="9475" width="39" style="85" bestFit="1" customWidth="1"/>
    <col min="9476" max="9478" width="11.42578125" style="85" customWidth="1"/>
    <col min="9479" max="9480" width="11.42578125" style="85"/>
    <col min="9481" max="9481" width="39" style="85" bestFit="1" customWidth="1"/>
    <col min="9482" max="9482" width="39" style="85" customWidth="1"/>
    <col min="9483" max="9728" width="11.42578125" style="85"/>
    <col min="9729" max="9730" width="0" style="85" hidden="1" customWidth="1"/>
    <col min="9731" max="9731" width="39" style="85" bestFit="1" customWidth="1"/>
    <col min="9732" max="9734" width="11.42578125" style="85" customWidth="1"/>
    <col min="9735" max="9736" width="11.42578125" style="85"/>
    <col min="9737" max="9737" width="39" style="85" bestFit="1" customWidth="1"/>
    <col min="9738" max="9738" width="39" style="85" customWidth="1"/>
    <col min="9739" max="9984" width="11.42578125" style="85"/>
    <col min="9985" max="9986" width="0" style="85" hidden="1" customWidth="1"/>
    <col min="9987" max="9987" width="39" style="85" bestFit="1" customWidth="1"/>
    <col min="9988" max="9990" width="11.42578125" style="85" customWidth="1"/>
    <col min="9991" max="9992" width="11.42578125" style="85"/>
    <col min="9993" max="9993" width="39" style="85" bestFit="1" customWidth="1"/>
    <col min="9994" max="9994" width="39" style="85" customWidth="1"/>
    <col min="9995" max="10240" width="11.42578125" style="85"/>
    <col min="10241" max="10242" width="0" style="85" hidden="1" customWidth="1"/>
    <col min="10243" max="10243" width="39" style="85" bestFit="1" customWidth="1"/>
    <col min="10244" max="10246" width="11.42578125" style="85" customWidth="1"/>
    <col min="10247" max="10248" width="11.42578125" style="85"/>
    <col min="10249" max="10249" width="39" style="85" bestFit="1" customWidth="1"/>
    <col min="10250" max="10250" width="39" style="85" customWidth="1"/>
    <col min="10251" max="10496" width="11.42578125" style="85"/>
    <col min="10497" max="10498" width="0" style="85" hidden="1" customWidth="1"/>
    <col min="10499" max="10499" width="39" style="85" bestFit="1" customWidth="1"/>
    <col min="10500" max="10502" width="11.42578125" style="85" customWidth="1"/>
    <col min="10503" max="10504" width="11.42578125" style="85"/>
    <col min="10505" max="10505" width="39" style="85" bestFit="1" customWidth="1"/>
    <col min="10506" max="10506" width="39" style="85" customWidth="1"/>
    <col min="10507" max="10752" width="11.42578125" style="85"/>
    <col min="10753" max="10754" width="0" style="85" hidden="1" customWidth="1"/>
    <col min="10755" max="10755" width="39" style="85" bestFit="1" customWidth="1"/>
    <col min="10756" max="10758" width="11.42578125" style="85" customWidth="1"/>
    <col min="10759" max="10760" width="11.42578125" style="85"/>
    <col min="10761" max="10761" width="39" style="85" bestFit="1" customWidth="1"/>
    <col min="10762" max="10762" width="39" style="85" customWidth="1"/>
    <col min="10763" max="11008" width="11.42578125" style="85"/>
    <col min="11009" max="11010" width="0" style="85" hidden="1" customWidth="1"/>
    <col min="11011" max="11011" width="39" style="85" bestFit="1" customWidth="1"/>
    <col min="11012" max="11014" width="11.42578125" style="85" customWidth="1"/>
    <col min="11015" max="11016" width="11.42578125" style="85"/>
    <col min="11017" max="11017" width="39" style="85" bestFit="1" customWidth="1"/>
    <col min="11018" max="11018" width="39" style="85" customWidth="1"/>
    <col min="11019" max="11264" width="11.42578125" style="85"/>
    <col min="11265" max="11266" width="0" style="85" hidden="1" customWidth="1"/>
    <col min="11267" max="11267" width="39" style="85" bestFit="1" customWidth="1"/>
    <col min="11268" max="11270" width="11.42578125" style="85" customWidth="1"/>
    <col min="11271" max="11272" width="11.42578125" style="85"/>
    <col min="11273" max="11273" width="39" style="85" bestFit="1" customWidth="1"/>
    <col min="11274" max="11274" width="39" style="85" customWidth="1"/>
    <col min="11275" max="11520" width="11.42578125" style="85"/>
    <col min="11521" max="11522" width="0" style="85" hidden="1" customWidth="1"/>
    <col min="11523" max="11523" width="39" style="85" bestFit="1" customWidth="1"/>
    <col min="11524" max="11526" width="11.42578125" style="85" customWidth="1"/>
    <col min="11527" max="11528" width="11.42578125" style="85"/>
    <col min="11529" max="11529" width="39" style="85" bestFit="1" customWidth="1"/>
    <col min="11530" max="11530" width="39" style="85" customWidth="1"/>
    <col min="11531" max="11776" width="11.42578125" style="85"/>
    <col min="11777" max="11778" width="0" style="85" hidden="1" customWidth="1"/>
    <col min="11779" max="11779" width="39" style="85" bestFit="1" customWidth="1"/>
    <col min="11780" max="11782" width="11.42578125" style="85" customWidth="1"/>
    <col min="11783" max="11784" width="11.42578125" style="85"/>
    <col min="11785" max="11785" width="39" style="85" bestFit="1" customWidth="1"/>
    <col min="11786" max="11786" width="39" style="85" customWidth="1"/>
    <col min="11787" max="12032" width="11.42578125" style="85"/>
    <col min="12033" max="12034" width="0" style="85" hidden="1" customWidth="1"/>
    <col min="12035" max="12035" width="39" style="85" bestFit="1" customWidth="1"/>
    <col min="12036" max="12038" width="11.42578125" style="85" customWidth="1"/>
    <col min="12039" max="12040" width="11.42578125" style="85"/>
    <col min="12041" max="12041" width="39" style="85" bestFit="1" customWidth="1"/>
    <col min="12042" max="12042" width="39" style="85" customWidth="1"/>
    <col min="12043" max="12288" width="11.42578125" style="85"/>
    <col min="12289" max="12290" width="0" style="85" hidden="1" customWidth="1"/>
    <col min="12291" max="12291" width="39" style="85" bestFit="1" customWidth="1"/>
    <col min="12292" max="12294" width="11.42578125" style="85" customWidth="1"/>
    <col min="12295" max="12296" width="11.42578125" style="85"/>
    <col min="12297" max="12297" width="39" style="85" bestFit="1" customWidth="1"/>
    <col min="12298" max="12298" width="39" style="85" customWidth="1"/>
    <col min="12299" max="12544" width="11.42578125" style="85"/>
    <col min="12545" max="12546" width="0" style="85" hidden="1" customWidth="1"/>
    <col min="12547" max="12547" width="39" style="85" bestFit="1" customWidth="1"/>
    <col min="12548" max="12550" width="11.42578125" style="85" customWidth="1"/>
    <col min="12551" max="12552" width="11.42578125" style="85"/>
    <col min="12553" max="12553" width="39" style="85" bestFit="1" customWidth="1"/>
    <col min="12554" max="12554" width="39" style="85" customWidth="1"/>
    <col min="12555" max="12800" width="11.42578125" style="85"/>
    <col min="12801" max="12802" width="0" style="85" hidden="1" customWidth="1"/>
    <col min="12803" max="12803" width="39" style="85" bestFit="1" customWidth="1"/>
    <col min="12804" max="12806" width="11.42578125" style="85" customWidth="1"/>
    <col min="12807" max="12808" width="11.42578125" style="85"/>
    <col min="12809" max="12809" width="39" style="85" bestFit="1" customWidth="1"/>
    <col min="12810" max="12810" width="39" style="85" customWidth="1"/>
    <col min="12811" max="13056" width="11.42578125" style="85"/>
    <col min="13057" max="13058" width="0" style="85" hidden="1" customWidth="1"/>
    <col min="13059" max="13059" width="39" style="85" bestFit="1" customWidth="1"/>
    <col min="13060" max="13062" width="11.42578125" style="85" customWidth="1"/>
    <col min="13063" max="13064" width="11.42578125" style="85"/>
    <col min="13065" max="13065" width="39" style="85" bestFit="1" customWidth="1"/>
    <col min="13066" max="13066" width="39" style="85" customWidth="1"/>
    <col min="13067" max="13312" width="11.42578125" style="85"/>
    <col min="13313" max="13314" width="0" style="85" hidden="1" customWidth="1"/>
    <col min="13315" max="13315" width="39" style="85" bestFit="1" customWidth="1"/>
    <col min="13316" max="13318" width="11.42578125" style="85" customWidth="1"/>
    <col min="13319" max="13320" width="11.42578125" style="85"/>
    <col min="13321" max="13321" width="39" style="85" bestFit="1" customWidth="1"/>
    <col min="13322" max="13322" width="39" style="85" customWidth="1"/>
    <col min="13323" max="13568" width="11.42578125" style="85"/>
    <col min="13569" max="13570" width="0" style="85" hidden="1" customWidth="1"/>
    <col min="13571" max="13571" width="39" style="85" bestFit="1" customWidth="1"/>
    <col min="13572" max="13574" width="11.42578125" style="85" customWidth="1"/>
    <col min="13575" max="13576" width="11.42578125" style="85"/>
    <col min="13577" max="13577" width="39" style="85" bestFit="1" customWidth="1"/>
    <col min="13578" max="13578" width="39" style="85" customWidth="1"/>
    <col min="13579" max="13824" width="11.42578125" style="85"/>
    <col min="13825" max="13826" width="0" style="85" hidden="1" customWidth="1"/>
    <col min="13827" max="13827" width="39" style="85" bestFit="1" customWidth="1"/>
    <col min="13828" max="13830" width="11.42578125" style="85" customWidth="1"/>
    <col min="13831" max="13832" width="11.42578125" style="85"/>
    <col min="13833" max="13833" width="39" style="85" bestFit="1" customWidth="1"/>
    <col min="13834" max="13834" width="39" style="85" customWidth="1"/>
    <col min="13835" max="14080" width="11.42578125" style="85"/>
    <col min="14081" max="14082" width="0" style="85" hidden="1" customWidth="1"/>
    <col min="14083" max="14083" width="39" style="85" bestFit="1" customWidth="1"/>
    <col min="14084" max="14086" width="11.42578125" style="85" customWidth="1"/>
    <col min="14087" max="14088" width="11.42578125" style="85"/>
    <col min="14089" max="14089" width="39" style="85" bestFit="1" customWidth="1"/>
    <col min="14090" max="14090" width="39" style="85" customWidth="1"/>
    <col min="14091" max="14336" width="11.42578125" style="85"/>
    <col min="14337" max="14338" width="0" style="85" hidden="1" customWidth="1"/>
    <col min="14339" max="14339" width="39" style="85" bestFit="1" customWidth="1"/>
    <col min="14340" max="14342" width="11.42578125" style="85" customWidth="1"/>
    <col min="14343" max="14344" width="11.42578125" style="85"/>
    <col min="14345" max="14345" width="39" style="85" bestFit="1" customWidth="1"/>
    <col min="14346" max="14346" width="39" style="85" customWidth="1"/>
    <col min="14347" max="14592" width="11.42578125" style="85"/>
    <col min="14593" max="14594" width="0" style="85" hidden="1" customWidth="1"/>
    <col min="14595" max="14595" width="39" style="85" bestFit="1" customWidth="1"/>
    <col min="14596" max="14598" width="11.42578125" style="85" customWidth="1"/>
    <col min="14599" max="14600" width="11.42578125" style="85"/>
    <col min="14601" max="14601" width="39" style="85" bestFit="1" customWidth="1"/>
    <col min="14602" max="14602" width="39" style="85" customWidth="1"/>
    <col min="14603" max="14848" width="11.42578125" style="85"/>
    <col min="14849" max="14850" width="0" style="85" hidden="1" customWidth="1"/>
    <col min="14851" max="14851" width="39" style="85" bestFit="1" customWidth="1"/>
    <col min="14852" max="14854" width="11.42578125" style="85" customWidth="1"/>
    <col min="14855" max="14856" width="11.42578125" style="85"/>
    <col min="14857" max="14857" width="39" style="85" bestFit="1" customWidth="1"/>
    <col min="14858" max="14858" width="39" style="85" customWidth="1"/>
    <col min="14859" max="15104" width="11.42578125" style="85"/>
    <col min="15105" max="15106" width="0" style="85" hidden="1" customWidth="1"/>
    <col min="15107" max="15107" width="39" style="85" bestFit="1" customWidth="1"/>
    <col min="15108" max="15110" width="11.42578125" style="85" customWidth="1"/>
    <col min="15111" max="15112" width="11.42578125" style="85"/>
    <col min="15113" max="15113" width="39" style="85" bestFit="1" customWidth="1"/>
    <col min="15114" max="15114" width="39" style="85" customWidth="1"/>
    <col min="15115" max="15360" width="11.42578125" style="85"/>
    <col min="15361" max="15362" width="0" style="85" hidden="1" customWidth="1"/>
    <col min="15363" max="15363" width="39" style="85" bestFit="1" customWidth="1"/>
    <col min="15364" max="15366" width="11.42578125" style="85" customWidth="1"/>
    <col min="15367" max="15368" width="11.42578125" style="85"/>
    <col min="15369" max="15369" width="39" style="85" bestFit="1" customWidth="1"/>
    <col min="15370" max="15370" width="39" style="85" customWidth="1"/>
    <col min="15371" max="15616" width="11.42578125" style="85"/>
    <col min="15617" max="15618" width="0" style="85" hidden="1" customWidth="1"/>
    <col min="15619" max="15619" width="39" style="85" bestFit="1" customWidth="1"/>
    <col min="15620" max="15622" width="11.42578125" style="85" customWidth="1"/>
    <col min="15623" max="15624" width="11.42578125" style="85"/>
    <col min="15625" max="15625" width="39" style="85" bestFit="1" customWidth="1"/>
    <col min="15626" max="15626" width="39" style="85" customWidth="1"/>
    <col min="15627" max="15872" width="11.42578125" style="85"/>
    <col min="15873" max="15874" width="0" style="85" hidden="1" customWidth="1"/>
    <col min="15875" max="15875" width="39" style="85" bestFit="1" customWidth="1"/>
    <col min="15876" max="15878" width="11.42578125" style="85" customWidth="1"/>
    <col min="15879" max="15880" width="11.42578125" style="85"/>
    <col min="15881" max="15881" width="39" style="85" bestFit="1" customWidth="1"/>
    <col min="15882" max="15882" width="39" style="85" customWidth="1"/>
    <col min="15883" max="16128" width="11.42578125" style="85"/>
    <col min="16129" max="16130" width="0" style="85" hidden="1" customWidth="1"/>
    <col min="16131" max="16131" width="39" style="85" bestFit="1" customWidth="1"/>
    <col min="16132" max="16134" width="11.42578125" style="85" customWidth="1"/>
    <col min="16135" max="16136" width="11.42578125" style="85"/>
    <col min="16137" max="16137" width="39" style="85" bestFit="1" customWidth="1"/>
    <col min="16138" max="16138" width="39" style="85" customWidth="1"/>
    <col min="16139" max="16384" width="11.42578125" style="85"/>
  </cols>
  <sheetData>
    <row r="2" spans="1:12" x14ac:dyDescent="0.25">
      <c r="C2" s="100"/>
      <c r="I2" s="100"/>
      <c r="J2" s="101"/>
    </row>
    <row r="3" spans="1:12" x14ac:dyDescent="0.25">
      <c r="C3" s="102" t="s">
        <v>224</v>
      </c>
      <c r="D3" s="103" t="s">
        <v>225</v>
      </c>
      <c r="E3" s="103" t="s">
        <v>224</v>
      </c>
      <c r="G3" s="103" t="s">
        <v>226</v>
      </c>
      <c r="H3" s="103"/>
      <c r="I3" s="102"/>
      <c r="J3" s="102"/>
      <c r="K3" s="102"/>
    </row>
    <row r="4" spans="1:12" ht="15.75" thickBot="1" x14ac:dyDescent="0.3">
      <c r="A4" s="96" t="s">
        <v>227</v>
      </c>
      <c r="B4" s="96" t="s">
        <v>228</v>
      </c>
      <c r="C4" s="104" t="s">
        <v>229</v>
      </c>
      <c r="D4" s="105"/>
      <c r="E4" s="105"/>
      <c r="G4" s="105" t="s">
        <v>230</v>
      </c>
      <c r="H4" s="105" t="s">
        <v>231</v>
      </c>
      <c r="I4" s="104"/>
      <c r="J4" s="104"/>
      <c r="K4" s="104" t="s">
        <v>285</v>
      </c>
    </row>
    <row r="5" spans="1:12" x14ac:dyDescent="0.25">
      <c r="A5" s="96" t="s">
        <v>232</v>
      </c>
      <c r="B5" s="96" t="s">
        <v>233</v>
      </c>
      <c r="C5" s="96" t="s">
        <v>14</v>
      </c>
      <c r="D5" s="97">
        <v>101.25</v>
      </c>
      <c r="E5" s="97">
        <v>102.44300322561728</v>
      </c>
      <c r="F5" s="106"/>
      <c r="G5" s="107">
        <v>101.25</v>
      </c>
      <c r="H5" s="108">
        <v>9.5995072010331195E-2</v>
      </c>
      <c r="I5" s="96" t="s">
        <v>235</v>
      </c>
      <c r="J5" s="96" t="s">
        <v>238</v>
      </c>
      <c r="K5" s="107">
        <v>0.37107252581411915</v>
      </c>
    </row>
    <row r="6" spans="1:12" x14ac:dyDescent="0.25">
      <c r="A6" s="96" t="s">
        <v>232</v>
      </c>
      <c r="B6" s="96" t="s">
        <v>237</v>
      </c>
      <c r="C6" s="96" t="s">
        <v>16</v>
      </c>
      <c r="D6" s="97">
        <v>103</v>
      </c>
      <c r="E6" s="97">
        <v>102.76401929296621</v>
      </c>
      <c r="G6" s="107">
        <v>103</v>
      </c>
      <c r="H6" s="108">
        <v>6.7053761617800189E-3</v>
      </c>
      <c r="I6" s="96" t="s">
        <v>235</v>
      </c>
      <c r="J6" s="96" t="s">
        <v>238</v>
      </c>
      <c r="K6" s="107">
        <v>1.1634267833998655</v>
      </c>
      <c r="L6" s="96"/>
    </row>
    <row r="7" spans="1:12" x14ac:dyDescent="0.25">
      <c r="A7" s="96" t="s">
        <v>232</v>
      </c>
      <c r="B7" s="96" t="s">
        <v>239</v>
      </c>
      <c r="C7" s="96" t="s">
        <v>18</v>
      </c>
      <c r="D7" s="97">
        <v>109</v>
      </c>
      <c r="E7" s="97">
        <v>107.79276281882528</v>
      </c>
      <c r="G7" s="107">
        <v>109</v>
      </c>
      <c r="H7" s="108">
        <v>-1.1075915024222671E-2</v>
      </c>
      <c r="I7" s="96" t="s">
        <v>235</v>
      </c>
      <c r="J7" s="96" t="s">
        <v>238</v>
      </c>
      <c r="K7" s="107">
        <v>1.7518142758376056</v>
      </c>
      <c r="L7" s="96"/>
    </row>
    <row r="8" spans="1:12" x14ac:dyDescent="0.25">
      <c r="A8" s="96" t="s">
        <v>232</v>
      </c>
      <c r="B8" s="96" t="s">
        <v>240</v>
      </c>
      <c r="C8" s="96" t="s">
        <v>21</v>
      </c>
      <c r="D8" s="97">
        <v>100</v>
      </c>
      <c r="E8" s="97">
        <v>100.15489080501997</v>
      </c>
      <c r="F8" s="106"/>
      <c r="G8" s="107">
        <v>100</v>
      </c>
      <c r="H8" s="108">
        <v>1.5770669646818614E-2</v>
      </c>
      <c r="I8" s="96" t="s">
        <v>235</v>
      </c>
      <c r="J8" s="96" t="s">
        <v>238</v>
      </c>
      <c r="K8" s="107">
        <v>2.6836362692186282</v>
      </c>
      <c r="L8" s="96" t="s">
        <v>286</v>
      </c>
    </row>
    <row r="9" spans="1:12" x14ac:dyDescent="0.25">
      <c r="A9" s="96" t="s">
        <v>241</v>
      </c>
      <c r="B9" s="96" t="s">
        <v>242</v>
      </c>
      <c r="C9" s="96" t="s">
        <v>23</v>
      </c>
      <c r="D9" s="97">
        <v>172.6</v>
      </c>
      <c r="E9" s="97">
        <v>174.08792086214203</v>
      </c>
      <c r="G9" s="107">
        <v>172.6</v>
      </c>
      <c r="H9" s="108">
        <v>3.3219344191590561E-2</v>
      </c>
      <c r="I9" s="96" t="s">
        <v>235</v>
      </c>
      <c r="J9" s="96" t="s">
        <v>238</v>
      </c>
      <c r="K9" s="107">
        <v>2.1229129916732536</v>
      </c>
      <c r="L9" s="96"/>
    </row>
    <row r="10" spans="1:12" x14ac:dyDescent="0.25">
      <c r="A10" s="96" t="s">
        <v>232</v>
      </c>
      <c r="B10" s="96" t="s">
        <v>243</v>
      </c>
      <c r="C10" s="96" t="s">
        <v>27</v>
      </c>
      <c r="D10" s="97">
        <v>107.7</v>
      </c>
      <c r="E10" s="97">
        <v>0</v>
      </c>
      <c r="G10" s="107">
        <v>107.7</v>
      </c>
      <c r="H10" s="108">
        <v>0.25013655414551472</v>
      </c>
      <c r="J10" s="96" t="s">
        <v>238</v>
      </c>
      <c r="K10" s="107">
        <v>1.9256545287295497</v>
      </c>
      <c r="L10" s="96"/>
    </row>
    <row r="11" spans="1:12" x14ac:dyDescent="0.25">
      <c r="A11" s="96" t="s">
        <v>244</v>
      </c>
      <c r="B11" s="96" t="s">
        <v>245</v>
      </c>
      <c r="C11" s="96" t="s">
        <v>33</v>
      </c>
      <c r="D11" s="97">
        <v>18.25</v>
      </c>
      <c r="E11" s="97">
        <v>0</v>
      </c>
      <c r="F11" s="106"/>
      <c r="G11" s="107">
        <v>18.25</v>
      </c>
      <c r="H11" s="108">
        <v>-0.25121721439063549</v>
      </c>
      <c r="I11" s="96" t="s">
        <v>246</v>
      </c>
      <c r="J11" s="96" t="s">
        <v>238</v>
      </c>
      <c r="K11" s="107">
        <v>6.2985071628953712E-2</v>
      </c>
      <c r="L11" s="96"/>
    </row>
    <row r="12" spans="1:12" x14ac:dyDescent="0.25">
      <c r="A12" s="96" t="s">
        <v>247</v>
      </c>
      <c r="B12" s="96" t="s">
        <v>248</v>
      </c>
      <c r="C12" s="96" t="s">
        <v>30</v>
      </c>
      <c r="D12" s="97">
        <v>132</v>
      </c>
      <c r="E12" s="97">
        <v>133.12524182876851</v>
      </c>
      <c r="G12" s="107">
        <v>132</v>
      </c>
      <c r="H12" s="108">
        <v>3.6236709541986656E-2</v>
      </c>
      <c r="I12" s="96" t="s">
        <v>246</v>
      </c>
      <c r="J12" s="96" t="s">
        <v>238</v>
      </c>
      <c r="K12" s="107">
        <v>3.599690139886274</v>
      </c>
      <c r="L12" s="96"/>
    </row>
    <row r="13" spans="1:12" x14ac:dyDescent="0.25">
      <c r="A13" s="96" t="s">
        <v>232</v>
      </c>
      <c r="B13" s="96" t="s">
        <v>249</v>
      </c>
      <c r="C13" s="96" t="s">
        <v>36</v>
      </c>
      <c r="D13" s="97">
        <v>1880</v>
      </c>
      <c r="E13" s="97">
        <v>1868.4769919076136</v>
      </c>
      <c r="F13" s="106"/>
      <c r="G13" s="107">
        <v>1880</v>
      </c>
      <c r="H13" s="108">
        <v>1.9151146422766718E-2</v>
      </c>
      <c r="I13" s="96" t="s">
        <v>250</v>
      </c>
      <c r="J13" s="96" t="s">
        <v>238</v>
      </c>
      <c r="K13" s="107">
        <v>0.45734704072527138</v>
      </c>
      <c r="L13" s="96"/>
    </row>
    <row r="14" spans="1:12" x14ac:dyDescent="0.25">
      <c r="A14" s="96" t="s">
        <v>232</v>
      </c>
      <c r="B14" s="96" t="s">
        <v>251</v>
      </c>
      <c r="C14" s="100" t="s">
        <v>39</v>
      </c>
      <c r="D14" s="109">
        <v>2016</v>
      </c>
      <c r="E14" s="109">
        <v>2008.2440535606136</v>
      </c>
      <c r="F14" s="110"/>
      <c r="G14" s="111">
        <v>2016</v>
      </c>
      <c r="H14" s="112">
        <v>4.1412282847947512E-2</v>
      </c>
      <c r="I14" s="100" t="s">
        <v>250</v>
      </c>
      <c r="J14" s="100" t="s">
        <v>238</v>
      </c>
      <c r="K14" s="107">
        <v>3.7975486973594519</v>
      </c>
      <c r="L14" s="96"/>
    </row>
    <row r="15" spans="1:12" x14ac:dyDescent="0.25">
      <c r="A15" s="96" t="s">
        <v>252</v>
      </c>
      <c r="B15" s="96" t="s">
        <v>253</v>
      </c>
      <c r="C15" s="96" t="s">
        <v>43</v>
      </c>
      <c r="D15" s="97">
        <v>100.64</v>
      </c>
      <c r="E15" s="97">
        <v>100.72846793570923</v>
      </c>
      <c r="F15" s="106" t="s">
        <v>234</v>
      </c>
      <c r="G15" s="107">
        <v>100.72846793570923</v>
      </c>
      <c r="H15" s="108">
        <v>4.7191081563578707E-2</v>
      </c>
      <c r="I15" s="96" t="s">
        <v>235</v>
      </c>
      <c r="J15" s="96" t="s">
        <v>236</v>
      </c>
      <c r="K15" s="107">
        <v>1.6726649160043539</v>
      </c>
      <c r="L15" s="96"/>
    </row>
    <row r="16" spans="1:12" x14ac:dyDescent="0.25">
      <c r="A16" s="96" t="s">
        <v>252</v>
      </c>
      <c r="B16" s="96" t="s">
        <v>254</v>
      </c>
      <c r="C16" s="96" t="s">
        <v>46</v>
      </c>
      <c r="D16" s="97">
        <v>0</v>
      </c>
      <c r="E16" s="97">
        <v>102.94026830334288</v>
      </c>
      <c r="F16" s="106" t="s">
        <v>234</v>
      </c>
      <c r="G16" s="107">
        <v>102.94026830334288</v>
      </c>
      <c r="H16" s="108">
        <v>2.7699999999999999E-2</v>
      </c>
      <c r="I16" s="96" t="s">
        <v>235</v>
      </c>
      <c r="J16" s="96" t="s">
        <v>255</v>
      </c>
      <c r="K16" s="107">
        <v>1.6879064566035622</v>
      </c>
      <c r="L16" s="96"/>
    </row>
    <row r="17" spans="1:12" x14ac:dyDescent="0.25">
      <c r="A17" s="96" t="s">
        <v>252</v>
      </c>
      <c r="B17" s="96" t="s">
        <v>256</v>
      </c>
      <c r="C17" s="96" t="s">
        <v>42</v>
      </c>
      <c r="D17" s="97">
        <v>0</v>
      </c>
      <c r="E17" s="97">
        <v>106.08473700662432</v>
      </c>
      <c r="F17" s="106" t="s">
        <v>234</v>
      </c>
      <c r="G17" s="107">
        <v>106.08473700662432</v>
      </c>
      <c r="H17" s="108">
        <v>2.47E-2</v>
      </c>
      <c r="I17" s="96" t="s">
        <v>235</v>
      </c>
      <c r="J17" s="96" t="s">
        <v>255</v>
      </c>
      <c r="K17" s="107">
        <v>1.6761347854811215</v>
      </c>
      <c r="L17" s="96" t="s">
        <v>286</v>
      </c>
    </row>
    <row r="18" spans="1:12" x14ac:dyDescent="0.25">
      <c r="A18" s="96" t="s">
        <v>252</v>
      </c>
      <c r="B18" s="96" t="s">
        <v>257</v>
      </c>
      <c r="C18" s="96" t="s">
        <v>50</v>
      </c>
      <c r="D18" s="97">
        <v>104.52</v>
      </c>
      <c r="E18" s="97">
        <v>107.09799514664647</v>
      </c>
      <c r="F18" s="113" t="s">
        <v>234</v>
      </c>
      <c r="G18" s="107">
        <v>107.09799514664647</v>
      </c>
      <c r="H18" s="108">
        <v>2.1401654455020847E-2</v>
      </c>
      <c r="I18" s="96" t="s">
        <v>235</v>
      </c>
      <c r="J18" s="96" t="s">
        <v>236</v>
      </c>
      <c r="K18" s="107">
        <v>1.0037657909387865</v>
      </c>
      <c r="L18" s="96"/>
    </row>
    <row r="19" spans="1:12" x14ac:dyDescent="0.25">
      <c r="A19" s="96" t="s">
        <v>252</v>
      </c>
      <c r="B19" s="96" t="s">
        <v>258</v>
      </c>
      <c r="C19" s="96" t="s">
        <v>52</v>
      </c>
      <c r="D19" s="97">
        <v>101.15</v>
      </c>
      <c r="E19" s="97">
        <v>101.75129095270353</v>
      </c>
      <c r="F19" s="106" t="s">
        <v>234</v>
      </c>
      <c r="G19" s="107">
        <v>101.75129095270353</v>
      </c>
      <c r="H19" s="108">
        <v>4.9959730964385218E-2</v>
      </c>
      <c r="I19" s="96" t="s">
        <v>235</v>
      </c>
      <c r="J19" s="96" t="s">
        <v>236</v>
      </c>
      <c r="K19" s="107">
        <v>1.3868441519054815</v>
      </c>
      <c r="L19" s="96"/>
    </row>
    <row r="20" spans="1:12" x14ac:dyDescent="0.25">
      <c r="A20" s="96" t="s">
        <v>252</v>
      </c>
      <c r="B20" s="96" t="s">
        <v>259</v>
      </c>
      <c r="C20" s="96" t="s">
        <v>188</v>
      </c>
      <c r="D20" s="97">
        <v>103.4</v>
      </c>
      <c r="E20" s="97">
        <v>103.96182674273295</v>
      </c>
      <c r="F20" s="106" t="s">
        <v>234</v>
      </c>
      <c r="G20" s="107">
        <v>103.96182674273295</v>
      </c>
      <c r="H20" s="108">
        <v>2.2243808821492794E-2</v>
      </c>
      <c r="I20" s="96" t="s">
        <v>235</v>
      </c>
      <c r="J20" s="96" t="s">
        <v>236</v>
      </c>
      <c r="K20" s="107">
        <v>0.53101081212507661</v>
      </c>
      <c r="L20" s="96"/>
    </row>
    <row r="21" spans="1:12" x14ac:dyDescent="0.25">
      <c r="A21" s="96" t="s">
        <v>252</v>
      </c>
      <c r="B21" s="96" t="s">
        <v>260</v>
      </c>
      <c r="C21" s="96" t="s">
        <v>55</v>
      </c>
      <c r="D21" s="97">
        <v>0</v>
      </c>
      <c r="E21" s="97">
        <v>105.10522724440662</v>
      </c>
      <c r="F21" s="106" t="s">
        <v>234</v>
      </c>
      <c r="G21" s="107">
        <v>105.10522724440662</v>
      </c>
      <c r="H21" s="108">
        <v>3.44E-2</v>
      </c>
      <c r="I21" s="96" t="s">
        <v>235</v>
      </c>
      <c r="J21" s="96" t="s">
        <v>255</v>
      </c>
      <c r="K21" s="107">
        <v>1.0153528964309322</v>
      </c>
      <c r="L21" s="96"/>
    </row>
    <row r="22" spans="1:12" x14ac:dyDescent="0.25">
      <c r="A22" s="96" t="s">
        <v>252</v>
      </c>
      <c r="B22" s="96" t="s">
        <v>261</v>
      </c>
      <c r="C22" s="96" t="s">
        <v>57</v>
      </c>
      <c r="D22" s="97">
        <v>0</v>
      </c>
      <c r="E22" s="97">
        <v>101.40596899174689</v>
      </c>
      <c r="F22" s="106" t="s">
        <v>234</v>
      </c>
      <c r="G22" s="107">
        <v>101.40596899174689</v>
      </c>
      <c r="H22" s="108">
        <v>3.5000000000000003E-2</v>
      </c>
      <c r="I22" s="96" t="s">
        <v>235</v>
      </c>
      <c r="J22" s="96" t="s">
        <v>255</v>
      </c>
      <c r="K22" s="107">
        <v>1.3183474004128175</v>
      </c>
      <c r="L22" s="96"/>
    </row>
    <row r="23" spans="1:12" x14ac:dyDescent="0.25">
      <c r="A23" s="96" t="s">
        <v>252</v>
      </c>
      <c r="B23" s="96" t="s">
        <v>262</v>
      </c>
      <c r="C23" s="96" t="s">
        <v>59</v>
      </c>
      <c r="D23" s="97">
        <v>0</v>
      </c>
      <c r="E23" s="97">
        <v>100.48023131110627</v>
      </c>
      <c r="F23" s="106" t="s">
        <v>234</v>
      </c>
      <c r="G23" s="107">
        <v>100.48023131110627</v>
      </c>
      <c r="H23" s="108">
        <v>3.9699999999999999E-2</v>
      </c>
      <c r="I23" s="96" t="s">
        <v>235</v>
      </c>
      <c r="J23" s="96" t="s">
        <v>255</v>
      </c>
      <c r="K23" s="107">
        <v>1.8921608661970823</v>
      </c>
      <c r="L23" s="96"/>
    </row>
    <row r="24" spans="1:12" x14ac:dyDescent="0.25">
      <c r="A24" s="96" t="s">
        <v>252</v>
      </c>
      <c r="B24" s="96" t="s">
        <v>263</v>
      </c>
      <c r="C24" s="96" t="s">
        <v>221</v>
      </c>
      <c r="D24" s="97">
        <v>0</v>
      </c>
      <c r="E24" s="97">
        <v>106.52218319081241</v>
      </c>
      <c r="F24" s="106" t="s">
        <v>234</v>
      </c>
      <c r="G24" s="107">
        <v>106.52218319081241</v>
      </c>
      <c r="H24" s="108">
        <v>4.1700000000000001E-2</v>
      </c>
      <c r="I24" s="96" t="s">
        <v>235</v>
      </c>
      <c r="J24" s="96" t="s">
        <v>255</v>
      </c>
      <c r="K24" s="107">
        <v>1.7816099999999999</v>
      </c>
      <c r="L24" s="96"/>
    </row>
    <row r="25" spans="1:12" x14ac:dyDescent="0.25">
      <c r="A25" s="96" t="s">
        <v>252</v>
      </c>
      <c r="B25" s="96" t="s">
        <v>264</v>
      </c>
      <c r="C25" s="96" t="s">
        <v>199</v>
      </c>
      <c r="D25" s="97">
        <v>0</v>
      </c>
      <c r="E25" s="97">
        <v>106.52881777388123</v>
      </c>
      <c r="F25" s="106" t="s">
        <v>234</v>
      </c>
      <c r="G25" s="107">
        <v>106.52881777388123</v>
      </c>
      <c r="H25" s="108">
        <v>4.2000000000000003E-2</v>
      </c>
      <c r="I25" s="96" t="s">
        <v>235</v>
      </c>
      <c r="J25" s="96" t="s">
        <v>255</v>
      </c>
      <c r="K25" s="107">
        <v>0.42803573787662097</v>
      </c>
      <c r="L25" s="96" t="s">
        <v>286</v>
      </c>
    </row>
    <row r="26" spans="1:12" x14ac:dyDescent="0.25">
      <c r="A26" s="96" t="s">
        <v>252</v>
      </c>
      <c r="B26" s="96" t="s">
        <v>265</v>
      </c>
      <c r="C26" s="96" t="s">
        <v>62</v>
      </c>
      <c r="D26" s="97">
        <v>102.74</v>
      </c>
      <c r="E26" s="97">
        <v>105.68750256047444</v>
      </c>
      <c r="F26" s="98" t="s">
        <v>234</v>
      </c>
      <c r="G26" s="107">
        <v>105.68750256047444</v>
      </c>
      <c r="H26" s="108">
        <v>3.5544432107525448E-2</v>
      </c>
      <c r="I26" s="96" t="s">
        <v>235</v>
      </c>
      <c r="J26" s="96" t="s">
        <v>236</v>
      </c>
      <c r="K26" s="107">
        <v>1.8473837705424487</v>
      </c>
      <c r="L26" s="96"/>
    </row>
    <row r="27" spans="1:12" x14ac:dyDescent="0.25">
      <c r="A27" s="96" t="s">
        <v>252</v>
      </c>
      <c r="B27" s="96" t="s">
        <v>266</v>
      </c>
      <c r="C27" s="96" t="s">
        <v>65</v>
      </c>
      <c r="D27" s="97">
        <v>104.25</v>
      </c>
      <c r="E27" s="97">
        <v>101.42368729993619</v>
      </c>
      <c r="F27" s="106" t="s">
        <v>234</v>
      </c>
      <c r="G27" s="107">
        <v>101.42368729993619</v>
      </c>
      <c r="H27" s="108">
        <v>3.4960182163218168E-2</v>
      </c>
      <c r="I27" s="96" t="s">
        <v>235</v>
      </c>
      <c r="J27" s="96" t="s">
        <v>236</v>
      </c>
      <c r="K27" s="107">
        <v>2.0010919136734038</v>
      </c>
      <c r="L27" s="96"/>
    </row>
    <row r="28" spans="1:12" x14ac:dyDescent="0.25">
      <c r="A28" s="96" t="s">
        <v>252</v>
      </c>
      <c r="B28" s="96" t="s">
        <v>267</v>
      </c>
      <c r="C28" s="96" t="s">
        <v>187</v>
      </c>
      <c r="D28" s="97">
        <v>105.25</v>
      </c>
      <c r="E28" s="97">
        <v>105.54765012163766</v>
      </c>
      <c r="F28" s="106" t="s">
        <v>234</v>
      </c>
      <c r="G28" s="107">
        <v>105.54765012163766</v>
      </c>
      <c r="H28" s="108">
        <v>3.4567663992913E-2</v>
      </c>
      <c r="I28" s="96" t="s">
        <v>235</v>
      </c>
      <c r="J28" s="96" t="s">
        <v>236</v>
      </c>
      <c r="K28" s="107">
        <v>1.3461553544898539</v>
      </c>
      <c r="L28" s="96"/>
    </row>
    <row r="29" spans="1:12" x14ac:dyDescent="0.25">
      <c r="A29" s="96" t="s">
        <v>252</v>
      </c>
      <c r="B29" s="96" t="s">
        <v>268</v>
      </c>
      <c r="C29" s="96" t="s">
        <v>68</v>
      </c>
      <c r="D29" s="97">
        <v>104.5</v>
      </c>
      <c r="E29" s="97">
        <v>104.95086807802396</v>
      </c>
      <c r="F29" s="106" t="s">
        <v>234</v>
      </c>
      <c r="G29" s="107">
        <v>104.95086807802396</v>
      </c>
      <c r="H29" s="108">
        <v>2.8040229322964794E-2</v>
      </c>
      <c r="I29" s="96" t="s">
        <v>235</v>
      </c>
      <c r="J29" s="96" t="s">
        <v>236</v>
      </c>
      <c r="K29" s="107">
        <v>0.94209641132440147</v>
      </c>
      <c r="L29" s="96"/>
    </row>
    <row r="30" spans="1:12" x14ac:dyDescent="0.25">
      <c r="A30" s="96" t="s">
        <v>252</v>
      </c>
      <c r="B30" s="96" t="s">
        <v>269</v>
      </c>
      <c r="C30" s="96" t="s">
        <v>71</v>
      </c>
      <c r="D30" s="97">
        <v>0</v>
      </c>
      <c r="E30" s="97">
        <v>103.2894084731185</v>
      </c>
      <c r="F30" s="106" t="s">
        <v>234</v>
      </c>
      <c r="G30" s="107">
        <v>103.2894084731185</v>
      </c>
      <c r="H30" s="108">
        <v>3.2399999999999998E-2</v>
      </c>
      <c r="I30" s="96" t="s">
        <v>235</v>
      </c>
      <c r="J30" s="96" t="s">
        <v>255</v>
      </c>
      <c r="K30" s="107">
        <v>1.2474163422072131</v>
      </c>
      <c r="L30" s="96"/>
    </row>
    <row r="31" spans="1:12" x14ac:dyDescent="0.25">
      <c r="A31" s="96" t="s">
        <v>252</v>
      </c>
      <c r="B31" s="96" t="s">
        <v>270</v>
      </c>
      <c r="C31" s="96" t="s">
        <v>200</v>
      </c>
      <c r="D31" s="97">
        <v>0</v>
      </c>
      <c r="E31" s="97">
        <v>104.26450866179006</v>
      </c>
      <c r="F31" s="106" t="s">
        <v>234</v>
      </c>
      <c r="G31" s="107">
        <v>104.26450866179006</v>
      </c>
      <c r="H31" s="108">
        <v>2.9899999999999999E-2</v>
      </c>
      <c r="I31" s="96" t="s">
        <v>235</v>
      </c>
      <c r="J31" s="96" t="s">
        <v>255</v>
      </c>
      <c r="K31" s="107">
        <v>2.1703266144397348</v>
      </c>
      <c r="L31" s="96"/>
    </row>
    <row r="32" spans="1:12" x14ac:dyDescent="0.25">
      <c r="A32" s="96" t="s">
        <v>252</v>
      </c>
      <c r="B32" s="96" t="s">
        <v>271</v>
      </c>
      <c r="C32" s="96" t="s">
        <v>74</v>
      </c>
      <c r="D32" s="97">
        <v>101.5</v>
      </c>
      <c r="E32" s="97">
        <v>105.60533366839789</v>
      </c>
      <c r="F32" s="106" t="s">
        <v>234</v>
      </c>
      <c r="G32" s="107">
        <v>105.60533366839789</v>
      </c>
      <c r="H32" s="108">
        <v>3.7538570636161839E-2</v>
      </c>
      <c r="I32" s="96" t="s">
        <v>235</v>
      </c>
      <c r="J32" s="96" t="s">
        <v>236</v>
      </c>
      <c r="K32" s="107">
        <v>1.9478733920854232</v>
      </c>
      <c r="L32" s="96"/>
    </row>
    <row r="33" spans="1:12" x14ac:dyDescent="0.25">
      <c r="A33" s="96" t="s">
        <v>252</v>
      </c>
      <c r="B33" s="96" t="s">
        <v>272</v>
      </c>
      <c r="C33" s="96" t="s">
        <v>70</v>
      </c>
      <c r="D33" s="97">
        <v>100.3</v>
      </c>
      <c r="E33" s="97">
        <v>102.00886632565502</v>
      </c>
      <c r="F33" s="98" t="s">
        <v>234</v>
      </c>
      <c r="G33" s="107">
        <v>102.00886632565502</v>
      </c>
      <c r="H33" s="108">
        <v>6.9049791615717226E-2</v>
      </c>
      <c r="I33" s="96" t="s">
        <v>235</v>
      </c>
      <c r="J33" s="96" t="s">
        <v>236</v>
      </c>
      <c r="K33" s="107">
        <v>0.19357162412052606</v>
      </c>
      <c r="L33" s="96"/>
    </row>
    <row r="34" spans="1:12" x14ac:dyDescent="0.25">
      <c r="A34" s="96" t="s">
        <v>252</v>
      </c>
      <c r="B34" s="96" t="s">
        <v>273</v>
      </c>
      <c r="C34" s="96" t="s">
        <v>201</v>
      </c>
      <c r="D34" s="97">
        <v>68.010000000000005</v>
      </c>
      <c r="E34" s="97">
        <v>34.215664117845449</v>
      </c>
      <c r="F34" s="106" t="s">
        <v>234</v>
      </c>
      <c r="G34" s="107">
        <v>34.215664117845449</v>
      </c>
      <c r="H34" s="108">
        <v>2.9041293637686538E-2</v>
      </c>
      <c r="I34" s="96" t="s">
        <v>235</v>
      </c>
      <c r="J34" s="96" t="s">
        <v>236</v>
      </c>
      <c r="K34" s="107">
        <v>0.39106892913779406</v>
      </c>
      <c r="L34" s="96"/>
    </row>
    <row r="35" spans="1:12" x14ac:dyDescent="0.25">
      <c r="A35" s="96" t="s">
        <v>252</v>
      </c>
      <c r="B35" s="96" t="s">
        <v>274</v>
      </c>
      <c r="C35" s="96" t="s">
        <v>78</v>
      </c>
      <c r="D35" s="97">
        <v>100.4</v>
      </c>
      <c r="E35" s="97">
        <v>100.36128268494886</v>
      </c>
      <c r="F35" s="106" t="s">
        <v>234</v>
      </c>
      <c r="G35" s="107">
        <v>100.36128268494886</v>
      </c>
      <c r="H35" s="108">
        <v>3.0620677353403292E-2</v>
      </c>
      <c r="I35" s="96" t="s">
        <v>235</v>
      </c>
      <c r="J35" s="96" t="s">
        <v>236</v>
      </c>
      <c r="K35" s="107">
        <v>0.64530044788970653</v>
      </c>
      <c r="L35" s="96"/>
    </row>
    <row r="36" spans="1:12" x14ac:dyDescent="0.25">
      <c r="A36" s="96" t="s">
        <v>275</v>
      </c>
      <c r="B36" s="96" t="s">
        <v>276</v>
      </c>
      <c r="C36" s="96" t="s">
        <v>48</v>
      </c>
      <c r="D36" s="97">
        <v>1994</v>
      </c>
      <c r="E36" s="97">
        <v>1998.6700743338265</v>
      </c>
      <c r="F36" s="98" t="s">
        <v>234</v>
      </c>
      <c r="G36" s="107">
        <v>1998.6700743338265</v>
      </c>
      <c r="H36" s="108">
        <v>5.2794241662892816E-2</v>
      </c>
      <c r="I36" s="96" t="s">
        <v>246</v>
      </c>
      <c r="J36" s="96" t="s">
        <v>236</v>
      </c>
      <c r="K36" s="107">
        <v>2.4533580892436708</v>
      </c>
      <c r="L36" s="96"/>
    </row>
    <row r="37" spans="1:12" x14ac:dyDescent="0.25">
      <c r="A37" s="96" t="s">
        <v>252</v>
      </c>
      <c r="B37" s="96" t="s">
        <v>277</v>
      </c>
      <c r="C37" s="96" t="s">
        <v>197</v>
      </c>
      <c r="D37" s="97">
        <v>106.3</v>
      </c>
      <c r="E37" s="97">
        <v>111.52691508720935</v>
      </c>
      <c r="F37" s="106" t="s">
        <v>234</v>
      </c>
      <c r="G37" s="107">
        <v>111.52691508720935</v>
      </c>
      <c r="H37" s="108">
        <v>3.2380539405027942E-2</v>
      </c>
      <c r="I37" s="96" t="s">
        <v>235</v>
      </c>
      <c r="J37" s="96" t="s">
        <v>236</v>
      </c>
      <c r="K37" s="107">
        <v>1.7322287375378611</v>
      </c>
      <c r="L37" s="96"/>
    </row>
    <row r="38" spans="1:12" x14ac:dyDescent="0.25">
      <c r="A38" s="96" t="s">
        <v>252</v>
      </c>
      <c r="B38" s="96" t="s">
        <v>278</v>
      </c>
      <c r="C38" s="96" t="s">
        <v>195</v>
      </c>
      <c r="D38" s="97">
        <v>91.6</v>
      </c>
      <c r="E38" s="97">
        <v>96.169312550670043</v>
      </c>
      <c r="F38" s="106" t="s">
        <v>234</v>
      </c>
      <c r="G38" s="107">
        <v>96.169312550670043</v>
      </c>
      <c r="H38" s="108">
        <v>3.3167983770747755E-2</v>
      </c>
      <c r="I38" s="96" t="s">
        <v>235</v>
      </c>
      <c r="J38" s="96" t="s">
        <v>236</v>
      </c>
      <c r="K38" s="107">
        <v>2.1250073487669749</v>
      </c>
      <c r="L38" s="96"/>
    </row>
    <row r="39" spans="1:12" x14ac:dyDescent="0.25">
      <c r="A39" s="96" t="s">
        <v>252</v>
      </c>
      <c r="B39" s="96" t="s">
        <v>279</v>
      </c>
      <c r="C39" s="96" t="s">
        <v>196</v>
      </c>
      <c r="D39" s="97">
        <v>92.9</v>
      </c>
      <c r="E39" s="97">
        <v>94.742870834945464</v>
      </c>
      <c r="F39" s="106" t="s">
        <v>234</v>
      </c>
      <c r="G39" s="107">
        <v>94.742870834945464</v>
      </c>
      <c r="H39" s="108">
        <v>3.3371875919469218E-2</v>
      </c>
      <c r="I39" s="96" t="s">
        <v>235</v>
      </c>
      <c r="J39" s="96" t="s">
        <v>236</v>
      </c>
      <c r="K39" s="107">
        <v>2.1849964690731989</v>
      </c>
      <c r="L39" s="96"/>
    </row>
    <row r="40" spans="1:12" x14ac:dyDescent="0.25">
      <c r="A40" s="96" t="s">
        <v>252</v>
      </c>
      <c r="B40" s="96" t="s">
        <v>280</v>
      </c>
      <c r="C40" s="96" t="s">
        <v>90</v>
      </c>
      <c r="D40" s="97">
        <v>96.15</v>
      </c>
      <c r="E40" s="97">
        <v>99.862447116145105</v>
      </c>
      <c r="F40" s="106" t="s">
        <v>234</v>
      </c>
      <c r="G40" s="107">
        <v>99.862447116145105</v>
      </c>
      <c r="H40" s="108">
        <v>4.0344561352739838E-2</v>
      </c>
      <c r="I40" s="96" t="s">
        <v>235</v>
      </c>
      <c r="J40" s="96" t="s">
        <v>236</v>
      </c>
      <c r="K40" s="107">
        <v>1.4188274895619559</v>
      </c>
      <c r="L40" s="96"/>
    </row>
    <row r="41" spans="1:12" x14ac:dyDescent="0.25">
      <c r="A41" s="96" t="s">
        <v>275</v>
      </c>
      <c r="B41" s="96" t="s">
        <v>281</v>
      </c>
      <c r="C41" s="96" t="s">
        <v>80</v>
      </c>
      <c r="D41" s="97">
        <v>2140</v>
      </c>
      <c r="E41" s="97">
        <v>2139.999983485814</v>
      </c>
      <c r="F41" s="98" t="s">
        <v>234</v>
      </c>
      <c r="G41" s="107">
        <v>2139.999983485814</v>
      </c>
      <c r="H41" s="108">
        <v>5.9915411494822823E-2</v>
      </c>
      <c r="I41" s="96" t="s">
        <v>250</v>
      </c>
      <c r="J41" s="96" t="s">
        <v>236</v>
      </c>
      <c r="K41" s="107">
        <v>4.2993875666554171</v>
      </c>
    </row>
    <row r="42" spans="1:12" x14ac:dyDescent="0.25">
      <c r="A42" s="96" t="s">
        <v>283</v>
      </c>
      <c r="B42" s="96" t="s">
        <v>284</v>
      </c>
      <c r="C42" s="96" t="s">
        <v>222</v>
      </c>
      <c r="D42" s="97">
        <v>0</v>
      </c>
      <c r="E42" s="97">
        <v>102.24822151747848</v>
      </c>
      <c r="F42" s="98" t="s">
        <v>234</v>
      </c>
      <c r="G42" s="107">
        <v>102.24822151747848</v>
      </c>
      <c r="H42" s="108">
        <v>3.5000000000000003E-2</v>
      </c>
      <c r="I42" s="96" t="s">
        <v>250</v>
      </c>
      <c r="J42" s="96" t="s">
        <v>255</v>
      </c>
      <c r="K42" s="107">
        <v>2.0825653294346411</v>
      </c>
    </row>
    <row r="44" spans="1:12" x14ac:dyDescent="0.25">
      <c r="C44" s="96" t="s">
        <v>189</v>
      </c>
      <c r="D44" s="97">
        <v>92.668999999999997</v>
      </c>
      <c r="E44" s="97">
        <v>100</v>
      </c>
      <c r="G44" s="107">
        <v>92.668999999999997</v>
      </c>
      <c r="H44" s="108">
        <v>0.2624997670104452</v>
      </c>
      <c r="J44" s="96" t="s">
        <v>282</v>
      </c>
      <c r="K44" s="107">
        <v>0.23870884643989423</v>
      </c>
    </row>
    <row r="45" spans="1:12" x14ac:dyDescent="0.25">
      <c r="C45" s="96" t="s">
        <v>190</v>
      </c>
      <c r="D45" s="97">
        <v>91.175200000000004</v>
      </c>
      <c r="E45" s="97">
        <v>100</v>
      </c>
      <c r="G45" s="107">
        <v>91.175200000000004</v>
      </c>
      <c r="H45" s="108">
        <v>0.25600115515775279</v>
      </c>
      <c r="J45" s="96" t="s">
        <v>282</v>
      </c>
      <c r="K45" s="107">
        <v>0.30102057647656788</v>
      </c>
    </row>
    <row r="46" spans="1:12" x14ac:dyDescent="0.25">
      <c r="C46" s="96" t="s">
        <v>191</v>
      </c>
      <c r="D46" s="97">
        <v>87.832300000000004</v>
      </c>
      <c r="E46" s="97">
        <v>87.953913276201234</v>
      </c>
      <c r="F46" s="98" t="s">
        <v>234</v>
      </c>
      <c r="G46" s="107">
        <v>87.953913276201234</v>
      </c>
      <c r="H46" s="108">
        <v>0.28729921188653629</v>
      </c>
      <c r="J46" s="96" t="s">
        <v>236</v>
      </c>
      <c r="K46" s="107">
        <v>0.37031975500746372</v>
      </c>
    </row>
    <row r="47" spans="1:12" x14ac:dyDescent="0.25">
      <c r="C47" s="96" t="s">
        <v>192</v>
      </c>
      <c r="D47" s="97">
        <v>86.235200000000006</v>
      </c>
      <c r="E47" s="97">
        <v>86.352305637106767</v>
      </c>
      <c r="F47" s="98" t="s">
        <v>234</v>
      </c>
      <c r="G47" s="107">
        <v>86.352305637106767</v>
      </c>
      <c r="H47" s="108">
        <v>0.28700017210349488</v>
      </c>
      <c r="J47" s="96" t="s">
        <v>236</v>
      </c>
      <c r="K47" s="107">
        <v>0.42788256244503875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2018-03-13T15:19:02Z</dcterms:modified>
</cp:coreProperties>
</file>